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1F86F0CE-0D3F-4761-BBCC-54A404DF00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2" r:id="rId4"/>
  </sheets>
  <definedNames>
    <definedName name="_xlnm.Print_Area" localSheetId="0">Page1!$A$1:$I$45</definedName>
    <definedName name="_xlnm.Print_Area" localSheetId="1">Page2!$A$1:$I$47</definedName>
    <definedName name="_xlnm.Print_Area" localSheetId="2">Page3!$A$1:$I$45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7" l="1"/>
  <c r="I39" i="6"/>
  <c r="F15" i="12" s="1"/>
  <c r="I40" i="6"/>
  <c r="I41" i="6"/>
  <c r="F13" i="12"/>
  <c r="B10" i="12"/>
  <c r="B9" i="12"/>
  <c r="G8" i="12"/>
  <c r="D8" i="12"/>
  <c r="B8" i="12"/>
  <c r="D7" i="12"/>
  <c r="G6" i="12"/>
  <c r="F44" i="9"/>
  <c r="H43" i="9"/>
  <c r="B43" i="9"/>
  <c r="H42" i="9"/>
  <c r="B42" i="9"/>
  <c r="G41" i="9"/>
  <c r="F41" i="9"/>
  <c r="E41" i="9"/>
  <c r="D41" i="9"/>
  <c r="G40" i="9"/>
  <c r="F40" i="9"/>
  <c r="E40" i="9"/>
  <c r="D40" i="9"/>
  <c r="G39" i="9"/>
  <c r="F39" i="9"/>
  <c r="E39" i="9"/>
  <c r="D39" i="9"/>
  <c r="I5" i="9"/>
  <c r="G5" i="9"/>
  <c r="E5" i="9"/>
  <c r="B5" i="9"/>
  <c r="I4" i="9"/>
  <c r="G4" i="9"/>
  <c r="E4" i="9"/>
  <c r="B4" i="9"/>
  <c r="I3" i="9"/>
  <c r="F46" i="7"/>
  <c r="B45" i="7"/>
  <c r="H44" i="7"/>
  <c r="B44" i="7"/>
  <c r="I43" i="7"/>
  <c r="H43" i="7"/>
  <c r="G43" i="7"/>
  <c r="F43" i="7"/>
  <c r="E43" i="7"/>
  <c r="D43" i="7"/>
  <c r="I42" i="7"/>
  <c r="H42" i="7"/>
  <c r="G42" i="7"/>
  <c r="F42" i="7"/>
  <c r="E42" i="7"/>
  <c r="D42" i="7"/>
  <c r="I41" i="7"/>
  <c r="F24" i="12" s="1"/>
  <c r="H41" i="7"/>
  <c r="F22" i="12" s="1"/>
  <c r="G41" i="7"/>
  <c r="F41" i="7"/>
  <c r="F16" i="12" s="1"/>
  <c r="E41" i="7"/>
  <c r="F20" i="12" s="1"/>
  <c r="D41" i="7"/>
  <c r="F18" i="12" s="1"/>
  <c r="I5" i="7"/>
  <c r="G5" i="7"/>
  <c r="E5" i="7"/>
  <c r="B5" i="7"/>
  <c r="I4" i="7"/>
  <c r="G4" i="7"/>
  <c r="E4" i="7"/>
  <c r="B4" i="7"/>
  <c r="I3" i="7"/>
  <c r="H41" i="6"/>
  <c r="G41" i="6"/>
  <c r="F41" i="6"/>
  <c r="E41" i="6"/>
  <c r="D41" i="6"/>
  <c r="H40" i="6"/>
  <c r="G40" i="6"/>
  <c r="F40" i="6"/>
  <c r="E40" i="6"/>
  <c r="D40" i="6"/>
  <c r="H39" i="6"/>
  <c r="F19" i="12" s="1"/>
  <c r="G39" i="6"/>
  <c r="F17" i="12" s="1"/>
  <c r="F39" i="6"/>
  <c r="F21" i="12" s="1"/>
  <c r="E39" i="6"/>
  <c r="F14" i="12" s="1"/>
  <c r="D39" i="6"/>
</calcChain>
</file>

<file path=xl/sharedStrings.xml><?xml version="1.0" encoding="utf-8"?>
<sst xmlns="http://schemas.openxmlformats.org/spreadsheetml/2006/main" count="299" uniqueCount="134">
  <si>
    <t>Sample No.</t>
  </si>
  <si>
    <t>MD</t>
  </si>
  <si>
    <t>CD</t>
  </si>
  <si>
    <t>Prod. Order</t>
  </si>
  <si>
    <t>Machine</t>
  </si>
  <si>
    <t>Production Date</t>
  </si>
  <si>
    <t>PO</t>
  </si>
  <si>
    <t>Quantity</t>
  </si>
  <si>
    <t>Inspection Date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</si>
  <si>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</si>
  <si>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</si>
  <si>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</si>
  <si>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</si>
  <si>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</si>
  <si>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</si>
  <si>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Retension period: 5 years</t>
  </si>
  <si>
    <t>(QC Inspector)</t>
  </si>
  <si>
    <t>Verified by:</t>
  </si>
  <si>
    <t>(QC HOD)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</si>
  <si>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</si>
  <si>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</si>
  <si>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</si>
  <si>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</si>
  <si>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</si>
  <si>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</si>
  <si>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</si>
  <si>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Page 1 of 3</t>
  </si>
  <si>
    <t>Page 2 of 3</t>
  </si>
  <si>
    <t>Page 3 of 3</t>
  </si>
  <si>
    <t>Film Weight
(g/m2)
L-15.00 T-16.00 U-18.00</t>
  </si>
  <si>
    <t>Opacity
L-42.0 T-48.0 U-54.0</t>
  </si>
  <si>
    <t>COF(R-R)                                     
  L-0.30 T-0.45 U-0.60</t>
  </si>
  <si>
    <t>Thickness
(µm)
L-32 T-42 U-52</t>
  </si>
  <si>
    <t>Elongation Break 
(%/25mm)
L-350</t>
  </si>
  <si>
    <t>10% Modulus 
(g/25mm)
L-300</t>
  </si>
  <si>
    <t>Elongation Break 
(%/25mm)
L-400</t>
  </si>
  <si>
    <t>Diameter
(mm)
(L-430 T-460 U-510)</t>
  </si>
  <si>
    <t>Tensile Break 
(N/25mm)
L-5.00 U-11.00</t>
  </si>
  <si>
    <t>Tensile Break 
(N/25mm)
L-3.00 U-9.00</t>
  </si>
  <si>
    <t>FWI-QC13-01</t>
  </si>
  <si>
    <t>Eff.Date:01/08/2017</t>
  </si>
  <si>
    <t>Swanson Plastics(India) Pvt. Ltd</t>
  </si>
  <si>
    <t>Address:Plot No. 2, GIDC, Honda, Bhuipal, Sattari Goa, India 403 530</t>
  </si>
  <si>
    <t>Certificate of Analysis</t>
  </si>
  <si>
    <t xml:space="preserve">Customer: </t>
  </si>
  <si>
    <t>Unicharm</t>
  </si>
  <si>
    <t>#02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</si>
  <si>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</si>
  <si>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</si>
  <si>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</si>
  <si>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</si>
  <si>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</si>
  <si>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</si>
  <si>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</si>
  <si>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</si>
  <si>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</si>
  <si>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</si>
  <si>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</si>
  <si>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</si>
  <si>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</si>
  <si>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</si>
  <si>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</si>
  <si>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</si>
  <si>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</si>
  <si>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</si>
  <si>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</si>
  <si>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</si>
  <si>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</si>
  <si>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</si>
  <si>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</si>
  <si>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</si>
  <si>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-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</si>
  <si>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</si>
  <si>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</si>
  <si>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</si>
  <si>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</si>
  <si>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</si>
  <si>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</si>
  <si>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</si>
  <si>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</si>
  <si>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</si>
  <si>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</si>
  <si>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</si>
  <si>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</si>
  <si>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</si>
  <si>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</si>
  <si>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</si>
  <si>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</si>
  <si>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</si>
  <si>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LSL-45, TGT-50, USL-55</t>
  </si>
  <si>
    <t>O</t>
  </si>
  <si>
    <t>Spectrophotometer</t>
  </si>
  <si>
    <t xml:space="preserve">Glossiness </t>
  </si>
  <si>
    <t>No Glossy</t>
  </si>
  <si>
    <t>Visual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</si>
  <si>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</si>
  <si>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</si>
  <si>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</si>
  <si>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</si>
  <si>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</si>
  <si>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</si>
  <si>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</si>
  <si>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</si>
  <si>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</si>
  <si>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Web Defect Detector</t>
  </si>
  <si>
    <t>Fish-Eyes</t>
  </si>
  <si>
    <t>Width &lt; 3 mm
Area &lt; 60 Sq. mm</t>
  </si>
  <si>
    <t>Printing</t>
  </si>
  <si>
    <t>Print Colour</t>
  </si>
  <si>
    <t>Misprint</t>
  </si>
  <si>
    <t>Printing dirty</t>
  </si>
  <si>
    <t>No Dirty Print</t>
  </si>
  <si>
    <t>Centralisation</t>
  </si>
  <si>
    <t>≦ 5 mm from side to printing</t>
  </si>
  <si>
    <t>Remarks:</t>
  </si>
  <si>
    <t xml:space="preserve">Inspected By
</t>
  </si>
  <si>
    <t xml:space="preserve">Approved By
</t>
  </si>
  <si>
    <t>(QA)</t>
  </si>
  <si>
    <t>Note : 'O' means good</t>
  </si>
  <si>
    <t>Distribution :Department Concerned</t>
  </si>
  <si>
    <t>Retension Period: 05 years</t>
  </si>
  <si>
    <t>Testing Equipment Identification Number</t>
  </si>
  <si>
    <t>Reference:</t>
  </si>
  <si>
    <t>Roll Cut Width</t>
  </si>
  <si>
    <t>(mm)</t>
  </si>
  <si>
    <t>T-165</t>
  </si>
  <si>
    <t>U-168</t>
  </si>
  <si>
    <t>Colour L
(L-90.6 T-94.6 U-98.6)</t>
  </si>
  <si>
    <t>Colour A
(L-(-5.1) T-(-1.1) U-2.9)</t>
  </si>
  <si>
    <t>Colour B
(L-(-3.6) T-0.4 U-4.4)</t>
  </si>
  <si>
    <t>Delta E
(T-0.00  U-5.00)</t>
  </si>
  <si>
    <t/>
  </si>
  <si>
    <t>Siddesh Mainkar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</si>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</sst>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i/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1" fillId="2" borderId="44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5" fillId="2" borderId="50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6" fillId="2" borderId="51" xfId="0" applyFont="1" applyFill="1" applyBorder="1" applyAlignment="1">
      <alignment horizontal="right" vertical="center" wrapText="1"/>
    </xf>
    <xf numFmtId="0" fontId="1" fillId="2" borderId="59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3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left" vertical="center" wrapText="1"/>
    </xf>
    <xf numFmtId="0" fontId="8" fillId="2" borderId="44" xfId="0" applyFont="1" applyFill="1" applyBorder="1" applyAlignment="1">
      <alignment horizontal="center" wrapText="1"/>
    </xf>
    <xf numFmtId="0" fontId="1" fillId="2" borderId="4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33" xfId="0" applyNumberFormat="1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4" fillId="2" borderId="0" xfId="0" applyFont="1" applyFill="1" applyAlignment="1">
      <alignment horizontal="center" wrapText="1"/>
    </xf>
    <xf numFmtId="49" fontId="4" fillId="2" borderId="0" xfId="0" applyNumberFormat="1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wrapText="1"/>
    </xf>
    <xf numFmtId="49" fontId="3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56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49" fontId="1" fillId="2" borderId="5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20" fontId="1" fillId="2" borderId="5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" xfId="0" quotePrefix="1" applyFont="1" applyFill="1" applyBorder="1" applyAlignment="1" applyProtection="1">
      <alignment horizontal="center" vertical="center" wrapText="1"/>
      <protection locked="0"/>
    </xf>
    <xf numFmtId="20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20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0" quotePrefix="1" applyFont="1" applyFill="1" applyBorder="1" applyAlignment="1" applyProtection="1">
      <alignment horizontal="center" vertical="center" wrapText="1"/>
      <protection locked="0"/>
    </xf>
    <xf numFmtId="20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3" xfId="0" applyNumberFormat="1" applyFont="1" applyFill="1" applyBorder="1" applyAlignment="1">
      <alignment horizontal="center" vertical="center" wrapText="1"/>
    </xf>
    <xf numFmtId="2" fontId="1" fillId="2" borderId="44" xfId="0" applyNumberFormat="1" applyFont="1" applyFill="1" applyBorder="1" applyAlignment="1">
      <alignment horizontal="center" vertical="center" wrapText="1"/>
    </xf>
    <xf numFmtId="1" fontId="1" fillId="2" borderId="4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horizontal="right" wrapText="1"/>
    </xf>
    <xf numFmtId="0" fontId="1" fillId="2" borderId="38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49" fontId="1" fillId="2" borderId="4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3" xfId="0" applyNumberFormat="1" applyFont="1" applyFill="1" applyBorder="1" applyAlignment="1">
      <alignment horizontal="center" vertical="center" wrapText="1"/>
    </xf>
    <xf numFmtId="1" fontId="1" fillId="2" borderId="57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37" xfId="0" applyNumberFormat="1" applyFont="1" applyFill="1" applyBorder="1" applyAlignment="1">
      <alignment horizontal="center" vertical="center" wrapText="1"/>
    </xf>
    <xf numFmtId="164" fontId="1" fillId="2" borderId="44" xfId="0" applyNumberFormat="1" applyFont="1" applyFill="1" applyBorder="1" applyAlignment="1">
      <alignment horizontal="center" vertical="center" wrapText="1"/>
    </xf>
    <xf numFmtId="1" fontId="1" fillId="2" borderId="45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2" borderId="0" xfId="0" applyNumberFormat="1" applyFont="1" applyFill="1" applyAlignment="1">
      <alignment horizontal="right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1" fillId="2" borderId="0" xfId="0" applyNumberFormat="1" applyFont="1" applyFill="1" applyAlignment="1">
      <alignment wrapText="1"/>
    </xf>
    <xf numFmtId="0" fontId="1" fillId="2" borderId="0" xfId="0" applyNumberFormat="1" applyFont="1" applyFill="1" applyAlignment="1">
      <alignment horizontal="right" wrapText="1"/>
    </xf>
    <xf numFmtId="164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7" xfId="0" applyNumberFormat="1" applyFont="1" applyFill="1" applyBorder="1" applyAlignment="1">
      <alignment horizontal="center" vertical="center" wrapText="1"/>
    </xf>
    <xf numFmtId="2" fontId="1" fillId="2" borderId="37" xfId="0" applyNumberFormat="1" applyFont="1" applyFill="1" applyBorder="1" applyAlignment="1">
      <alignment horizontal="center" vertical="center" wrapText="1"/>
    </xf>
    <xf numFmtId="2" fontId="1" fillId="2" borderId="4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43" xfId="0" applyNumberFormat="1" applyFont="1" applyFill="1" applyBorder="1" applyAlignment="1">
      <alignment horizontal="left" vertical="center" wrapText="1"/>
    </xf>
    <xf numFmtId="49" fontId="1" fillId="2" borderId="44" xfId="0" applyNumberFormat="1" applyFont="1" applyFill="1" applyBorder="1" applyAlignment="1">
      <alignment horizontal="left" vertical="center" wrapText="1"/>
    </xf>
    <xf numFmtId="49" fontId="1" fillId="2" borderId="59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32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left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8" fillId="2" borderId="48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49" fontId="4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8" fillId="2" borderId="47" xfId="0" applyFont="1" applyFill="1" applyBorder="1" applyAlignment="1">
      <alignment horizontal="left" vertical="top" wrapText="1"/>
    </xf>
    <xf numFmtId="0" fontId="8" fillId="2" borderId="49" xfId="0" applyFont="1" applyFill="1" applyBorder="1" applyAlignment="1">
      <alignment horizontal="left" vertical="top" wrapText="1"/>
    </xf>
    <xf numFmtId="0" fontId="8" fillId="2" borderId="47" xfId="0" applyFont="1" applyFill="1" applyBorder="1" applyAlignment="1">
      <alignment horizontal="center" vertical="top" wrapText="1"/>
    </xf>
    <xf numFmtId="0" fontId="8" fillId="2" borderId="48" xfId="0" applyFont="1" applyFill="1" applyBorder="1" applyAlignment="1">
      <alignment horizontal="center" vertical="top" wrapText="1"/>
    </xf>
    <xf numFmtId="0" fontId="8" fillId="2" borderId="49" xfId="0" applyFont="1" applyFill="1" applyBorder="1" applyAlignment="1">
      <alignment horizontal="center" vertical="top" wrapText="1"/>
    </xf>
    <xf numFmtId="0" fontId="1" fillId="2" borderId="50" xfId="0" applyFont="1" applyFill="1" applyBorder="1" applyAlignment="1">
      <alignment horizontal="left" vertical="top" wrapText="1"/>
    </xf>
    <xf numFmtId="0" fontId="1" fillId="2" borderId="51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vertical="top" wrapText="1"/>
    </xf>
    <xf numFmtId="0" fontId="1" fillId="2" borderId="31" xfId="0" applyFont="1" applyFill="1" applyBorder="1" applyAlignment="1">
      <alignment horizontal="left" vertical="top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top" wrapText="1"/>
    </xf>
    <xf numFmtId="0" fontId="8" fillId="2" borderId="24" xfId="0" applyFont="1" applyFill="1" applyBorder="1" applyAlignment="1">
      <alignment horizontal="center" vertical="top" wrapText="1"/>
    </xf>
    <xf numFmtId="0" fontId="8" fillId="2" borderId="31" xfId="0" applyFont="1" applyFill="1" applyBorder="1" applyAlignment="1">
      <alignment horizontal="center" vertical="top" wrapText="1"/>
    </xf>
    <xf numFmtId="0" fontId="1" fillId="2" borderId="41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64" xfId="0" applyFont="1" applyFill="1" applyBorder="1" applyAlignment="1">
      <alignment horizontal="left" vertical="center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1" fillId="2" borderId="25" xfId="0" applyNumberFormat="1" applyFont="1" applyFill="1" applyBorder="1" applyAlignment="1">
      <alignment horizontal="left" vertical="center" wrapText="1"/>
    </xf>
    <xf numFmtId="1" fontId="1" fillId="2" borderId="64" xfId="0" applyNumberFormat="1" applyFont="1" applyFill="1" applyBorder="1" applyAlignment="1">
      <alignment horizontal="left" vertical="center" wrapText="1"/>
    </xf>
    <xf numFmtId="1" fontId="1" fillId="2" borderId="26" xfId="0" applyNumberFormat="1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1" fontId="1" fillId="2" borderId="17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14" fontId="1" fillId="2" borderId="39" xfId="0" applyNumberFormat="1" applyFont="1" applyFill="1" applyBorder="1" applyAlignment="1">
      <alignment horizontal="left" vertical="center" wrapText="1"/>
    </xf>
    <xf numFmtId="0" fontId="1" fillId="2" borderId="4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6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right" vertical="center" wrapText="1"/>
    </xf>
    <xf numFmtId="0" fontId="5" fillId="2" borderId="48" xfId="0" applyFont="1" applyFill="1" applyBorder="1" applyAlignment="1">
      <alignment horizontal="right" vertical="center" wrapText="1"/>
    </xf>
    <xf numFmtId="0" fontId="5" fillId="2" borderId="49" xfId="0" applyFont="1" applyFill="1" applyBorder="1" applyAlignment="1">
      <alignment horizontal="right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14" fontId="1" fillId="2" borderId="42" xfId="0" applyNumberFormat="1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24</xdr:row>
      <xdr:rowOff>104118</xdr:rowOff>
    </xdr:from>
    <xdr:ext cx="227242" cy="2526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245220B-12EF-4135-BA60-AEA15E1AC0E3}"/>
            </a:ext>
          </a:extLst>
        </xdr:cNvPr>
        <xdr:cNvSpPr txBox="1">
          <a:spLocks noChangeArrowheads="1"/>
        </xdr:cNvSpPr>
      </xdr:nvSpPr>
      <xdr:spPr bwMode="auto">
        <a:xfrm>
          <a:off x="2886075" y="58857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6"/>
  <sheetViews>
    <sheetView tabSelected="1" view="pageBreakPreview" zoomScaleNormal="100" zoomScaleSheetLayoutView="100" workbookViewId="0">
      <selection activeCell="B4" sqref="B4:C4"/>
    </sheetView>
  </sheetViews>
  <sheetFormatPr defaultRowHeight="15" x14ac:dyDescent="0.25"/>
  <cols>
    <col min="1" max="3" width="14" style="44" customWidth="1"/>
    <col min="4" max="9" width="22.140625" style="44" customWidth="1"/>
    <col min="10" max="10" width="10.5703125" style="44" bestFit="1" customWidth="1"/>
    <col min="11" max="11" width="9.140625" style="44"/>
    <col min="12" max="12" width="9.42578125" style="44" bestFit="1" customWidth="1"/>
    <col min="13" max="16384" width="9.140625" style="44"/>
  </cols>
  <sheetData>
    <row r="1" spans="1:11" s="43" customFormat="1" ht="15.75" customHeight="1" x14ac:dyDescent="0.25">
      <c r="A1" s="149" t="s">
        <v>9</v>
      </c>
      <c r="B1" s="149"/>
      <c r="C1" s="149"/>
      <c r="D1" s="149"/>
      <c r="E1" s="149"/>
      <c r="F1" s="149"/>
      <c r="G1" s="149"/>
      <c r="H1" s="149"/>
      <c r="I1" s="57" t="s">
        <v>20</v>
      </c>
    </row>
    <row r="2" spans="1:11" s="43" customFormat="1" ht="15.75" customHeight="1" x14ac:dyDescent="0.25">
      <c r="A2" s="149" t="s">
        <v>12</v>
      </c>
      <c r="B2" s="149"/>
      <c r="C2" s="149"/>
      <c r="D2" s="149"/>
      <c r="E2" s="149"/>
      <c r="F2" s="149"/>
      <c r="G2" s="149"/>
      <c r="H2" s="149"/>
      <c r="I2" s="58" t="s">
        <v>22</v>
      </c>
    </row>
    <row r="3" spans="1:11" s="43" customFormat="1" ht="15.75" customHeight="1" thickBot="1" x14ac:dyDescent="0.3">
      <c r="A3" s="59"/>
      <c r="B3" s="59"/>
      <c r="C3" s="59"/>
      <c r="D3" s="59"/>
      <c r="E3" s="59"/>
      <c r="F3" s="59"/>
      <c r="G3" s="60"/>
      <c r="H3" s="61" t="s">
        <v>23</v>
      </c>
      <c r="I3" s="55"/>
    </row>
    <row r="4" spans="1:11" s="43" customFormat="1" ht="23.25" customHeight="1" x14ac:dyDescent="0.25">
      <c r="A4" s="62" t="s">
        <v>10</v>
      </c>
      <c r="B4" s="152"/>
      <c r="C4" s="153"/>
      <c r="D4" s="63" t="s">
        <v>3</v>
      </c>
      <c r="E4" s="37"/>
      <c r="F4" s="63" t="s">
        <v>4</v>
      </c>
      <c r="G4" s="37"/>
      <c r="H4" s="289" t="s">
        <v>5</v>
      </c>
      <c r="I4" s="64"/>
      <c r="K4" s="43" t="s">
        <v>21</v>
      </c>
    </row>
    <row r="5" spans="1:11" s="43" customFormat="1" ht="23.25" customHeight="1" thickBot="1" x14ac:dyDescent="0.3">
      <c r="A5" s="65" t="s">
        <v>11</v>
      </c>
      <c r="B5" s="154"/>
      <c r="C5" s="155"/>
      <c r="D5" s="66" t="s">
        <v>6</v>
      </c>
      <c r="E5" s="1"/>
      <c r="F5" s="66" t="s">
        <v>7</v>
      </c>
      <c r="G5" s="1"/>
      <c r="H5" s="14" t="s">
        <v>8</v>
      </c>
      <c r="I5" s="67"/>
    </row>
    <row r="6" spans="1:11" s="43" customFormat="1" ht="15.75" customHeight="1" thickBot="1" x14ac:dyDescent="0.3">
      <c r="A6" s="165" t="s">
        <v>121</v>
      </c>
      <c r="B6" s="166"/>
      <c r="C6" s="167"/>
      <c r="D6" s="53"/>
      <c r="E6" s="54"/>
      <c r="F6" s="54"/>
      <c r="G6" s="159"/>
      <c r="H6" s="160"/>
      <c r="I6" s="161"/>
    </row>
    <row r="7" spans="1:11" ht="15" customHeight="1" x14ac:dyDescent="0.25">
      <c r="A7" s="168" t="s">
        <v>0</v>
      </c>
      <c r="B7" s="162"/>
      <c r="C7" s="162"/>
      <c r="D7" s="162" t="s">
        <v>29</v>
      </c>
      <c r="E7" s="156" t="s">
        <v>32</v>
      </c>
      <c r="F7" s="156" t="s">
        <v>31</v>
      </c>
      <c r="G7" s="162" t="s">
        <v>1</v>
      </c>
      <c r="H7" s="162"/>
      <c r="I7" s="163"/>
    </row>
    <row r="8" spans="1:11" ht="60" customHeight="1" thickBot="1" x14ac:dyDescent="0.3">
      <c r="A8" s="169"/>
      <c r="B8" s="170"/>
      <c r="C8" s="170"/>
      <c r="D8" s="170"/>
      <c r="E8" s="157"/>
      <c r="F8" s="157"/>
      <c r="G8" s="68" t="s">
        <v>37</v>
      </c>
      <c r="H8" s="1" t="s">
        <v>33</v>
      </c>
      <c r="I8" s="35" t="s">
        <v>34</v>
      </c>
    </row>
    <row r="9" spans="1:11" s="43" customFormat="1" ht="19.5" customHeight="1" x14ac:dyDescent="0.25">
      <c r="A9" s="69"/>
      <c r="B9" s="70"/>
      <c r="C9" s="71"/>
      <c r="D9" s="72"/>
      <c r="E9" s="73"/>
      <c r="F9" s="74"/>
      <c r="G9" s="75"/>
      <c r="H9" s="73"/>
      <c r="I9" s="76"/>
    </row>
    <row r="10" spans="1:11" s="43" customFormat="1" ht="19.5" customHeight="1" x14ac:dyDescent="0.25">
      <c r="A10" s="77"/>
      <c r="B10" s="78"/>
      <c r="C10" s="79"/>
      <c r="D10" s="80"/>
      <c r="E10" s="81"/>
      <c r="F10" s="82"/>
      <c r="G10" s="83"/>
      <c r="H10" s="81"/>
      <c r="I10" s="84"/>
    </row>
    <row r="11" spans="1:11" s="43" customFormat="1" ht="19.5" customHeight="1" x14ac:dyDescent="0.25">
      <c r="A11" s="77"/>
      <c r="B11" s="78"/>
      <c r="C11" s="85"/>
      <c r="D11" s="80"/>
      <c r="E11" s="81"/>
      <c r="F11" s="82"/>
      <c r="G11" s="83"/>
      <c r="H11" s="81"/>
      <c r="I11" s="84"/>
    </row>
    <row r="12" spans="1:11" s="43" customFormat="1" ht="19.5" customHeight="1" x14ac:dyDescent="0.25">
      <c r="A12" s="77"/>
      <c r="B12" s="78"/>
      <c r="C12" s="85"/>
      <c r="D12" s="80"/>
      <c r="E12" s="81"/>
      <c r="F12" s="82"/>
      <c r="G12" s="83"/>
      <c r="H12" s="81"/>
      <c r="I12" s="84"/>
    </row>
    <row r="13" spans="1:11" s="43" customFormat="1" ht="19.5" customHeight="1" x14ac:dyDescent="0.25">
      <c r="A13" s="77"/>
      <c r="B13" s="78"/>
      <c r="C13" s="85"/>
      <c r="D13" s="80"/>
      <c r="E13" s="81"/>
      <c r="F13" s="82"/>
      <c r="G13" s="83"/>
      <c r="H13" s="81"/>
      <c r="I13" s="84"/>
    </row>
    <row r="14" spans="1:11" s="43" customFormat="1" ht="19.5" customHeight="1" x14ac:dyDescent="0.25">
      <c r="A14" s="77"/>
      <c r="B14" s="78"/>
      <c r="C14" s="86"/>
      <c r="D14" s="80"/>
      <c r="E14" s="81"/>
      <c r="F14" s="82"/>
      <c r="G14" s="83"/>
      <c r="H14" s="81"/>
      <c r="I14" s="84"/>
    </row>
    <row r="15" spans="1:11" s="43" customFormat="1" ht="19.5" customHeight="1" x14ac:dyDescent="0.25">
      <c r="A15" s="77"/>
      <c r="B15" s="78"/>
      <c r="C15" s="85"/>
      <c r="D15" s="80"/>
      <c r="E15" s="81"/>
      <c r="F15" s="82"/>
      <c r="G15" s="83"/>
      <c r="H15" s="81"/>
      <c r="I15" s="84"/>
    </row>
    <row r="16" spans="1:11" s="43" customFormat="1" ht="19.5" customHeight="1" x14ac:dyDescent="0.25">
      <c r="A16" s="77"/>
      <c r="B16" s="78"/>
      <c r="C16" s="85"/>
      <c r="D16" s="80"/>
      <c r="E16" s="81"/>
      <c r="F16" s="82"/>
      <c r="G16" s="83"/>
      <c r="H16" s="81"/>
      <c r="I16" s="84"/>
    </row>
    <row r="17" spans="1:9" s="43" customFormat="1" ht="19.5" customHeight="1" x14ac:dyDescent="0.25">
      <c r="A17" s="77"/>
      <c r="B17" s="78"/>
      <c r="C17" s="85"/>
      <c r="D17" s="80"/>
      <c r="E17" s="81"/>
      <c r="F17" s="82"/>
      <c r="G17" s="83"/>
      <c r="H17" s="81"/>
      <c r="I17" s="84"/>
    </row>
    <row r="18" spans="1:9" s="43" customFormat="1" ht="19.5" customHeight="1" x14ac:dyDescent="0.25">
      <c r="A18" s="77"/>
      <c r="B18" s="78"/>
      <c r="C18" s="85"/>
      <c r="D18" s="80"/>
      <c r="E18" s="81"/>
      <c r="F18" s="82"/>
      <c r="G18" s="83"/>
      <c r="H18" s="81"/>
      <c r="I18" s="84"/>
    </row>
    <row r="19" spans="1:9" s="43" customFormat="1" ht="19.5" customHeight="1" x14ac:dyDescent="0.25">
      <c r="A19" s="77"/>
      <c r="B19" s="78"/>
      <c r="C19" s="85"/>
      <c r="D19" s="80"/>
      <c r="E19" s="81"/>
      <c r="F19" s="82"/>
      <c r="G19" s="83"/>
      <c r="H19" s="81"/>
      <c r="I19" s="84"/>
    </row>
    <row r="20" spans="1:9" s="43" customFormat="1" ht="19.5" customHeight="1" x14ac:dyDescent="0.25">
      <c r="A20" s="77"/>
      <c r="B20" s="78"/>
      <c r="C20" s="86"/>
      <c r="D20" s="80"/>
      <c r="E20" s="81"/>
      <c r="F20" s="82"/>
      <c r="G20" s="83"/>
      <c r="H20" s="81"/>
      <c r="I20" s="84"/>
    </row>
    <row r="21" spans="1:9" s="43" customFormat="1" ht="19.5" customHeight="1" x14ac:dyDescent="0.25">
      <c r="A21" s="77"/>
      <c r="B21" s="78"/>
      <c r="C21" s="87"/>
      <c r="D21" s="80"/>
      <c r="E21" s="81"/>
      <c r="F21" s="82"/>
      <c r="G21" s="83"/>
      <c r="H21" s="81"/>
      <c r="I21" s="84"/>
    </row>
    <row r="22" spans="1:9" s="43" customFormat="1" ht="19.5" customHeight="1" x14ac:dyDescent="0.25">
      <c r="A22" s="77"/>
      <c r="B22" s="78"/>
      <c r="C22" s="87"/>
      <c r="D22" s="80"/>
      <c r="E22" s="81"/>
      <c r="F22" s="82"/>
      <c r="G22" s="88"/>
      <c r="H22" s="89"/>
      <c r="I22" s="90"/>
    </row>
    <row r="23" spans="1:9" s="43" customFormat="1" ht="19.5" customHeight="1" x14ac:dyDescent="0.25">
      <c r="A23" s="77"/>
      <c r="B23" s="78"/>
      <c r="C23" s="87"/>
      <c r="D23" s="80"/>
      <c r="E23" s="81"/>
      <c r="F23" s="82"/>
      <c r="G23" s="83"/>
      <c r="H23" s="81"/>
      <c r="I23" s="84"/>
    </row>
    <row r="24" spans="1:9" s="43" customFormat="1" ht="19.5" customHeight="1" x14ac:dyDescent="0.25">
      <c r="A24" s="77"/>
      <c r="B24" s="78"/>
      <c r="C24" s="87"/>
      <c r="D24" s="80"/>
      <c r="E24" s="81"/>
      <c r="F24" s="82"/>
      <c r="G24" s="83"/>
      <c r="H24" s="81"/>
      <c r="I24" s="84"/>
    </row>
    <row r="25" spans="1:9" s="43" customFormat="1" ht="19.5" customHeight="1" x14ac:dyDescent="0.25">
      <c r="A25" s="77"/>
      <c r="B25" s="78"/>
      <c r="C25" s="79"/>
      <c r="D25" s="80"/>
      <c r="E25" s="81"/>
      <c r="F25" s="82"/>
      <c r="G25" s="83"/>
      <c r="H25" s="81"/>
      <c r="I25" s="84"/>
    </row>
    <row r="26" spans="1:9" s="43" customFormat="1" ht="19.5" customHeight="1" x14ac:dyDescent="0.25">
      <c r="A26" s="77"/>
      <c r="B26" s="78"/>
      <c r="C26" s="79"/>
      <c r="D26" s="80"/>
      <c r="E26" s="81"/>
      <c r="F26" s="82"/>
      <c r="G26" s="83"/>
      <c r="H26" s="81"/>
      <c r="I26" s="84"/>
    </row>
    <row r="27" spans="1:9" s="43" customFormat="1" ht="19.5" customHeight="1" x14ac:dyDescent="0.25">
      <c r="A27" s="77"/>
      <c r="B27" s="78"/>
      <c r="C27" s="79"/>
      <c r="D27" s="80"/>
      <c r="E27" s="81"/>
      <c r="F27" s="82"/>
      <c r="G27" s="83"/>
      <c r="H27" s="81"/>
      <c r="I27" s="84"/>
    </row>
    <row r="28" spans="1:9" s="43" customFormat="1" ht="19.5" customHeight="1" x14ac:dyDescent="0.25">
      <c r="A28" s="77"/>
      <c r="B28" s="78"/>
      <c r="C28" s="79"/>
      <c r="D28" s="80"/>
      <c r="E28" s="81"/>
      <c r="F28" s="82"/>
      <c r="G28" s="83"/>
      <c r="H28" s="81"/>
      <c r="I28" s="84"/>
    </row>
    <row r="29" spans="1:9" s="43" customFormat="1" ht="19.5" customHeight="1" x14ac:dyDescent="0.25">
      <c r="A29" s="77"/>
      <c r="B29" s="78"/>
      <c r="C29" s="79"/>
      <c r="D29" s="80"/>
      <c r="E29" s="81"/>
      <c r="F29" s="82"/>
      <c r="G29" s="83"/>
      <c r="H29" s="81"/>
      <c r="I29" s="84"/>
    </row>
    <row r="30" spans="1:9" s="43" customFormat="1" ht="19.5" customHeight="1" x14ac:dyDescent="0.25">
      <c r="A30" s="77"/>
      <c r="B30" s="78"/>
      <c r="C30" s="79"/>
      <c r="D30" s="80"/>
      <c r="E30" s="81"/>
      <c r="F30" s="82"/>
      <c r="G30" s="83"/>
      <c r="H30" s="81"/>
      <c r="I30" s="84"/>
    </row>
    <row r="31" spans="1:9" s="43" customFormat="1" ht="19.5" customHeight="1" x14ac:dyDescent="0.25">
      <c r="A31" s="77"/>
      <c r="B31" s="78"/>
      <c r="C31" s="79"/>
      <c r="D31" s="80"/>
      <c r="E31" s="81"/>
      <c r="F31" s="82"/>
      <c r="G31" s="83"/>
      <c r="H31" s="81"/>
      <c r="I31" s="84"/>
    </row>
    <row r="32" spans="1:9" s="43" customFormat="1" ht="19.5" customHeight="1" x14ac:dyDescent="0.25">
      <c r="A32" s="77"/>
      <c r="B32" s="78"/>
      <c r="C32" s="79"/>
      <c r="D32" s="80"/>
      <c r="E32" s="81"/>
      <c r="F32" s="82"/>
      <c r="G32" s="83"/>
      <c r="H32" s="81"/>
      <c r="I32" s="84"/>
    </row>
    <row r="33" spans="1:12" s="43" customFormat="1" ht="19.5" customHeight="1" x14ac:dyDescent="0.25">
      <c r="A33" s="77"/>
      <c r="B33" s="78"/>
      <c r="C33" s="79"/>
      <c r="D33" s="80"/>
      <c r="E33" s="81"/>
      <c r="F33" s="82"/>
      <c r="G33" s="83"/>
      <c r="H33" s="81"/>
      <c r="I33" s="84"/>
    </row>
    <row r="34" spans="1:12" s="43" customFormat="1" ht="19.5" customHeight="1" x14ac:dyDescent="0.25">
      <c r="A34" s="77"/>
      <c r="B34" s="78"/>
      <c r="C34" s="79"/>
      <c r="D34" s="80"/>
      <c r="E34" s="81"/>
      <c r="F34" s="82"/>
      <c r="G34" s="83"/>
      <c r="H34" s="81"/>
      <c r="I34" s="84"/>
    </row>
    <row r="35" spans="1:12" s="43" customFormat="1" ht="19.5" customHeight="1" x14ac:dyDescent="0.25">
      <c r="A35" s="77"/>
      <c r="B35" s="78"/>
      <c r="C35" s="79"/>
      <c r="D35" s="80"/>
      <c r="E35" s="91"/>
      <c r="F35" s="80"/>
      <c r="G35" s="83"/>
      <c r="H35" s="91"/>
      <c r="I35" s="84"/>
    </row>
    <row r="36" spans="1:12" s="43" customFormat="1" ht="19.5" customHeight="1" x14ac:dyDescent="0.25">
      <c r="A36" s="77"/>
      <c r="B36" s="78"/>
      <c r="C36" s="79"/>
      <c r="D36" s="80"/>
      <c r="E36" s="91"/>
      <c r="F36" s="80"/>
      <c r="G36" s="83"/>
      <c r="H36" s="91"/>
      <c r="I36" s="84"/>
    </row>
    <row r="37" spans="1:12" s="43" customFormat="1" ht="19.5" customHeight="1" x14ac:dyDescent="0.25">
      <c r="A37" s="77"/>
      <c r="B37" s="78"/>
      <c r="C37" s="79"/>
      <c r="D37" s="80"/>
      <c r="E37" s="91"/>
      <c r="F37" s="80"/>
      <c r="G37" s="83"/>
      <c r="H37" s="91"/>
      <c r="I37" s="84"/>
    </row>
    <row r="38" spans="1:12" s="43" customFormat="1" ht="19.5" customHeight="1" thickBot="1" x14ac:dyDescent="0.3">
      <c r="A38" s="92"/>
      <c r="B38" s="93"/>
      <c r="C38" s="94"/>
      <c r="D38" s="95"/>
      <c r="E38" s="96"/>
      <c r="F38" s="95"/>
      <c r="G38" s="97"/>
      <c r="H38" s="96"/>
      <c r="I38" s="98"/>
    </row>
    <row r="39" spans="1:12" s="43" customFormat="1" ht="19.5" customHeight="1" x14ac:dyDescent="0.25">
      <c r="A39" s="175" t="s">
        <v>19</v>
      </c>
      <c r="B39" s="176"/>
      <c r="C39" s="176"/>
      <c r="D39" s="19" t="e">
        <f>AVERAGE(D9:D38)</f>
        <v>#DIV/0!</v>
      </c>
      <c r="E39" s="99" t="e">
        <f t="shared" ref="E39:H39" si="0">AVERAGE(E9:E38)</f>
        <v>#DIV/0!</v>
      </c>
      <c r="F39" s="19" t="e">
        <f t="shared" si="0"/>
        <v>#DIV/0!</v>
      </c>
      <c r="G39" s="19" t="e">
        <f t="shared" si="0"/>
        <v>#DIV/0!</v>
      </c>
      <c r="H39" s="99" t="e">
        <f t="shared" si="0"/>
        <v>#DIV/0!</v>
      </c>
      <c r="I39" s="127" t="e">
        <f t="shared" ref="I39" si="1">AVERAGE(I9:I38)</f>
        <v>#DIV/0!</v>
      </c>
    </row>
    <row r="40" spans="1:12" s="43" customFormat="1" ht="19.5" customHeight="1" x14ac:dyDescent="0.25">
      <c r="A40" s="173" t="s">
        <v>24</v>
      </c>
      <c r="B40" s="174"/>
      <c r="C40" s="174"/>
      <c r="D40" s="26">
        <f>MIN(D9:D38)</f>
        <v>0</v>
      </c>
      <c r="E40" s="25">
        <f t="shared" ref="E40:H40" si="2">MIN(E9:E38)</f>
        <v>0</v>
      </c>
      <c r="F40" s="26">
        <f t="shared" si="2"/>
        <v>0</v>
      </c>
      <c r="G40" s="26">
        <f t="shared" si="2"/>
        <v>0</v>
      </c>
      <c r="H40" s="25">
        <f t="shared" si="2"/>
        <v>0</v>
      </c>
      <c r="I40" s="129">
        <f t="shared" ref="I40" si="3">MIN(I9:I38)</f>
        <v>0</v>
      </c>
    </row>
    <row r="41" spans="1:12" s="43" customFormat="1" ht="19.5" customHeight="1" thickBot="1" x14ac:dyDescent="0.3">
      <c r="A41" s="171" t="s">
        <v>25</v>
      </c>
      <c r="B41" s="172"/>
      <c r="C41" s="172"/>
      <c r="D41" s="100">
        <f>MAX(D9:D38)</f>
        <v>0</v>
      </c>
      <c r="E41" s="101">
        <f t="shared" ref="E41:H41" si="4">MAX(E9:E38)</f>
        <v>0</v>
      </c>
      <c r="F41" s="100">
        <f t="shared" si="4"/>
        <v>0</v>
      </c>
      <c r="G41" s="100">
        <f t="shared" si="4"/>
        <v>0</v>
      </c>
      <c r="H41" s="101">
        <f t="shared" si="4"/>
        <v>0</v>
      </c>
      <c r="I41" s="131">
        <f t="shared" ref="I41" si="5">MAX(I9:I38)</f>
        <v>0</v>
      </c>
      <c r="J41" s="44"/>
      <c r="K41" s="44"/>
      <c r="L41" s="44"/>
    </row>
    <row r="42" spans="1:12" s="43" customFormat="1" ht="16.5" customHeight="1" x14ac:dyDescent="0.25">
      <c r="A42" s="102" t="s">
        <v>13</v>
      </c>
      <c r="B42" s="150"/>
      <c r="C42" s="150"/>
      <c r="D42" s="102" t="s">
        <v>16</v>
      </c>
      <c r="E42" s="103"/>
      <c r="F42" s="104"/>
      <c r="G42" s="61" t="s">
        <v>17</v>
      </c>
      <c r="H42" s="59"/>
      <c r="I42" s="105" t="s">
        <v>18</v>
      </c>
    </row>
    <row r="43" spans="1:12" s="43" customFormat="1" ht="16.5" customHeight="1" x14ac:dyDescent="0.25">
      <c r="A43" s="106"/>
      <c r="B43" s="151"/>
      <c r="C43" s="151"/>
      <c r="D43" s="102"/>
      <c r="E43" s="103"/>
      <c r="F43" s="104"/>
      <c r="G43" s="56"/>
      <c r="H43" s="59"/>
      <c r="I43" s="105"/>
    </row>
    <row r="44" spans="1:12" ht="16.5" customHeight="1" x14ac:dyDescent="0.25">
      <c r="A44" s="164" t="s">
        <v>14</v>
      </c>
      <c r="B44" s="164"/>
      <c r="C44" s="164"/>
      <c r="D44" s="107"/>
      <c r="E44" s="108" t="s">
        <v>122</v>
      </c>
      <c r="F44" s="56">
        <v>461343000</v>
      </c>
      <c r="G44" s="60"/>
      <c r="H44" s="60"/>
      <c r="I44" s="60"/>
    </row>
    <row r="45" spans="1:12" ht="16.5" customHeight="1" x14ac:dyDescent="0.25">
      <c r="A45" s="164" t="s">
        <v>15</v>
      </c>
      <c r="B45" s="164"/>
      <c r="C45" s="164"/>
      <c r="D45" s="107"/>
      <c r="E45" s="60"/>
      <c r="F45" s="60"/>
      <c r="G45" s="60"/>
      <c r="H45" s="158" t="s">
        <v>26</v>
      </c>
      <c r="I45" s="158"/>
    </row>
    <row r="46" spans="1:12" x14ac:dyDescent="0.25">
      <c r="A46" s="45"/>
      <c r="B46" s="45"/>
      <c r="C46" s="45"/>
      <c r="D46" s="45"/>
      <c r="E46" s="45"/>
      <c r="F46" s="45"/>
      <c r="G46" s="46"/>
      <c r="H46" s="46"/>
      <c r="I46" s="46"/>
    </row>
  </sheetData>
  <dataConsolidate/>
  <mergeCells count="19">
    <mergeCell ref="H45:I45"/>
    <mergeCell ref="G6:I6"/>
    <mergeCell ref="G7:I7"/>
    <mergeCell ref="E7:E8"/>
    <mergeCell ref="A44:C44"/>
    <mergeCell ref="A45:C45"/>
    <mergeCell ref="A6:C6"/>
    <mergeCell ref="A7:C8"/>
    <mergeCell ref="D7:D8"/>
    <mergeCell ref="A41:C41"/>
    <mergeCell ref="A40:C40"/>
    <mergeCell ref="A39:C39"/>
    <mergeCell ref="A1:H1"/>
    <mergeCell ref="A2:H2"/>
    <mergeCell ref="B42:C42"/>
    <mergeCell ref="B43:C43"/>
    <mergeCell ref="B4:C4"/>
    <mergeCell ref="B5:C5"/>
    <mergeCell ref="F7:F8"/>
  </mergeCells>
  <conditionalFormatting sqref="E9:E38">
    <cfRule type="cellIs" dxfId="14" priority="5" operator="notBetween">
      <formula>32</formula>
      <formula>52</formula>
    </cfRule>
  </conditionalFormatting>
  <conditionalFormatting sqref="F9:F38">
    <cfRule type="cellIs" dxfId="13" priority="4" operator="notBetween">
      <formula>0.3</formula>
      <formula>0.6</formula>
    </cfRule>
  </conditionalFormatting>
  <conditionalFormatting sqref="G9:G38">
    <cfRule type="cellIs" dxfId="12" priority="3" operator="notBetween">
      <formula>5</formula>
      <formula>11</formula>
    </cfRule>
  </conditionalFormatting>
  <conditionalFormatting sqref="H9:H38">
    <cfRule type="cellIs" dxfId="11" priority="2" operator="lessThan">
      <formula>350</formula>
    </cfRule>
  </conditionalFormatting>
  <conditionalFormatting sqref="I9:I41">
    <cfRule type="cellIs" dxfId="10" priority="1" operator="lessThan">
      <formula>300</formula>
    </cfRule>
  </conditionalFormatting>
  <pageMargins left="0.90551181102362199" right="0" top="0" bottom="0" header="0.31496062992125984" footer="0.31496062992125984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7"/>
  <sheetViews>
    <sheetView view="pageBreakPreview" zoomScaleNormal="100" zoomScaleSheetLayoutView="100" workbookViewId="0">
      <selection activeCell="B4" sqref="B4:C4"/>
    </sheetView>
  </sheetViews>
  <sheetFormatPr defaultRowHeight="15" x14ac:dyDescent="0.25"/>
  <cols>
    <col min="1" max="3" width="13.85546875" style="51" customWidth="1"/>
    <col min="4" max="9" width="22.140625" style="51" customWidth="1"/>
    <col min="10" max="16384" width="9.140625" style="51"/>
  </cols>
  <sheetData>
    <row r="1" spans="1:11" s="43" customFormat="1" ht="15.75" customHeight="1" x14ac:dyDescent="0.25">
      <c r="A1" s="149" t="s">
        <v>9</v>
      </c>
      <c r="B1" s="149"/>
      <c r="C1" s="149"/>
      <c r="D1" s="149"/>
      <c r="E1" s="149"/>
      <c r="F1" s="149"/>
      <c r="G1" s="149"/>
      <c r="H1" s="149"/>
      <c r="I1" s="57" t="s">
        <v>20</v>
      </c>
    </row>
    <row r="2" spans="1:11" s="43" customFormat="1" ht="15.75" customHeight="1" x14ac:dyDescent="0.25">
      <c r="A2" s="149" t="s">
        <v>12</v>
      </c>
      <c r="B2" s="149"/>
      <c r="C2" s="149"/>
      <c r="D2" s="149"/>
      <c r="E2" s="149"/>
      <c r="F2" s="149"/>
      <c r="G2" s="149"/>
      <c r="H2" s="149"/>
      <c r="I2" s="58" t="s">
        <v>22</v>
      </c>
    </row>
    <row r="3" spans="1:11" s="43" customFormat="1" ht="15.75" customHeight="1" thickBot="1" x14ac:dyDescent="0.3">
      <c r="A3" s="59"/>
      <c r="B3" s="59"/>
      <c r="C3" s="59"/>
      <c r="D3" s="59"/>
      <c r="E3" s="59"/>
      <c r="F3" s="59"/>
      <c r="G3" s="60"/>
      <c r="H3" s="61" t="s">
        <v>23</v>
      </c>
      <c r="I3" s="55">
        <f>Page1!I3</f>
        <v>0</v>
      </c>
    </row>
    <row r="4" spans="1:11" s="43" customFormat="1" ht="23.25" customHeight="1" x14ac:dyDescent="0.25">
      <c r="A4" s="62" t="s">
        <v>10</v>
      </c>
      <c r="B4" s="152">
        <f>Page1!B4</f>
        <v>0</v>
      </c>
      <c r="C4" s="153"/>
      <c r="D4" s="63" t="s">
        <v>3</v>
      </c>
      <c r="E4" s="37">
        <f>Page1!E4</f>
        <v>0</v>
      </c>
      <c r="F4" s="63" t="s">
        <v>4</v>
      </c>
      <c r="G4" s="37">
        <f>Page1!G4</f>
        <v>0</v>
      </c>
      <c r="H4" s="289" t="s">
        <v>5</v>
      </c>
      <c r="I4" s="64">
        <f>Page1!I4</f>
        <v>0</v>
      </c>
      <c r="K4" s="43" t="s">
        <v>21</v>
      </c>
    </row>
    <row r="5" spans="1:11" s="43" customFormat="1" ht="23.25" customHeight="1" thickBot="1" x14ac:dyDescent="0.3">
      <c r="A5" s="109" t="s">
        <v>11</v>
      </c>
      <c r="B5" s="177">
        <f>Page1!B5</f>
        <v>0</v>
      </c>
      <c r="C5" s="178"/>
      <c r="D5" s="110" t="s">
        <v>6</v>
      </c>
      <c r="E5" s="30">
        <f>Page1!E5</f>
        <v>0</v>
      </c>
      <c r="F5" s="110" t="s">
        <v>7</v>
      </c>
      <c r="G5" s="30">
        <f>Page1!G5</f>
        <v>0</v>
      </c>
      <c r="H5" s="148" t="s">
        <v>8</v>
      </c>
      <c r="I5" s="111">
        <f>Page1!I5</f>
        <v>0</v>
      </c>
    </row>
    <row r="6" spans="1:11" s="50" customFormat="1" ht="15.75" customHeight="1" thickBot="1" x14ac:dyDescent="0.3">
      <c r="A6" s="185" t="s">
        <v>121</v>
      </c>
      <c r="B6" s="186"/>
      <c r="C6" s="186"/>
      <c r="D6" s="160"/>
      <c r="E6" s="160"/>
      <c r="F6" s="187"/>
      <c r="G6" s="112"/>
      <c r="H6" s="113"/>
      <c r="I6" s="114"/>
    </row>
    <row r="7" spans="1:11" ht="15" customHeight="1" x14ac:dyDescent="0.25">
      <c r="A7" s="195" t="s">
        <v>0</v>
      </c>
      <c r="B7" s="196"/>
      <c r="C7" s="183"/>
      <c r="D7" s="188" t="s">
        <v>2</v>
      </c>
      <c r="E7" s="189"/>
      <c r="F7" s="190"/>
      <c r="G7" s="199" t="s">
        <v>30</v>
      </c>
      <c r="H7" s="49" t="s">
        <v>123</v>
      </c>
      <c r="I7" s="193" t="s">
        <v>36</v>
      </c>
    </row>
    <row r="8" spans="1:11" ht="15" customHeight="1" x14ac:dyDescent="0.25">
      <c r="A8" s="195"/>
      <c r="B8" s="196"/>
      <c r="C8" s="183"/>
      <c r="D8" s="179" t="s">
        <v>38</v>
      </c>
      <c r="E8" s="182" t="s">
        <v>35</v>
      </c>
      <c r="F8" s="178" t="s">
        <v>34</v>
      </c>
      <c r="G8" s="199"/>
      <c r="H8" s="49" t="s">
        <v>124</v>
      </c>
      <c r="I8" s="193"/>
    </row>
    <row r="9" spans="1:11" ht="15" customHeight="1" x14ac:dyDescent="0.25">
      <c r="A9" s="195"/>
      <c r="B9" s="196"/>
      <c r="C9" s="183"/>
      <c r="D9" s="180"/>
      <c r="E9" s="182"/>
      <c r="F9" s="183"/>
      <c r="G9" s="199"/>
      <c r="H9" s="47" t="s">
        <v>125</v>
      </c>
      <c r="I9" s="193"/>
    </row>
    <row r="10" spans="1:11" ht="15" customHeight="1" thickBot="1" x14ac:dyDescent="0.3">
      <c r="A10" s="197"/>
      <c r="B10" s="198"/>
      <c r="C10" s="184"/>
      <c r="D10" s="181"/>
      <c r="E10" s="170"/>
      <c r="F10" s="184"/>
      <c r="G10" s="157"/>
      <c r="H10" s="48" t="s">
        <v>126</v>
      </c>
      <c r="I10" s="194"/>
    </row>
    <row r="11" spans="1:11" s="50" customFormat="1" ht="19.5" customHeight="1" x14ac:dyDescent="0.25">
      <c r="A11" s="115"/>
      <c r="B11" s="116"/>
      <c r="C11" s="86"/>
      <c r="D11" s="117"/>
      <c r="E11" s="118"/>
      <c r="F11" s="118"/>
      <c r="G11" s="119"/>
      <c r="H11" s="118"/>
      <c r="I11" s="90"/>
    </row>
    <row r="12" spans="1:11" s="50" customFormat="1" ht="19.5" customHeight="1" x14ac:dyDescent="0.25">
      <c r="A12" s="77"/>
      <c r="B12" s="120"/>
      <c r="C12" s="79"/>
      <c r="D12" s="121"/>
      <c r="E12" s="91"/>
      <c r="F12" s="91"/>
      <c r="G12" s="122"/>
      <c r="H12" s="91"/>
      <c r="I12" s="84"/>
    </row>
    <row r="13" spans="1:11" s="50" customFormat="1" ht="19.5" customHeight="1" x14ac:dyDescent="0.25">
      <c r="A13" s="77"/>
      <c r="B13" s="120"/>
      <c r="C13" s="79"/>
      <c r="D13" s="121"/>
      <c r="E13" s="91"/>
      <c r="F13" s="91"/>
      <c r="G13" s="122"/>
      <c r="H13" s="91"/>
      <c r="I13" s="84"/>
    </row>
    <row r="14" spans="1:11" s="50" customFormat="1" ht="19.5" customHeight="1" x14ac:dyDescent="0.25">
      <c r="A14" s="77"/>
      <c r="B14" s="120"/>
      <c r="C14" s="79"/>
      <c r="D14" s="121"/>
      <c r="E14" s="91"/>
      <c r="F14" s="91"/>
      <c r="G14" s="122"/>
      <c r="H14" s="91"/>
      <c r="I14" s="84"/>
    </row>
    <row r="15" spans="1:11" s="50" customFormat="1" ht="19.5" customHeight="1" x14ac:dyDescent="0.25">
      <c r="A15" s="77"/>
      <c r="B15" s="120"/>
      <c r="C15" s="79"/>
      <c r="D15" s="121"/>
      <c r="E15" s="91"/>
      <c r="F15" s="91"/>
      <c r="G15" s="122"/>
      <c r="H15" s="91"/>
      <c r="I15" s="84"/>
    </row>
    <row r="16" spans="1:11" s="50" customFormat="1" ht="19.5" customHeight="1" x14ac:dyDescent="0.25">
      <c r="A16" s="77"/>
      <c r="B16" s="120"/>
      <c r="C16" s="79"/>
      <c r="D16" s="121"/>
      <c r="E16" s="91"/>
      <c r="F16" s="91"/>
      <c r="G16" s="122"/>
      <c r="H16" s="91"/>
      <c r="I16" s="84"/>
    </row>
    <row r="17" spans="1:9" s="50" customFormat="1" ht="19.5" customHeight="1" x14ac:dyDescent="0.25">
      <c r="A17" s="77"/>
      <c r="B17" s="120"/>
      <c r="C17" s="79"/>
      <c r="D17" s="121"/>
      <c r="E17" s="91"/>
      <c r="F17" s="91"/>
      <c r="G17" s="122"/>
      <c r="H17" s="91"/>
      <c r="I17" s="84"/>
    </row>
    <row r="18" spans="1:9" s="50" customFormat="1" ht="19.5" customHeight="1" x14ac:dyDescent="0.25">
      <c r="A18" s="77"/>
      <c r="B18" s="120"/>
      <c r="C18" s="79"/>
      <c r="D18" s="121"/>
      <c r="E18" s="91"/>
      <c r="F18" s="91"/>
      <c r="G18" s="122"/>
      <c r="H18" s="91"/>
      <c r="I18" s="84"/>
    </row>
    <row r="19" spans="1:9" s="50" customFormat="1" ht="19.5" customHeight="1" x14ac:dyDescent="0.25">
      <c r="A19" s="77"/>
      <c r="B19" s="120"/>
      <c r="C19" s="79"/>
      <c r="D19" s="121"/>
      <c r="E19" s="91"/>
      <c r="F19" s="91"/>
      <c r="G19" s="122"/>
      <c r="H19" s="91"/>
      <c r="I19" s="84"/>
    </row>
    <row r="20" spans="1:9" s="50" customFormat="1" ht="19.5" customHeight="1" x14ac:dyDescent="0.25">
      <c r="A20" s="77"/>
      <c r="B20" s="120"/>
      <c r="C20" s="79"/>
      <c r="D20" s="121"/>
      <c r="E20" s="91"/>
      <c r="F20" s="91"/>
      <c r="G20" s="122"/>
      <c r="H20" s="91"/>
      <c r="I20" s="84"/>
    </row>
    <row r="21" spans="1:9" s="50" customFormat="1" ht="19.5" customHeight="1" x14ac:dyDescent="0.25">
      <c r="A21" s="77"/>
      <c r="B21" s="120"/>
      <c r="C21" s="79"/>
      <c r="D21" s="121"/>
      <c r="E21" s="91"/>
      <c r="F21" s="91"/>
      <c r="G21" s="122"/>
      <c r="H21" s="91"/>
      <c r="I21" s="84"/>
    </row>
    <row r="22" spans="1:9" s="50" customFormat="1" ht="19.5" customHeight="1" x14ac:dyDescent="0.25">
      <c r="A22" s="77"/>
      <c r="B22" s="120"/>
      <c r="C22" s="79"/>
      <c r="D22" s="121"/>
      <c r="E22" s="91"/>
      <c r="F22" s="91"/>
      <c r="G22" s="122"/>
      <c r="H22" s="91"/>
      <c r="I22" s="84"/>
    </row>
    <row r="23" spans="1:9" s="50" customFormat="1" ht="19.5" customHeight="1" x14ac:dyDescent="0.25">
      <c r="A23" s="77"/>
      <c r="B23" s="120"/>
      <c r="C23" s="79"/>
      <c r="D23" s="121"/>
      <c r="E23" s="91"/>
      <c r="F23" s="91"/>
      <c r="G23" s="122"/>
      <c r="H23" s="91"/>
      <c r="I23" s="84"/>
    </row>
    <row r="24" spans="1:9" s="50" customFormat="1" ht="19.5" customHeight="1" x14ac:dyDescent="0.25">
      <c r="A24" s="77"/>
      <c r="B24" s="120"/>
      <c r="C24" s="79"/>
      <c r="D24" s="121"/>
      <c r="E24" s="91"/>
      <c r="F24" s="91"/>
      <c r="G24" s="122"/>
      <c r="H24" s="91"/>
      <c r="I24" s="84"/>
    </row>
    <row r="25" spans="1:9" s="50" customFormat="1" ht="19.5" customHeight="1" x14ac:dyDescent="0.25">
      <c r="A25" s="77"/>
      <c r="B25" s="120"/>
      <c r="C25" s="79"/>
      <c r="D25" s="117"/>
      <c r="E25" s="118"/>
      <c r="F25" s="118"/>
      <c r="G25" s="122"/>
      <c r="H25" s="91"/>
      <c r="I25" s="90"/>
    </row>
    <row r="26" spans="1:9" s="50" customFormat="1" ht="19.5" customHeight="1" x14ac:dyDescent="0.25">
      <c r="A26" s="77"/>
      <c r="B26" s="120"/>
      <c r="C26" s="79"/>
      <c r="D26" s="117"/>
      <c r="E26" s="118"/>
      <c r="F26" s="118"/>
      <c r="G26" s="122"/>
      <c r="H26" s="91"/>
      <c r="I26" s="90"/>
    </row>
    <row r="27" spans="1:9" s="50" customFormat="1" ht="19.5" customHeight="1" x14ac:dyDescent="0.25">
      <c r="A27" s="77"/>
      <c r="B27" s="120"/>
      <c r="C27" s="79"/>
      <c r="D27" s="117"/>
      <c r="E27" s="118"/>
      <c r="F27" s="118"/>
      <c r="G27" s="122"/>
      <c r="H27" s="91"/>
      <c r="I27" s="90"/>
    </row>
    <row r="28" spans="1:9" s="50" customFormat="1" ht="19.5" customHeight="1" x14ac:dyDescent="0.25">
      <c r="A28" s="77"/>
      <c r="B28" s="120"/>
      <c r="C28" s="79"/>
      <c r="D28" s="117"/>
      <c r="E28" s="118"/>
      <c r="F28" s="118"/>
      <c r="G28" s="122"/>
      <c r="H28" s="91"/>
      <c r="I28" s="90"/>
    </row>
    <row r="29" spans="1:9" s="50" customFormat="1" ht="19.5" customHeight="1" x14ac:dyDescent="0.25">
      <c r="A29" s="77"/>
      <c r="B29" s="120"/>
      <c r="C29" s="79"/>
      <c r="D29" s="117" t="s">
        <v>131</v>
      </c>
      <c r="E29" s="118" t="s">
        <v>131</v>
      </c>
      <c r="F29" s="118" t="s">
        <v>131</v>
      </c>
      <c r="G29" s="122" t="s">
        <v>131</v>
      </c>
      <c r="H29" s="91" t="s">
        <v>131</v>
      </c>
      <c r="I29" s="90" t="s">
        <v>131</v>
      </c>
    </row>
    <row r="30" spans="1:9" s="50" customFormat="1" ht="19.5" customHeight="1" x14ac:dyDescent="0.25">
      <c r="A30" s="77"/>
      <c r="B30" s="120"/>
      <c r="C30" s="79"/>
      <c r="D30" s="117" t="s">
        <v>131</v>
      </c>
      <c r="E30" s="118" t="s">
        <v>131</v>
      </c>
      <c r="F30" s="118" t="s">
        <v>131</v>
      </c>
      <c r="G30" s="122" t="s">
        <v>131</v>
      </c>
      <c r="H30" s="91" t="s">
        <v>131</v>
      </c>
      <c r="I30" s="90" t="s">
        <v>131</v>
      </c>
    </row>
    <row r="31" spans="1:9" s="50" customFormat="1" ht="19.5" customHeight="1" x14ac:dyDescent="0.25">
      <c r="A31" s="77"/>
      <c r="B31" s="120"/>
      <c r="C31" s="79"/>
      <c r="D31" s="121" t="s">
        <v>131</v>
      </c>
      <c r="E31" s="91" t="s">
        <v>131</v>
      </c>
      <c r="F31" s="91" t="s">
        <v>131</v>
      </c>
      <c r="G31" s="122" t="s">
        <v>131</v>
      </c>
      <c r="H31" s="91" t="s">
        <v>131</v>
      </c>
      <c r="I31" s="84" t="s">
        <v>131</v>
      </c>
    </row>
    <row r="32" spans="1:9" s="50" customFormat="1" ht="19.5" customHeight="1" x14ac:dyDescent="0.25">
      <c r="A32" s="77"/>
      <c r="B32" s="120"/>
      <c r="C32" s="79"/>
      <c r="D32" s="121" t="s">
        <v>131</v>
      </c>
      <c r="E32" s="91" t="s">
        <v>131</v>
      </c>
      <c r="F32" s="91" t="s">
        <v>131</v>
      </c>
      <c r="G32" s="122" t="s">
        <v>131</v>
      </c>
      <c r="H32" s="91" t="s">
        <v>131</v>
      </c>
      <c r="I32" s="84" t="s">
        <v>131</v>
      </c>
    </row>
    <row r="33" spans="1:9" s="50" customFormat="1" ht="19.5" customHeight="1" x14ac:dyDescent="0.25">
      <c r="A33" s="77"/>
      <c r="B33" s="120"/>
      <c r="C33" s="79"/>
      <c r="D33" s="121" t="s">
        <v>131</v>
      </c>
      <c r="E33" s="91" t="s">
        <v>131</v>
      </c>
      <c r="F33" s="91" t="s">
        <v>131</v>
      </c>
      <c r="G33" s="122" t="s">
        <v>131</v>
      </c>
      <c r="H33" s="91" t="s">
        <v>131</v>
      </c>
      <c r="I33" s="84" t="s">
        <v>131</v>
      </c>
    </row>
    <row r="34" spans="1:9" s="50" customFormat="1" ht="19.5" customHeight="1" x14ac:dyDescent="0.25">
      <c r="A34" s="77"/>
      <c r="B34" s="120"/>
      <c r="C34" s="79"/>
      <c r="D34" s="121" t="s">
        <v>131</v>
      </c>
      <c r="E34" s="91" t="s">
        <v>131</v>
      </c>
      <c r="F34" s="91" t="s">
        <v>131</v>
      </c>
      <c r="G34" s="122" t="s">
        <v>131</v>
      </c>
      <c r="H34" s="91" t="s">
        <v>131</v>
      </c>
      <c r="I34" s="84" t="s">
        <v>131</v>
      </c>
    </row>
    <row r="35" spans="1:9" s="50" customFormat="1" ht="19.5" customHeight="1" x14ac:dyDescent="0.25">
      <c r="A35" s="77"/>
      <c r="B35" s="120"/>
      <c r="C35" s="79"/>
      <c r="D35" s="121" t="s">
        <v>131</v>
      </c>
      <c r="E35" s="91" t="s">
        <v>131</v>
      </c>
      <c r="F35" s="91" t="s">
        <v>131</v>
      </c>
      <c r="G35" s="122" t="s">
        <v>131</v>
      </c>
      <c r="H35" s="91" t="s">
        <v>131</v>
      </c>
      <c r="I35" s="84" t="s">
        <v>131</v>
      </c>
    </row>
    <row r="36" spans="1:9" s="50" customFormat="1" ht="19.5" customHeight="1" x14ac:dyDescent="0.25">
      <c r="A36" s="77"/>
      <c r="B36" s="120"/>
      <c r="C36" s="79"/>
      <c r="D36" s="121" t="s">
        <v>131</v>
      </c>
      <c r="E36" s="91" t="s">
        <v>131</v>
      </c>
      <c r="F36" s="91" t="s">
        <v>131</v>
      </c>
      <c r="G36" s="122" t="s">
        <v>131</v>
      </c>
      <c r="H36" s="91" t="s">
        <v>131</v>
      </c>
      <c r="I36" s="84" t="s">
        <v>131</v>
      </c>
    </row>
    <row r="37" spans="1:9" s="50" customFormat="1" ht="19.5" customHeight="1" x14ac:dyDescent="0.25">
      <c r="A37" s="77"/>
      <c r="B37" s="120"/>
      <c r="C37" s="79"/>
      <c r="D37" s="121" t="s">
        <v>131</v>
      </c>
      <c r="E37" s="91" t="s">
        <v>131</v>
      </c>
      <c r="F37" s="91" t="s">
        <v>131</v>
      </c>
      <c r="G37" s="122" t="s">
        <v>131</v>
      </c>
      <c r="H37" s="91" t="s">
        <v>131</v>
      </c>
      <c r="I37" s="84" t="s">
        <v>131</v>
      </c>
    </row>
    <row r="38" spans="1:9" s="50" customFormat="1" ht="19.5" customHeight="1" x14ac:dyDescent="0.25">
      <c r="A38" s="77"/>
      <c r="B38" s="120"/>
      <c r="C38" s="79"/>
      <c r="D38" s="121" t="s">
        <v>131</v>
      </c>
      <c r="E38" s="91" t="s">
        <v>131</v>
      </c>
      <c r="F38" s="91" t="s">
        <v>131</v>
      </c>
      <c r="G38" s="122" t="s">
        <v>131</v>
      </c>
      <c r="H38" s="91" t="s">
        <v>131</v>
      </c>
      <c r="I38" s="84" t="s">
        <v>131</v>
      </c>
    </row>
    <row r="39" spans="1:9" s="50" customFormat="1" ht="19.5" customHeight="1" x14ac:dyDescent="0.25">
      <c r="A39" s="77"/>
      <c r="B39" s="120"/>
      <c r="C39" s="79"/>
      <c r="D39" s="121" t="s">
        <v>131</v>
      </c>
      <c r="E39" s="91" t="s">
        <v>131</v>
      </c>
      <c r="F39" s="91" t="s">
        <v>131</v>
      </c>
      <c r="G39" s="122" t="s">
        <v>131</v>
      </c>
      <c r="H39" s="91" t="s">
        <v>131</v>
      </c>
      <c r="I39" s="84" t="s">
        <v>131</v>
      </c>
    </row>
    <row r="40" spans="1:9" s="50" customFormat="1" ht="19.5" customHeight="1" thickBot="1" x14ac:dyDescent="0.3">
      <c r="A40" s="77"/>
      <c r="B40" s="120"/>
      <c r="C40" s="79"/>
      <c r="D40" s="123" t="s">
        <v>131</v>
      </c>
      <c r="E40" s="96" t="s">
        <v>131</v>
      </c>
      <c r="F40" s="124" t="s">
        <v>131</v>
      </c>
      <c r="G40" s="125" t="s">
        <v>131</v>
      </c>
      <c r="H40" s="96" t="s">
        <v>131</v>
      </c>
      <c r="I40" s="98" t="s">
        <v>131</v>
      </c>
    </row>
    <row r="41" spans="1:9" s="50" customFormat="1" ht="19.5" customHeight="1" x14ac:dyDescent="0.25">
      <c r="A41" s="175" t="s">
        <v>19</v>
      </c>
      <c r="B41" s="176"/>
      <c r="C41" s="176"/>
      <c r="D41" s="19" t="e">
        <f>AVERAGE(D11:D40)</f>
        <v>#DIV/0!</v>
      </c>
      <c r="E41" s="99" t="e">
        <f t="shared" ref="E41:I41" si="0">AVERAGE(E11:E40)</f>
        <v>#DIV/0!</v>
      </c>
      <c r="F41" s="99" t="e">
        <f t="shared" si="0"/>
        <v>#DIV/0!</v>
      </c>
      <c r="G41" s="126" t="e">
        <f t="shared" si="0"/>
        <v>#DIV/0!</v>
      </c>
      <c r="H41" s="99" t="e">
        <f t="shared" si="0"/>
        <v>#DIV/0!</v>
      </c>
      <c r="I41" s="127" t="e">
        <f t="shared" si="0"/>
        <v>#DIV/0!</v>
      </c>
    </row>
    <row r="42" spans="1:9" s="50" customFormat="1" ht="19.5" customHeight="1" x14ac:dyDescent="0.25">
      <c r="A42" s="173" t="s">
        <v>24</v>
      </c>
      <c r="B42" s="174"/>
      <c r="C42" s="174"/>
      <c r="D42" s="26">
        <f>MIN(D11:D40)</f>
        <v>0</v>
      </c>
      <c r="E42" s="25">
        <f t="shared" ref="E42:I42" si="1">MIN(E11:E40)</f>
        <v>0</v>
      </c>
      <c r="F42" s="25">
        <f t="shared" si="1"/>
        <v>0</v>
      </c>
      <c r="G42" s="128">
        <f t="shared" si="1"/>
        <v>0</v>
      </c>
      <c r="H42" s="25">
        <f t="shared" si="1"/>
        <v>0</v>
      </c>
      <c r="I42" s="129">
        <f t="shared" si="1"/>
        <v>0</v>
      </c>
    </row>
    <row r="43" spans="1:9" ht="19.5" customHeight="1" thickBot="1" x14ac:dyDescent="0.3">
      <c r="A43" s="171" t="s">
        <v>25</v>
      </c>
      <c r="B43" s="172"/>
      <c r="C43" s="172"/>
      <c r="D43" s="100">
        <f>MAX(D11:D40)</f>
        <v>0</v>
      </c>
      <c r="E43" s="101">
        <f t="shared" ref="E43:I43" si="2">MAX(E11:E40)</f>
        <v>0</v>
      </c>
      <c r="F43" s="101">
        <f t="shared" si="2"/>
        <v>0</v>
      </c>
      <c r="G43" s="130">
        <f t="shared" si="2"/>
        <v>0</v>
      </c>
      <c r="H43" s="101">
        <f t="shared" si="2"/>
        <v>0</v>
      </c>
      <c r="I43" s="131">
        <f t="shared" si="2"/>
        <v>0</v>
      </c>
    </row>
    <row r="44" spans="1:9" s="43" customFormat="1" ht="16.5" customHeight="1" x14ac:dyDescent="0.25">
      <c r="A44" s="132" t="s">
        <v>13</v>
      </c>
      <c r="B44" s="150">
        <f>Page1!B42</f>
        <v>0</v>
      </c>
      <c r="C44" s="200"/>
      <c r="D44" s="132" t="s">
        <v>16</v>
      </c>
      <c r="E44" s="132"/>
      <c r="F44" s="133"/>
      <c r="G44" s="133" t="s">
        <v>17</v>
      </c>
      <c r="H44" s="134">
        <f>Page1!H42</f>
        <v>0</v>
      </c>
      <c r="I44" s="135" t="s">
        <v>18</v>
      </c>
    </row>
    <row r="45" spans="1:9" s="43" customFormat="1" ht="16.5" customHeight="1" x14ac:dyDescent="0.25">
      <c r="A45" s="136"/>
      <c r="B45" s="151">
        <f>Page1!B43</f>
        <v>0</v>
      </c>
      <c r="C45" s="201"/>
      <c r="D45" s="132"/>
      <c r="E45" s="132"/>
      <c r="F45" s="133"/>
      <c r="G45" s="136"/>
      <c r="H45" s="134">
        <f>Page1!H43</f>
        <v>0</v>
      </c>
      <c r="I45" s="135"/>
    </row>
    <row r="46" spans="1:9" s="44" customFormat="1" ht="16.5" customHeight="1" x14ac:dyDescent="0.25">
      <c r="A46" s="191" t="s">
        <v>14</v>
      </c>
      <c r="B46" s="191"/>
      <c r="C46" s="191"/>
      <c r="D46" s="137"/>
      <c r="E46" s="138" t="s">
        <v>122</v>
      </c>
      <c r="F46" s="136">
        <f>Page1!F44</f>
        <v>461343000</v>
      </c>
      <c r="G46" s="137"/>
      <c r="H46" s="137"/>
      <c r="I46" s="137"/>
    </row>
    <row r="47" spans="1:9" s="44" customFormat="1" ht="16.5" customHeight="1" x14ac:dyDescent="0.25">
      <c r="A47" s="191" t="s">
        <v>15</v>
      </c>
      <c r="B47" s="191"/>
      <c r="C47" s="191"/>
      <c r="D47" s="137"/>
      <c r="E47" s="137"/>
      <c r="F47" s="137"/>
      <c r="G47" s="137"/>
      <c r="H47" s="192" t="s">
        <v>27</v>
      </c>
      <c r="I47" s="192"/>
    </row>
  </sheetData>
  <mergeCells count="21">
    <mergeCell ref="A47:C47"/>
    <mergeCell ref="H47:I47"/>
    <mergeCell ref="I7:I10"/>
    <mergeCell ref="A7:C10"/>
    <mergeCell ref="G7:G10"/>
    <mergeCell ref="A46:C46"/>
    <mergeCell ref="A43:C43"/>
    <mergeCell ref="A41:C41"/>
    <mergeCell ref="A42:C42"/>
    <mergeCell ref="B44:C44"/>
    <mergeCell ref="B45:C45"/>
    <mergeCell ref="A1:H1"/>
    <mergeCell ref="A2:H2"/>
    <mergeCell ref="B4:C4"/>
    <mergeCell ref="B5:C5"/>
    <mergeCell ref="D8:D10"/>
    <mergeCell ref="E8:E10"/>
    <mergeCell ref="F8:F10"/>
    <mergeCell ref="A6:C6"/>
    <mergeCell ref="D6:F6"/>
    <mergeCell ref="D7:F7"/>
  </mergeCells>
  <conditionalFormatting sqref="D11:D40">
    <cfRule type="cellIs" dxfId="9" priority="7" operator="notBetween">
      <formula>3</formula>
      <formula>9</formula>
    </cfRule>
  </conditionalFormatting>
  <conditionalFormatting sqref="E11:E40">
    <cfRule type="cellIs" dxfId="8" priority="6" operator="lessThan">
      <formula>400</formula>
    </cfRule>
  </conditionalFormatting>
  <conditionalFormatting sqref="F11:F43">
    <cfRule type="cellIs" dxfId="7" priority="2" operator="lessThan">
      <formula>300</formula>
    </cfRule>
  </conditionalFormatting>
  <conditionalFormatting sqref="G11:G40">
    <cfRule type="cellIs" dxfId="6" priority="5" operator="notBetween">
      <formula>42</formula>
      <formula>54</formula>
    </cfRule>
  </conditionalFormatting>
  <conditionalFormatting sqref="H11:H40">
    <cfRule type="cellIs" dxfId="5" priority="4" operator="notBetween">
      <formula>165</formula>
      <formula>168</formula>
    </cfRule>
  </conditionalFormatting>
  <conditionalFormatting sqref="I11:I43">
    <cfRule type="cellIs" dxfId="4" priority="1" operator="notBetween">
      <formula>430</formula>
      <formula>510</formula>
    </cfRule>
  </conditionalFormatting>
  <pageMargins left="1.1023622047244095" right="0" top="0" bottom="0" header="0.31496062992125984" footer="0.31496062992125984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5"/>
  <sheetViews>
    <sheetView view="pageBreakPreview" zoomScaleNormal="100" zoomScaleSheetLayoutView="100" workbookViewId="0">
      <selection activeCell="B4" sqref="B4:C4"/>
    </sheetView>
  </sheetViews>
  <sheetFormatPr defaultRowHeight="15" x14ac:dyDescent="0.25"/>
  <cols>
    <col min="1" max="3" width="14" style="51" customWidth="1"/>
    <col min="4" max="9" width="22.140625" style="51" customWidth="1"/>
    <col min="10" max="16384" width="9.140625" style="51"/>
  </cols>
  <sheetData>
    <row r="1" spans="1:11" s="43" customFormat="1" ht="15.75" customHeight="1" x14ac:dyDescent="0.25">
      <c r="A1" s="149" t="s">
        <v>9</v>
      </c>
      <c r="B1" s="149"/>
      <c r="C1" s="149"/>
      <c r="D1" s="149"/>
      <c r="E1" s="149"/>
      <c r="F1" s="149"/>
      <c r="G1" s="149"/>
      <c r="H1" s="149"/>
      <c r="I1" s="57" t="s">
        <v>20</v>
      </c>
    </row>
    <row r="2" spans="1:11" s="43" customFormat="1" ht="15.75" customHeight="1" x14ac:dyDescent="0.25">
      <c r="A2" s="149" t="s">
        <v>12</v>
      </c>
      <c r="B2" s="149"/>
      <c r="C2" s="149"/>
      <c r="D2" s="149"/>
      <c r="E2" s="149"/>
      <c r="F2" s="149"/>
      <c r="G2" s="149"/>
      <c r="H2" s="149"/>
      <c r="I2" s="58" t="s">
        <v>22</v>
      </c>
    </row>
    <row r="3" spans="1:11" s="43" customFormat="1" ht="15.75" customHeight="1" thickBot="1" x14ac:dyDescent="0.3">
      <c r="A3" s="59"/>
      <c r="B3" s="59"/>
      <c r="C3" s="59"/>
      <c r="D3" s="59"/>
      <c r="E3" s="59"/>
      <c r="F3" s="59"/>
      <c r="G3" s="60"/>
      <c r="H3" s="61" t="s">
        <v>23</v>
      </c>
      <c r="I3" s="55">
        <f>Page1!I3</f>
        <v>0</v>
      </c>
    </row>
    <row r="4" spans="1:11" s="43" customFormat="1" ht="23.25" customHeight="1" x14ac:dyDescent="0.25">
      <c r="A4" s="62" t="s">
        <v>10</v>
      </c>
      <c r="B4" s="152">
        <f>Page1!B4</f>
        <v>0</v>
      </c>
      <c r="C4" s="153"/>
      <c r="D4" s="63" t="s">
        <v>3</v>
      </c>
      <c r="E4" s="37">
        <f>Page1!E4</f>
        <v>0</v>
      </c>
      <c r="F4" s="63" t="s">
        <v>4</v>
      </c>
      <c r="G4" s="37">
        <f>Page1!G4</f>
        <v>0</v>
      </c>
      <c r="H4" s="289" t="s">
        <v>5</v>
      </c>
      <c r="I4" s="64">
        <f>Page1!I4</f>
        <v>0</v>
      </c>
      <c r="K4" s="43" t="s">
        <v>21</v>
      </c>
    </row>
    <row r="5" spans="1:11" s="43" customFormat="1" ht="23.25" customHeight="1" thickBot="1" x14ac:dyDescent="0.3">
      <c r="A5" s="109" t="s">
        <v>11</v>
      </c>
      <c r="B5" s="177">
        <f>Page1!B5</f>
        <v>0</v>
      </c>
      <c r="C5" s="178"/>
      <c r="D5" s="110" t="s">
        <v>6</v>
      </c>
      <c r="E5" s="30">
        <f>Page1!E5</f>
        <v>0</v>
      </c>
      <c r="F5" s="110" t="s">
        <v>7</v>
      </c>
      <c r="G5" s="30">
        <f>Page1!G5</f>
        <v>0</v>
      </c>
      <c r="H5" s="148" t="s">
        <v>8</v>
      </c>
      <c r="I5" s="111">
        <f>Page1!I5</f>
        <v>0</v>
      </c>
    </row>
    <row r="6" spans="1:11" s="50" customFormat="1" ht="15.75" customHeight="1" thickBot="1" x14ac:dyDescent="0.3">
      <c r="A6" s="185" t="s">
        <v>121</v>
      </c>
      <c r="B6" s="186"/>
      <c r="C6" s="159"/>
      <c r="D6" s="202"/>
      <c r="E6" s="160"/>
      <c r="F6" s="160"/>
      <c r="G6" s="161"/>
      <c r="H6" s="203"/>
      <c r="I6" s="204"/>
    </row>
    <row r="7" spans="1:11" ht="15" customHeight="1" x14ac:dyDescent="0.25">
      <c r="A7" s="208" t="s">
        <v>0</v>
      </c>
      <c r="B7" s="203"/>
      <c r="C7" s="203"/>
      <c r="D7" s="209" t="s">
        <v>127</v>
      </c>
      <c r="E7" s="211" t="s">
        <v>128</v>
      </c>
      <c r="F7" s="211" t="s">
        <v>129</v>
      </c>
      <c r="G7" s="213" t="s">
        <v>130</v>
      </c>
      <c r="H7" s="205"/>
      <c r="I7" s="206"/>
    </row>
    <row r="8" spans="1:11" ht="26.25" customHeight="1" thickBot="1" x14ac:dyDescent="0.3">
      <c r="A8" s="197"/>
      <c r="B8" s="198"/>
      <c r="C8" s="198"/>
      <c r="D8" s="210"/>
      <c r="E8" s="212"/>
      <c r="F8" s="212"/>
      <c r="G8" s="214"/>
      <c r="H8" s="205"/>
      <c r="I8" s="206"/>
    </row>
    <row r="9" spans="1:11" s="50" customFormat="1" ht="19.5" customHeight="1" x14ac:dyDescent="0.25">
      <c r="A9" s="115"/>
      <c r="B9" s="116"/>
      <c r="C9" s="86"/>
      <c r="D9" s="139"/>
      <c r="E9" s="88"/>
      <c r="F9" s="88"/>
      <c r="G9" s="140"/>
      <c r="H9" s="205"/>
      <c r="I9" s="206"/>
    </row>
    <row r="10" spans="1:11" s="50" customFormat="1" ht="19.5" customHeight="1" x14ac:dyDescent="0.25">
      <c r="A10" s="77"/>
      <c r="B10" s="120"/>
      <c r="C10" s="79"/>
      <c r="D10" s="141"/>
      <c r="E10" s="83"/>
      <c r="F10" s="83"/>
      <c r="G10" s="142"/>
      <c r="H10" s="205"/>
      <c r="I10" s="206"/>
    </row>
    <row r="11" spans="1:11" s="50" customFormat="1" ht="19.5" customHeight="1" x14ac:dyDescent="0.25">
      <c r="A11" s="77"/>
      <c r="B11" s="120"/>
      <c r="C11" s="79"/>
      <c r="D11" s="141"/>
      <c r="E11" s="83"/>
      <c r="F11" s="83"/>
      <c r="G11" s="142"/>
      <c r="H11" s="205"/>
      <c r="I11" s="206"/>
    </row>
    <row r="12" spans="1:11" s="50" customFormat="1" ht="19.5" customHeight="1" x14ac:dyDescent="0.25">
      <c r="A12" s="77"/>
      <c r="B12" s="120"/>
      <c r="C12" s="79"/>
      <c r="D12" s="141"/>
      <c r="E12" s="83"/>
      <c r="F12" s="83"/>
      <c r="G12" s="142"/>
      <c r="H12" s="205"/>
      <c r="I12" s="206"/>
    </row>
    <row r="13" spans="1:11" s="50" customFormat="1" ht="19.5" customHeight="1" x14ac:dyDescent="0.25">
      <c r="A13" s="77"/>
      <c r="B13" s="120"/>
      <c r="C13" s="79"/>
      <c r="D13" s="141"/>
      <c r="E13" s="83"/>
      <c r="F13" s="83"/>
      <c r="G13" s="142"/>
      <c r="H13" s="205"/>
      <c r="I13" s="206"/>
    </row>
    <row r="14" spans="1:11" s="50" customFormat="1" ht="19.5" customHeight="1" x14ac:dyDescent="0.25">
      <c r="A14" s="77"/>
      <c r="B14" s="120"/>
      <c r="C14" s="79"/>
      <c r="D14" s="141"/>
      <c r="E14" s="83"/>
      <c r="F14" s="83"/>
      <c r="G14" s="142"/>
      <c r="H14" s="205"/>
      <c r="I14" s="206"/>
    </row>
    <row r="15" spans="1:11" s="50" customFormat="1" ht="19.5" customHeight="1" x14ac:dyDescent="0.25">
      <c r="A15" s="77"/>
      <c r="B15" s="120"/>
      <c r="C15" s="79"/>
      <c r="D15" s="141"/>
      <c r="E15" s="83"/>
      <c r="F15" s="83"/>
      <c r="G15" s="142"/>
      <c r="H15" s="205"/>
      <c r="I15" s="206"/>
    </row>
    <row r="16" spans="1:11" s="50" customFormat="1" ht="19.5" customHeight="1" x14ac:dyDescent="0.25">
      <c r="A16" s="77"/>
      <c r="B16" s="120"/>
      <c r="C16" s="79"/>
      <c r="D16" s="141"/>
      <c r="E16" s="83"/>
      <c r="F16" s="83"/>
      <c r="G16" s="142"/>
      <c r="H16" s="205"/>
      <c r="I16" s="206"/>
    </row>
    <row r="17" spans="1:9" s="50" customFormat="1" ht="19.5" customHeight="1" x14ac:dyDescent="0.25">
      <c r="A17" s="77"/>
      <c r="B17" s="120"/>
      <c r="C17" s="79"/>
      <c r="D17" s="141"/>
      <c r="E17" s="83"/>
      <c r="F17" s="83"/>
      <c r="G17" s="142"/>
      <c r="H17" s="205"/>
      <c r="I17" s="206"/>
    </row>
    <row r="18" spans="1:9" s="50" customFormat="1" ht="19.5" customHeight="1" x14ac:dyDescent="0.25">
      <c r="A18" s="77"/>
      <c r="B18" s="120"/>
      <c r="C18" s="79"/>
      <c r="D18" s="141"/>
      <c r="E18" s="83"/>
      <c r="F18" s="83"/>
      <c r="G18" s="142"/>
      <c r="H18" s="205"/>
      <c r="I18" s="206"/>
    </row>
    <row r="19" spans="1:9" s="50" customFormat="1" ht="19.5" customHeight="1" x14ac:dyDescent="0.25">
      <c r="A19" s="77"/>
      <c r="B19" s="120"/>
      <c r="C19" s="79"/>
      <c r="D19" s="141"/>
      <c r="E19" s="83"/>
      <c r="F19" s="83"/>
      <c r="G19" s="142"/>
      <c r="H19" s="205"/>
      <c r="I19" s="206"/>
    </row>
    <row r="20" spans="1:9" s="50" customFormat="1" ht="19.5" customHeight="1" x14ac:dyDescent="0.25">
      <c r="A20" s="77"/>
      <c r="B20" s="120"/>
      <c r="C20" s="79"/>
      <c r="D20" s="141"/>
      <c r="E20" s="83"/>
      <c r="F20" s="83"/>
      <c r="G20" s="142"/>
      <c r="H20" s="205"/>
      <c r="I20" s="206"/>
    </row>
    <row r="21" spans="1:9" s="50" customFormat="1" ht="19.5" customHeight="1" x14ac:dyDescent="0.25">
      <c r="A21" s="77"/>
      <c r="B21" s="120"/>
      <c r="C21" s="79"/>
      <c r="D21" s="141"/>
      <c r="E21" s="83"/>
      <c r="F21" s="83"/>
      <c r="G21" s="142"/>
      <c r="H21" s="205"/>
      <c r="I21" s="206"/>
    </row>
    <row r="22" spans="1:9" s="50" customFormat="1" ht="19.5" customHeight="1" x14ac:dyDescent="0.25">
      <c r="A22" s="77"/>
      <c r="B22" s="120"/>
      <c r="C22" s="79"/>
      <c r="D22" s="141"/>
      <c r="E22" s="83"/>
      <c r="F22" s="83"/>
      <c r="G22" s="142"/>
      <c r="H22" s="205"/>
      <c r="I22" s="206"/>
    </row>
    <row r="23" spans="1:9" s="50" customFormat="1" ht="19.5" customHeight="1" x14ac:dyDescent="0.25">
      <c r="A23" s="77"/>
      <c r="B23" s="120"/>
      <c r="C23" s="79"/>
      <c r="D23" s="141"/>
      <c r="E23" s="83"/>
      <c r="F23" s="83"/>
      <c r="G23" s="142"/>
      <c r="H23" s="205"/>
      <c r="I23" s="206"/>
    </row>
    <row r="24" spans="1:9" s="50" customFormat="1" ht="19.5" customHeight="1" x14ac:dyDescent="0.25">
      <c r="A24" s="77"/>
      <c r="B24" s="120"/>
      <c r="C24" s="79"/>
      <c r="D24" s="139"/>
      <c r="E24" s="88"/>
      <c r="F24" s="88"/>
      <c r="G24" s="140"/>
      <c r="H24" s="205"/>
      <c r="I24" s="206"/>
    </row>
    <row r="25" spans="1:9" s="50" customFormat="1" ht="19.5" customHeight="1" x14ac:dyDescent="0.25">
      <c r="A25" s="77"/>
      <c r="B25" s="120"/>
      <c r="C25" s="79"/>
      <c r="D25" s="141"/>
      <c r="E25" s="83"/>
      <c r="F25" s="83"/>
      <c r="G25" s="142"/>
      <c r="H25" s="205"/>
      <c r="I25" s="206"/>
    </row>
    <row r="26" spans="1:9" s="50" customFormat="1" ht="19.5" customHeight="1" x14ac:dyDescent="0.25">
      <c r="A26" s="77"/>
      <c r="B26" s="120"/>
      <c r="C26" s="79"/>
      <c r="D26" s="141"/>
      <c r="E26" s="83"/>
      <c r="F26" s="83"/>
      <c r="G26" s="142"/>
      <c r="H26" s="205"/>
      <c r="I26" s="206"/>
    </row>
    <row r="27" spans="1:9" s="50" customFormat="1" ht="19.5" customHeight="1" x14ac:dyDescent="0.25">
      <c r="A27" s="77"/>
      <c r="B27" s="120"/>
      <c r="C27" s="79"/>
      <c r="D27" s="141"/>
      <c r="E27" s="83"/>
      <c r="F27" s="83"/>
      <c r="G27" s="142"/>
      <c r="H27" s="205"/>
      <c r="I27" s="206"/>
    </row>
    <row r="28" spans="1:9" s="50" customFormat="1" ht="19.5" customHeight="1" x14ac:dyDescent="0.25">
      <c r="A28" s="77"/>
      <c r="B28" s="120"/>
      <c r="C28" s="79"/>
      <c r="D28" s="141"/>
      <c r="E28" s="83"/>
      <c r="F28" s="83"/>
      <c r="G28" s="142"/>
      <c r="H28" s="205"/>
      <c r="I28" s="206"/>
    </row>
    <row r="29" spans="1:9" s="50" customFormat="1" ht="19.5" customHeight="1" x14ac:dyDescent="0.25">
      <c r="A29" s="77"/>
      <c r="B29" s="120"/>
      <c r="C29" s="79"/>
      <c r="D29" s="141"/>
      <c r="E29" s="83"/>
      <c r="F29" s="83"/>
      <c r="G29" s="142"/>
      <c r="H29" s="205"/>
      <c r="I29" s="206"/>
    </row>
    <row r="30" spans="1:9" s="50" customFormat="1" ht="19.5" customHeight="1" x14ac:dyDescent="0.25">
      <c r="A30" s="77"/>
      <c r="B30" s="120"/>
      <c r="C30" s="79"/>
      <c r="D30" s="141"/>
      <c r="E30" s="83"/>
      <c r="F30" s="83"/>
      <c r="G30" s="142"/>
      <c r="H30" s="205"/>
      <c r="I30" s="206"/>
    </row>
    <row r="31" spans="1:9" s="50" customFormat="1" ht="19.5" customHeight="1" x14ac:dyDescent="0.25">
      <c r="A31" s="77"/>
      <c r="B31" s="120"/>
      <c r="C31" s="79"/>
      <c r="D31" s="141"/>
      <c r="E31" s="83"/>
      <c r="F31" s="83"/>
      <c r="G31" s="142"/>
      <c r="H31" s="205"/>
      <c r="I31" s="206"/>
    </row>
    <row r="32" spans="1:9" s="50" customFormat="1" ht="19.5" customHeight="1" x14ac:dyDescent="0.25">
      <c r="A32" s="77"/>
      <c r="B32" s="120"/>
      <c r="C32" s="79"/>
      <c r="D32" s="141"/>
      <c r="E32" s="83"/>
      <c r="F32" s="83"/>
      <c r="G32" s="142"/>
      <c r="H32" s="205"/>
      <c r="I32" s="206"/>
    </row>
    <row r="33" spans="1:9" s="50" customFormat="1" ht="19.5" customHeight="1" x14ac:dyDescent="0.25">
      <c r="A33" s="77"/>
      <c r="B33" s="120"/>
      <c r="C33" s="79"/>
      <c r="D33" s="141"/>
      <c r="E33" s="83"/>
      <c r="F33" s="83"/>
      <c r="G33" s="142"/>
      <c r="H33" s="205"/>
      <c r="I33" s="206"/>
    </row>
    <row r="34" spans="1:9" s="50" customFormat="1" ht="19.5" customHeight="1" x14ac:dyDescent="0.25">
      <c r="A34" s="77"/>
      <c r="B34" s="120"/>
      <c r="C34" s="79"/>
      <c r="D34" s="141"/>
      <c r="E34" s="83"/>
      <c r="F34" s="83"/>
      <c r="G34" s="142"/>
      <c r="H34" s="205"/>
      <c r="I34" s="206"/>
    </row>
    <row r="35" spans="1:9" s="50" customFormat="1" ht="19.5" customHeight="1" x14ac:dyDescent="0.25">
      <c r="A35" s="77"/>
      <c r="B35" s="120"/>
      <c r="C35" s="79"/>
      <c r="D35" s="141"/>
      <c r="E35" s="83"/>
      <c r="F35" s="83"/>
      <c r="G35" s="142"/>
      <c r="H35" s="205"/>
      <c r="I35" s="206"/>
    </row>
    <row r="36" spans="1:9" s="50" customFormat="1" ht="19.5" customHeight="1" x14ac:dyDescent="0.25">
      <c r="A36" s="77"/>
      <c r="B36" s="120"/>
      <c r="C36" s="79"/>
      <c r="D36" s="141"/>
      <c r="E36" s="83"/>
      <c r="F36" s="83"/>
      <c r="G36" s="142"/>
      <c r="H36" s="205"/>
      <c r="I36" s="206"/>
    </row>
    <row r="37" spans="1:9" s="50" customFormat="1" ht="19.5" customHeight="1" x14ac:dyDescent="0.25">
      <c r="A37" s="77"/>
      <c r="B37" s="120"/>
      <c r="C37" s="79"/>
      <c r="D37" s="141"/>
      <c r="E37" s="83"/>
      <c r="F37" s="83"/>
      <c r="G37" s="142"/>
      <c r="H37" s="205"/>
      <c r="I37" s="206"/>
    </row>
    <row r="38" spans="1:9" s="50" customFormat="1" ht="19.5" customHeight="1" thickBot="1" x14ac:dyDescent="0.3">
      <c r="A38" s="77"/>
      <c r="B38" s="120"/>
      <c r="C38" s="79"/>
      <c r="D38" s="143"/>
      <c r="E38" s="97"/>
      <c r="F38" s="97"/>
      <c r="G38" s="144"/>
      <c r="H38" s="205"/>
      <c r="I38" s="206"/>
    </row>
    <row r="39" spans="1:9" s="50" customFormat="1" ht="19.5" customHeight="1" x14ac:dyDescent="0.25">
      <c r="A39" s="175" t="s">
        <v>19</v>
      </c>
      <c r="B39" s="176"/>
      <c r="C39" s="176"/>
      <c r="D39" s="126" t="e">
        <f>AVERAGE(D9:D38)</f>
        <v>#DIV/0!</v>
      </c>
      <c r="E39" s="126" t="e">
        <f t="shared" ref="E39:G39" si="0">AVERAGE(E9:E38)</f>
        <v>#DIV/0!</v>
      </c>
      <c r="F39" s="126" t="e">
        <f t="shared" si="0"/>
        <v>#DIV/0!</v>
      </c>
      <c r="G39" s="145" t="e">
        <f t="shared" si="0"/>
        <v>#DIV/0!</v>
      </c>
      <c r="H39" s="205"/>
      <c r="I39" s="206"/>
    </row>
    <row r="40" spans="1:9" s="50" customFormat="1" ht="19.5" customHeight="1" x14ac:dyDescent="0.25">
      <c r="A40" s="173" t="s">
        <v>24</v>
      </c>
      <c r="B40" s="174"/>
      <c r="C40" s="174"/>
      <c r="D40" s="128">
        <f>MIN(D9:D38)</f>
        <v>0</v>
      </c>
      <c r="E40" s="128">
        <f t="shared" ref="E40:G40" si="1">MIN(E9:E38)</f>
        <v>0</v>
      </c>
      <c r="F40" s="128">
        <f t="shared" si="1"/>
        <v>0</v>
      </c>
      <c r="G40" s="146">
        <f t="shared" si="1"/>
        <v>0</v>
      </c>
      <c r="H40" s="205"/>
      <c r="I40" s="206"/>
    </row>
    <row r="41" spans="1:9" ht="19.5" customHeight="1" thickBot="1" x14ac:dyDescent="0.3">
      <c r="A41" s="171" t="s">
        <v>25</v>
      </c>
      <c r="B41" s="172"/>
      <c r="C41" s="172"/>
      <c r="D41" s="130">
        <f>MAX(D9:D38)</f>
        <v>0</v>
      </c>
      <c r="E41" s="130">
        <f t="shared" ref="E41:G41" si="2">MAX(E9:E38)</f>
        <v>0</v>
      </c>
      <c r="F41" s="130">
        <f t="shared" si="2"/>
        <v>0</v>
      </c>
      <c r="G41" s="147">
        <f t="shared" si="2"/>
        <v>0</v>
      </c>
      <c r="H41" s="198"/>
      <c r="I41" s="207"/>
    </row>
    <row r="42" spans="1:9" s="43" customFormat="1" ht="16.5" customHeight="1" x14ac:dyDescent="0.25">
      <c r="A42" s="132" t="s">
        <v>13</v>
      </c>
      <c r="B42" s="150">
        <f>Page1!B42</f>
        <v>0</v>
      </c>
      <c r="C42" s="200"/>
      <c r="D42" s="132" t="s">
        <v>16</v>
      </c>
      <c r="E42" s="132"/>
      <c r="F42" s="133"/>
      <c r="G42" s="133" t="s">
        <v>17</v>
      </c>
      <c r="H42" s="134">
        <f>Page1!H42</f>
        <v>0</v>
      </c>
      <c r="I42" s="135" t="s">
        <v>18</v>
      </c>
    </row>
    <row r="43" spans="1:9" s="43" customFormat="1" ht="16.5" customHeight="1" x14ac:dyDescent="0.25">
      <c r="A43" s="136"/>
      <c r="B43" s="151">
        <f>Page1!B43</f>
        <v>0</v>
      </c>
      <c r="C43" s="201"/>
      <c r="D43" s="132"/>
      <c r="E43" s="132"/>
      <c r="F43" s="133"/>
      <c r="G43" s="136"/>
      <c r="H43" s="134">
        <f>Page1!H43</f>
        <v>0</v>
      </c>
      <c r="I43" s="135"/>
    </row>
    <row r="44" spans="1:9" s="44" customFormat="1" ht="16.5" customHeight="1" x14ac:dyDescent="0.25">
      <c r="A44" s="191" t="s">
        <v>14</v>
      </c>
      <c r="B44" s="191"/>
      <c r="C44" s="191"/>
      <c r="D44" s="137"/>
      <c r="E44" s="138" t="s">
        <v>122</v>
      </c>
      <c r="F44" s="136">
        <f>Page1!F44</f>
        <v>461343000</v>
      </c>
      <c r="G44" s="137"/>
      <c r="H44" s="137"/>
      <c r="I44" s="137"/>
    </row>
    <row r="45" spans="1:9" s="44" customFormat="1" ht="16.5" customHeight="1" x14ac:dyDescent="0.25">
      <c r="A45" s="191" t="s">
        <v>15</v>
      </c>
      <c r="B45" s="191"/>
      <c r="C45" s="191"/>
      <c r="D45" s="137"/>
      <c r="E45" s="137"/>
      <c r="F45" s="137"/>
      <c r="G45" s="137"/>
      <c r="H45" s="192" t="s">
        <v>28</v>
      </c>
      <c r="I45" s="192"/>
    </row>
  </sheetData>
  <mergeCells count="20">
    <mergeCell ref="A45:C45"/>
    <mergeCell ref="H45:I45"/>
    <mergeCell ref="A6:C6"/>
    <mergeCell ref="D6:G6"/>
    <mergeCell ref="H6:I41"/>
    <mergeCell ref="A7:C8"/>
    <mergeCell ref="D7:D8"/>
    <mergeCell ref="E7:E8"/>
    <mergeCell ref="F7:F8"/>
    <mergeCell ref="G7:G8"/>
    <mergeCell ref="A1:H1"/>
    <mergeCell ref="A2:H2"/>
    <mergeCell ref="B4:C4"/>
    <mergeCell ref="B5:C5"/>
    <mergeCell ref="A44:C44"/>
    <mergeCell ref="A39:C39"/>
    <mergeCell ref="A40:C40"/>
    <mergeCell ref="A41:C41"/>
    <mergeCell ref="B42:C42"/>
    <mergeCell ref="B43:C43"/>
  </mergeCells>
  <conditionalFormatting sqref="D9:D38">
    <cfRule type="cellIs" dxfId="3" priority="6" operator="notBetween">
      <formula>90.6</formula>
      <formula>98.6</formula>
    </cfRule>
  </conditionalFormatting>
  <conditionalFormatting sqref="E9:E38">
    <cfRule type="cellIs" dxfId="2" priority="5" operator="notBetween">
      <formula>-5.1</formula>
      <formula>2.9</formula>
    </cfRule>
  </conditionalFormatting>
  <conditionalFormatting sqref="F9:F38">
    <cfRule type="cellIs" dxfId="1" priority="4" operator="notBetween">
      <formula>-3.6</formula>
      <formula>4.4</formula>
    </cfRule>
  </conditionalFormatting>
  <conditionalFormatting sqref="G9:G38">
    <cfRule type="cellIs" dxfId="0" priority="2" operator="notBetween">
      <formula>0</formula>
      <formula>5</formula>
    </cfRule>
  </conditionalFormatting>
  <pageMargins left="1.1023622047244095" right="0" top="0" bottom="0" header="0.31496062992125984" footer="0.3149606299212598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698A-0923-4663-AFD9-DCB67F959C59}">
  <sheetPr>
    <pageSetUpPr fitToPage="1"/>
  </sheetPr>
  <dimension ref="A1:G45"/>
  <sheetViews>
    <sheetView view="pageBreakPreview" zoomScaleNormal="100" zoomScaleSheetLayoutView="100" workbookViewId="0">
      <selection activeCell="B6" sqref="B6"/>
    </sheetView>
  </sheetViews>
  <sheetFormatPr defaultRowHeight="15" x14ac:dyDescent="0.25"/>
  <cols>
    <col min="1" max="2" width="21.42578125" style="2" customWidth="1"/>
    <col min="3" max="5" width="12.85546875" style="2" customWidth="1"/>
    <col min="6" max="6" width="17.140625" style="2" customWidth="1"/>
    <col min="7" max="7" width="21.42578125" style="2" customWidth="1"/>
    <col min="8" max="16384" width="9.140625" style="39"/>
  </cols>
  <sheetData>
    <row r="1" spans="1:7" s="2" customFormat="1" x14ac:dyDescent="0.25">
      <c r="A1" s="279" t="s">
        <v>39</v>
      </c>
      <c r="B1" s="280"/>
      <c r="C1" s="280"/>
      <c r="D1" s="280"/>
      <c r="E1" s="280"/>
      <c r="F1" s="280"/>
      <c r="G1" s="281"/>
    </row>
    <row r="2" spans="1:7" s="2" customFormat="1" x14ac:dyDescent="0.25">
      <c r="A2" s="3"/>
      <c r="B2" s="4"/>
      <c r="C2" s="4"/>
      <c r="D2" s="4"/>
      <c r="E2" s="4"/>
      <c r="F2" s="4"/>
      <c r="G2" s="5" t="s">
        <v>40</v>
      </c>
    </row>
    <row r="3" spans="1:7" s="2" customFormat="1" ht="19.5" customHeight="1" x14ac:dyDescent="0.25">
      <c r="A3" s="282" t="s">
        <v>41</v>
      </c>
      <c r="B3" s="283"/>
      <c r="C3" s="283"/>
      <c r="D3" s="283"/>
      <c r="E3" s="283"/>
      <c r="F3" s="283"/>
      <c r="G3" s="284"/>
    </row>
    <row r="4" spans="1:7" s="2" customFormat="1" ht="19.5" customHeight="1" x14ac:dyDescent="0.25">
      <c r="A4" s="195" t="s">
        <v>42</v>
      </c>
      <c r="B4" s="205"/>
      <c r="C4" s="205"/>
      <c r="D4" s="205"/>
      <c r="E4" s="205"/>
      <c r="F4" s="205"/>
      <c r="G4" s="206"/>
    </row>
    <row r="5" spans="1:7" s="2" customFormat="1" ht="19.5" customHeight="1" x14ac:dyDescent="0.25">
      <c r="A5" s="285" t="s">
        <v>43</v>
      </c>
      <c r="B5" s="286"/>
      <c r="C5" s="286"/>
      <c r="D5" s="286"/>
      <c r="E5" s="286"/>
      <c r="F5" s="286"/>
      <c r="G5" s="287"/>
    </row>
    <row r="6" spans="1:7" s="2" customFormat="1" ht="16.5" customHeight="1" x14ac:dyDescent="0.25">
      <c r="A6" s="6" t="s">
        <v>44</v>
      </c>
      <c r="B6" s="7" t="s">
        <v>45</v>
      </c>
      <c r="C6" s="8" t="s">
        <v>4</v>
      </c>
      <c r="D6" s="234" t="s">
        <v>46</v>
      </c>
      <c r="E6" s="236"/>
      <c r="F6" s="259" t="s">
        <v>47</v>
      </c>
      <c r="G6" s="263">
        <f>Page1!I4</f>
        <v>0</v>
      </c>
    </row>
    <row r="7" spans="1:7" s="2" customFormat="1" ht="16.5" customHeight="1" x14ac:dyDescent="0.25">
      <c r="A7" s="6" t="s">
        <v>48</v>
      </c>
      <c r="B7" s="9"/>
      <c r="C7" s="8" t="s">
        <v>49</v>
      </c>
      <c r="D7" s="234">
        <f>Page1!E5</f>
        <v>0</v>
      </c>
      <c r="E7" s="236"/>
      <c r="F7" s="259"/>
      <c r="G7" s="288"/>
    </row>
    <row r="8" spans="1:7" s="2" customFormat="1" ht="37.5" customHeight="1" x14ac:dyDescent="0.25">
      <c r="A8" s="6" t="s">
        <v>50</v>
      </c>
      <c r="B8" s="10">
        <f>Page1!B4</f>
        <v>0</v>
      </c>
      <c r="C8" s="8" t="s">
        <v>51</v>
      </c>
      <c r="D8" s="259">
        <f>Page1!G5</f>
        <v>0</v>
      </c>
      <c r="E8" s="259"/>
      <c r="F8" s="260" t="s">
        <v>8</v>
      </c>
      <c r="G8" s="263">
        <f>Page1!I5</f>
        <v>0</v>
      </c>
    </row>
    <row r="9" spans="1:7" s="2" customFormat="1" ht="16.5" customHeight="1" x14ac:dyDescent="0.25">
      <c r="A9" s="11" t="s">
        <v>52</v>
      </c>
      <c r="B9" s="12">
        <f>Page1!F44</f>
        <v>461343000</v>
      </c>
      <c r="C9" s="260" t="s">
        <v>53</v>
      </c>
      <c r="D9" s="266" t="s">
        <v>54</v>
      </c>
      <c r="E9" s="267"/>
      <c r="F9" s="261"/>
      <c r="G9" s="264"/>
    </row>
    <row r="10" spans="1:7" s="2" customFormat="1" ht="15.75" thickBot="1" x14ac:dyDescent="0.3">
      <c r="A10" s="13" t="s">
        <v>55</v>
      </c>
      <c r="B10" s="14">
        <f>Page1!B5</f>
        <v>0</v>
      </c>
      <c r="C10" s="262"/>
      <c r="D10" s="268"/>
      <c r="E10" s="269"/>
      <c r="F10" s="262"/>
      <c r="G10" s="265"/>
    </row>
    <row r="11" spans="1:7" s="2" customFormat="1" ht="16.5" customHeight="1" x14ac:dyDescent="0.25">
      <c r="A11" s="270" t="s">
        <v>56</v>
      </c>
      <c r="B11" s="272" t="s">
        <v>57</v>
      </c>
      <c r="C11" s="274" t="s">
        <v>11</v>
      </c>
      <c r="D11" s="275"/>
      <c r="E11" s="276"/>
      <c r="F11" s="272" t="s">
        <v>58</v>
      </c>
      <c r="G11" s="277" t="s">
        <v>59</v>
      </c>
    </row>
    <row r="12" spans="1:7" s="2" customFormat="1" ht="16.5" customHeight="1" thickBot="1" x14ac:dyDescent="0.3">
      <c r="A12" s="271"/>
      <c r="B12" s="273"/>
      <c r="C12" s="15" t="s">
        <v>60</v>
      </c>
      <c r="D12" s="15" t="s">
        <v>61</v>
      </c>
      <c r="E12" s="15" t="s">
        <v>62</v>
      </c>
      <c r="F12" s="273"/>
      <c r="G12" s="278"/>
    </row>
    <row r="13" spans="1:7" s="2" customFormat="1" ht="16.5" customHeight="1" x14ac:dyDescent="0.25">
      <c r="A13" s="16" t="s">
        <v>63</v>
      </c>
      <c r="B13" s="17" t="s">
        <v>64</v>
      </c>
      <c r="C13" s="18">
        <v>17</v>
      </c>
      <c r="D13" s="18">
        <v>18</v>
      </c>
      <c r="E13" s="18">
        <v>20</v>
      </c>
      <c r="F13" s="19" t="e">
        <f>Page1!D39</f>
        <v>#DIV/0!</v>
      </c>
      <c r="G13" s="27" t="s">
        <v>65</v>
      </c>
    </row>
    <row r="14" spans="1:7" s="2" customFormat="1" ht="16.5" customHeight="1" x14ac:dyDescent="0.25">
      <c r="A14" s="20" t="s">
        <v>66</v>
      </c>
      <c r="B14" s="21" t="s">
        <v>67</v>
      </c>
      <c r="C14" s="22">
        <v>18</v>
      </c>
      <c r="D14" s="22">
        <v>23</v>
      </c>
      <c r="E14" s="22">
        <v>28</v>
      </c>
      <c r="F14" s="23" t="e">
        <f>Page1!E39</f>
        <v>#DIV/0!</v>
      </c>
      <c r="G14" s="24" t="s">
        <v>68</v>
      </c>
    </row>
    <row r="15" spans="1:7" s="2" customFormat="1" ht="16.5" customHeight="1" x14ac:dyDescent="0.25">
      <c r="A15" s="20" t="s">
        <v>69</v>
      </c>
      <c r="B15" s="21" t="s">
        <v>70</v>
      </c>
      <c r="C15" s="22">
        <v>300</v>
      </c>
      <c r="D15" s="22" t="s">
        <v>71</v>
      </c>
      <c r="E15" s="22" t="s">
        <v>71</v>
      </c>
      <c r="F15" s="25" t="e">
        <f>Page1!I39</f>
        <v>#DIV/0!</v>
      </c>
      <c r="G15" s="258" t="s">
        <v>72</v>
      </c>
    </row>
    <row r="16" spans="1:7" s="2" customFormat="1" ht="16.5" customHeight="1" x14ac:dyDescent="0.25">
      <c r="A16" s="20" t="s">
        <v>73</v>
      </c>
      <c r="B16" s="21" t="s">
        <v>70</v>
      </c>
      <c r="C16" s="22">
        <v>300</v>
      </c>
      <c r="D16" s="22" t="s">
        <v>71</v>
      </c>
      <c r="E16" s="22" t="s">
        <v>71</v>
      </c>
      <c r="F16" s="25" t="e">
        <f>Page2!F41</f>
        <v>#DIV/0!</v>
      </c>
      <c r="G16" s="193"/>
    </row>
    <row r="17" spans="1:7" s="2" customFormat="1" ht="16.5" customHeight="1" x14ac:dyDescent="0.25">
      <c r="A17" s="20" t="s">
        <v>74</v>
      </c>
      <c r="B17" s="21" t="s">
        <v>70</v>
      </c>
      <c r="C17" s="22">
        <v>900</v>
      </c>
      <c r="D17" s="22" t="s">
        <v>71</v>
      </c>
      <c r="E17" s="22">
        <v>1200</v>
      </c>
      <c r="F17" s="25" t="e">
        <f>Page1!G39</f>
        <v>#DIV/0!</v>
      </c>
      <c r="G17" s="193"/>
    </row>
    <row r="18" spans="1:7" s="2" customFormat="1" ht="16.5" customHeight="1" x14ac:dyDescent="0.25">
      <c r="A18" s="20" t="s">
        <v>75</v>
      </c>
      <c r="B18" s="21" t="s">
        <v>70</v>
      </c>
      <c r="C18" s="22">
        <v>700</v>
      </c>
      <c r="D18" s="22" t="s">
        <v>71</v>
      </c>
      <c r="E18" s="22">
        <v>1000</v>
      </c>
      <c r="F18" s="25" t="e">
        <f>Page2!D41</f>
        <v>#DIV/0!</v>
      </c>
      <c r="G18" s="193"/>
    </row>
    <row r="19" spans="1:7" s="2" customFormat="1" ht="16.5" customHeight="1" x14ac:dyDescent="0.25">
      <c r="A19" s="20" t="s">
        <v>76</v>
      </c>
      <c r="B19" s="21" t="s">
        <v>77</v>
      </c>
      <c r="C19" s="22">
        <v>350</v>
      </c>
      <c r="D19" s="22" t="s">
        <v>71</v>
      </c>
      <c r="E19" s="22" t="s">
        <v>71</v>
      </c>
      <c r="F19" s="25" t="e">
        <f>Page1!H39</f>
        <v>#DIV/0!</v>
      </c>
      <c r="G19" s="193"/>
    </row>
    <row r="20" spans="1:7" s="2" customFormat="1" ht="16.5" customHeight="1" x14ac:dyDescent="0.25">
      <c r="A20" s="20" t="s">
        <v>78</v>
      </c>
      <c r="B20" s="21" t="s">
        <v>77</v>
      </c>
      <c r="C20" s="22">
        <v>400</v>
      </c>
      <c r="D20" s="22" t="s">
        <v>71</v>
      </c>
      <c r="E20" s="22" t="s">
        <v>71</v>
      </c>
      <c r="F20" s="25" t="e">
        <f>Page2!E41</f>
        <v>#DIV/0!</v>
      </c>
      <c r="G20" s="193"/>
    </row>
    <row r="21" spans="1:7" s="2" customFormat="1" ht="16.5" customHeight="1" x14ac:dyDescent="0.25">
      <c r="A21" s="20" t="s">
        <v>79</v>
      </c>
      <c r="B21" s="21" t="s">
        <v>71</v>
      </c>
      <c r="C21" s="26">
        <v>0.3</v>
      </c>
      <c r="D21" s="26">
        <v>0.45</v>
      </c>
      <c r="E21" s="26">
        <v>0.6</v>
      </c>
      <c r="F21" s="26" t="e">
        <f>Page1!F39</f>
        <v>#DIV/0!</v>
      </c>
      <c r="G21" s="193"/>
    </row>
    <row r="22" spans="1:7" s="2" customFormat="1" ht="16.5" customHeight="1" x14ac:dyDescent="0.25">
      <c r="A22" s="20" t="s">
        <v>80</v>
      </c>
      <c r="B22" s="21" t="s">
        <v>81</v>
      </c>
      <c r="C22" s="22" t="s">
        <v>71</v>
      </c>
      <c r="D22" s="25">
        <v>165</v>
      </c>
      <c r="E22" s="25">
        <v>168</v>
      </c>
      <c r="F22" s="25" t="e">
        <f>Page2!H41</f>
        <v>#DIV/0!</v>
      </c>
      <c r="G22" s="24" t="s">
        <v>82</v>
      </c>
    </row>
    <row r="23" spans="1:7" s="2" customFormat="1" ht="16.5" customHeight="1" x14ac:dyDescent="0.25">
      <c r="A23" s="20" t="s">
        <v>83</v>
      </c>
      <c r="B23" s="21" t="s">
        <v>84</v>
      </c>
      <c r="C23" s="25">
        <v>6000</v>
      </c>
      <c r="D23" s="22" t="s">
        <v>71</v>
      </c>
      <c r="E23" s="22" t="s">
        <v>71</v>
      </c>
      <c r="F23" s="25">
        <v>6000</v>
      </c>
      <c r="G23" s="24" t="s">
        <v>85</v>
      </c>
    </row>
    <row r="24" spans="1:7" s="2" customFormat="1" ht="16.5" customHeight="1" thickBot="1" x14ac:dyDescent="0.3">
      <c r="A24" s="28" t="s">
        <v>86</v>
      </c>
      <c r="B24" s="29" t="s">
        <v>81</v>
      </c>
      <c r="C24" s="30">
        <v>410</v>
      </c>
      <c r="D24" s="30">
        <v>430</v>
      </c>
      <c r="E24" s="31">
        <v>450</v>
      </c>
      <c r="F24" s="31" t="e">
        <f>Page2!I41</f>
        <v>#DIV/0!</v>
      </c>
      <c r="G24" s="32" t="s">
        <v>82</v>
      </c>
    </row>
    <row r="25" spans="1:7" s="2" customFormat="1" ht="16.5" customHeight="1" thickBot="1" x14ac:dyDescent="0.3">
      <c r="A25" s="252" t="s">
        <v>87</v>
      </c>
      <c r="B25" s="253"/>
      <c r="C25" s="253"/>
      <c r="D25" s="253"/>
      <c r="E25" s="253"/>
      <c r="F25" s="253"/>
      <c r="G25" s="254"/>
    </row>
    <row r="26" spans="1:7" s="2" customFormat="1" ht="16.5" customHeight="1" x14ac:dyDescent="0.25">
      <c r="A26" s="232" t="s">
        <v>88</v>
      </c>
      <c r="B26" s="233"/>
      <c r="C26" s="255" t="s">
        <v>89</v>
      </c>
      <c r="D26" s="256"/>
      <c r="E26" s="257"/>
      <c r="F26" s="33" t="s">
        <v>90</v>
      </c>
      <c r="G26" s="27" t="s">
        <v>91</v>
      </c>
    </row>
    <row r="27" spans="1:7" s="2" customFormat="1" ht="16.5" customHeight="1" x14ac:dyDescent="0.25">
      <c r="A27" s="237" t="s">
        <v>92</v>
      </c>
      <c r="B27" s="236"/>
      <c r="C27" s="246" t="s">
        <v>93</v>
      </c>
      <c r="D27" s="247"/>
      <c r="E27" s="248"/>
      <c r="F27" s="34" t="s">
        <v>90</v>
      </c>
      <c r="G27" s="24" t="s">
        <v>94</v>
      </c>
    </row>
    <row r="28" spans="1:7" s="2" customFormat="1" ht="16.5" customHeight="1" x14ac:dyDescent="0.25">
      <c r="A28" s="237" t="s">
        <v>95</v>
      </c>
      <c r="B28" s="236"/>
      <c r="C28" s="246" t="s">
        <v>96</v>
      </c>
      <c r="D28" s="247"/>
      <c r="E28" s="248"/>
      <c r="F28" s="34" t="s">
        <v>90</v>
      </c>
      <c r="G28" s="27" t="s">
        <v>91</v>
      </c>
    </row>
    <row r="29" spans="1:7" s="2" customFormat="1" ht="16.5" customHeight="1" x14ac:dyDescent="0.25">
      <c r="A29" s="237" t="s">
        <v>97</v>
      </c>
      <c r="B29" s="236"/>
      <c r="C29" s="246" t="s">
        <v>98</v>
      </c>
      <c r="D29" s="247"/>
      <c r="E29" s="248"/>
      <c r="F29" s="34" t="s">
        <v>90</v>
      </c>
      <c r="G29" s="24" t="s">
        <v>99</v>
      </c>
    </row>
    <row r="30" spans="1:7" s="2" customFormat="1" ht="16.5" customHeight="1" x14ac:dyDescent="0.25">
      <c r="A30" s="237" t="s">
        <v>100</v>
      </c>
      <c r="B30" s="236"/>
      <c r="C30" s="246" t="s">
        <v>101</v>
      </c>
      <c r="D30" s="247"/>
      <c r="E30" s="248"/>
      <c r="F30" s="34" t="s">
        <v>90</v>
      </c>
      <c r="G30" s="24" t="s">
        <v>94</v>
      </c>
    </row>
    <row r="31" spans="1:7" s="2" customFormat="1" ht="16.5" customHeight="1" x14ac:dyDescent="0.25">
      <c r="A31" s="237" t="s">
        <v>102</v>
      </c>
      <c r="B31" s="236"/>
      <c r="C31" s="246" t="s">
        <v>103</v>
      </c>
      <c r="D31" s="247"/>
      <c r="E31" s="248"/>
      <c r="F31" s="34" t="s">
        <v>90</v>
      </c>
      <c r="G31" s="24" t="s">
        <v>104</v>
      </c>
    </row>
    <row r="32" spans="1:7" s="2" customFormat="1" ht="33" customHeight="1" thickBot="1" x14ac:dyDescent="0.3">
      <c r="A32" s="238" t="s">
        <v>105</v>
      </c>
      <c r="B32" s="239"/>
      <c r="C32" s="249" t="s">
        <v>106</v>
      </c>
      <c r="D32" s="250"/>
      <c r="E32" s="251"/>
      <c r="F32" s="36" t="s">
        <v>90</v>
      </c>
      <c r="G32" s="52" t="s">
        <v>104</v>
      </c>
    </row>
    <row r="33" spans="1:7" s="2" customFormat="1" ht="16.5" customHeight="1" thickBot="1" x14ac:dyDescent="0.3">
      <c r="A33" s="252" t="s">
        <v>107</v>
      </c>
      <c r="B33" s="253"/>
      <c r="C33" s="253"/>
      <c r="D33" s="253"/>
      <c r="E33" s="253"/>
      <c r="F33" s="253"/>
      <c r="G33" s="254"/>
    </row>
    <row r="34" spans="1:7" s="2" customFormat="1" ht="16.5" customHeight="1" x14ac:dyDescent="0.25">
      <c r="A34" s="242" t="s">
        <v>108</v>
      </c>
      <c r="B34" s="243"/>
      <c r="C34" s="244" t="s">
        <v>96</v>
      </c>
      <c r="D34" s="245"/>
      <c r="E34" s="243"/>
      <c r="F34" s="37" t="s">
        <v>90</v>
      </c>
      <c r="G34" s="27" t="s">
        <v>91</v>
      </c>
    </row>
    <row r="35" spans="1:7" s="2" customFormat="1" ht="16.5" customHeight="1" x14ac:dyDescent="0.25">
      <c r="A35" s="232" t="s">
        <v>109</v>
      </c>
      <c r="B35" s="233"/>
      <c r="C35" s="234" t="s">
        <v>133</v>
      </c>
      <c r="D35" s="235"/>
      <c r="E35" s="236"/>
      <c r="F35" s="22" t="s">
        <v>90</v>
      </c>
      <c r="G35" s="24" t="s">
        <v>94</v>
      </c>
    </row>
    <row r="36" spans="1:7" s="2" customFormat="1" ht="16.5" customHeight="1" x14ac:dyDescent="0.25">
      <c r="A36" s="237" t="s">
        <v>110</v>
      </c>
      <c r="B36" s="236"/>
      <c r="C36" s="234" t="s">
        <v>111</v>
      </c>
      <c r="D36" s="235"/>
      <c r="E36" s="236"/>
      <c r="F36" s="22" t="s">
        <v>90</v>
      </c>
      <c r="G36" s="24" t="s">
        <v>94</v>
      </c>
    </row>
    <row r="37" spans="1:7" s="2" customFormat="1" ht="16.5" customHeight="1" thickBot="1" x14ac:dyDescent="0.3">
      <c r="A37" s="238" t="s">
        <v>112</v>
      </c>
      <c r="B37" s="239"/>
      <c r="C37" s="240" t="s">
        <v>113</v>
      </c>
      <c r="D37" s="241"/>
      <c r="E37" s="239"/>
      <c r="F37" s="1" t="s">
        <v>90</v>
      </c>
      <c r="G37" s="32" t="s">
        <v>82</v>
      </c>
    </row>
    <row r="38" spans="1:7" s="2" customFormat="1" ht="16.5" customHeight="1" x14ac:dyDescent="0.25">
      <c r="A38" s="218" t="s">
        <v>114</v>
      </c>
      <c r="B38" s="219"/>
      <c r="C38" s="220" t="s">
        <v>115</v>
      </c>
      <c r="D38" s="221"/>
      <c r="E38" s="222"/>
      <c r="F38" s="220" t="s">
        <v>116</v>
      </c>
      <c r="G38" s="222"/>
    </row>
    <row r="39" spans="1:7" s="2" customFormat="1" ht="123" customHeight="1" x14ac:dyDescent="0.25">
      <c r="A39" s="223"/>
      <c r="B39" s="224"/>
      <c r="C39" s="195"/>
      <c r="D39" s="205"/>
      <c r="E39" s="206"/>
      <c r="F39" s="227"/>
      <c r="G39" s="228"/>
    </row>
    <row r="40" spans="1:7" s="2" customFormat="1" ht="16.5" customHeight="1" thickBot="1" x14ac:dyDescent="0.3">
      <c r="A40" s="225"/>
      <c r="B40" s="226"/>
      <c r="C40" s="229" t="s">
        <v>16</v>
      </c>
      <c r="D40" s="230"/>
      <c r="E40" s="231"/>
      <c r="F40" s="229" t="s">
        <v>117</v>
      </c>
      <c r="G40" s="231"/>
    </row>
    <row r="41" spans="1:7" ht="16.5" customHeight="1" x14ac:dyDescent="0.25">
      <c r="A41" s="38"/>
      <c r="B41" s="38"/>
      <c r="C41" s="38" t="s">
        <v>132</v>
      </c>
      <c r="D41" s="38"/>
      <c r="E41" s="215"/>
      <c r="F41" s="215"/>
      <c r="G41" s="215"/>
    </row>
    <row r="42" spans="1:7" x14ac:dyDescent="0.25">
      <c r="A42" s="42" t="s">
        <v>118</v>
      </c>
      <c r="B42" s="40"/>
      <c r="C42" s="41"/>
      <c r="D42" s="38"/>
      <c r="E42" s="216"/>
      <c r="F42" s="216"/>
      <c r="G42" s="216"/>
    </row>
    <row r="44" spans="1:7" x14ac:dyDescent="0.25">
      <c r="A44" s="217" t="s">
        <v>119</v>
      </c>
      <c r="B44" s="217"/>
    </row>
    <row r="45" spans="1:7" x14ac:dyDescent="0.25">
      <c r="A45" s="217" t="s">
        <v>120</v>
      </c>
      <c r="B45" s="217"/>
    </row>
  </sheetData>
  <mergeCells count="55">
    <mergeCell ref="A1:G1"/>
    <mergeCell ref="A3:G3"/>
    <mergeCell ref="A4:G4"/>
    <mergeCell ref="A5:G5"/>
    <mergeCell ref="D6:E6"/>
    <mergeCell ref="F6:F7"/>
    <mergeCell ref="G6:G7"/>
    <mergeCell ref="D7:E7"/>
    <mergeCell ref="A11:A12"/>
    <mergeCell ref="B11:B12"/>
    <mergeCell ref="C11:E11"/>
    <mergeCell ref="F11:F12"/>
    <mergeCell ref="G11:G12"/>
    <mergeCell ref="G15:G21"/>
    <mergeCell ref="D8:E8"/>
    <mergeCell ref="F8:F10"/>
    <mergeCell ref="G8:G10"/>
    <mergeCell ref="C9:C10"/>
    <mergeCell ref="D9:E10"/>
    <mergeCell ref="A25:G25"/>
    <mergeCell ref="A26:B26"/>
    <mergeCell ref="C26:E26"/>
    <mergeCell ref="A27:B27"/>
    <mergeCell ref="C27:E27"/>
    <mergeCell ref="A34:B34"/>
    <mergeCell ref="C34:E34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G33"/>
    <mergeCell ref="A35:B35"/>
    <mergeCell ref="C35:E35"/>
    <mergeCell ref="A36:B36"/>
    <mergeCell ref="C36:E36"/>
    <mergeCell ref="A37:B37"/>
    <mergeCell ref="C37:E37"/>
    <mergeCell ref="E41:G41"/>
    <mergeCell ref="E42:G42"/>
    <mergeCell ref="A44:B44"/>
    <mergeCell ref="A45:B45"/>
    <mergeCell ref="A38:B38"/>
    <mergeCell ref="C38:E38"/>
    <mergeCell ref="F38:G38"/>
    <mergeCell ref="A39:B40"/>
    <mergeCell ref="C39:E39"/>
    <mergeCell ref="F39:G39"/>
    <mergeCell ref="C40:E40"/>
    <mergeCell ref="F40:G40"/>
  </mergeCells>
  <pageMargins left="0.39370078740157483" right="0.39370078740157483" top="0.74803149606299213" bottom="0.74803149606299213" header="0.31496062992125984" footer="0.31496062992125984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2025-11-26T16:31:53Z</dcterms:modified>
</cp:coreProperties>
</file>