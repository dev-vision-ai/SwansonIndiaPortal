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E6C581B3-519B-4173-A326-7974FD9E36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Form'!$A$1:$G$39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G8" i="12"/>
  <c r="D8" i="12"/>
  <c r="B8" i="12"/>
  <c r="D7" i="12"/>
  <c r="G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<sst xmlns="http://schemas.openxmlformats.org/spreadsheetml/2006/main" count="276" uniqueCount="123">
  <si>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</si>
  <si>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</si>
  <si>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</si>
  <si>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</si>
  <si>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</si>
  <si>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</si>
  <si>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</si>
  <si>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</si>
  <si>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</si>
  <si>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</si>
  <si>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</si>
  <si>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</si>
  <si>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</si>
  <si>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</si>
  <si>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</si>
  <si>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</si>
  <si>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</si>
  <si>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</si>
  <si>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</si>
  <si>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</si>
  <si>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</si>
  <si>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</si>
  <si>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</si>
  <si>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</si>
  <si>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</si>
  <si>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</si>
  <si>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</si>
  <si>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</si>
  <si>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</si>
  <si>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</si>
  <si>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</si>
  <si>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</si>
  <si>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</si>
  <si>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</si>
  <si>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</si>
  <si>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</si>
  <si>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</si>
  <si>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</si>
  <si>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</si>
  <si>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</si>
  <si>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</si>
  <si>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</si>
  <si>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</si>
  <si>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</si>
  <si>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</si>
  <si>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</si>
  <si>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</si>
  <si>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</si>
  <si>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</si>
  <si>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</si>
  <si>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</si>
  <si>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</si>
  <si>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</si>
  <si>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</si>
  <si>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</si>
  <si>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</si>
  <si>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</si>
  <si>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</si>
  <si>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</si>
  <si>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</si>
  <si>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</si>
  <si>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</si>
  <si>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</si>
  <si>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</si>
  <si>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</si>
  <si>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</si>
  <si>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</si>
  <si>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</si>
  <si>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</si>
  <si>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</si>
  <si>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</si>
  <si>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</si>
  <si>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</si>
  <si>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</si>
  <si>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</si>
  <si>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</si>
  <si>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</si>
  <si>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</si>
  <si>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</si>
  <si>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</si>
  <si>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</si>
  <si>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</si>
  <si>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</si>
  <si>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</si>
  <si>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</si>
  <si>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</si>
  <si>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</si>
  <si>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</si>
  <si>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</si>
  <si>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</si>
  <si>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</si>
  <si>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</si>
  <si>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</si>
  <si>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</si>
  <si>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</si>
  <si>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</si>
  <si>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</si>
  <si>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</si>
  <si>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</si>
  <si>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</si>
  <si>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</si>
  <si>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</si>
  <si>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</si>
  <si>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</si>
  <si>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</si>
  <si>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</si>
  <si>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</si>
  <si>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</si>
  <si>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</si>
  <si>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</si>
  <si>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</si>
  <si>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</si>
  <si>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</si>
  <si>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</si>
  <si>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</si>
  <si>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</si>
  <si>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</si>
  <si>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</si>
  <si>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</si>
  <si>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</si>
  <si>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</si>
  <si>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</si>
  <si>
    <t>Micro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</si>
</sst>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4">
    <xf numFmtId="0" fontId="0" fillId="0" borderId="0" xfId="0"/>
    <xf numFmtId="0" fontId="0" fillId="2" borderId="0" xfId="0" applyFill="1" applyAlignment="1">
      <alignment wrapText="1"/>
    </xf>
    <xf numFmtId="0" fontId="5" fillId="2" borderId="49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right" vertical="center" wrapText="1"/>
    </xf>
    <xf numFmtId="0" fontId="1" fillId="2" borderId="5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8" fillId="2" borderId="43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2" xfId="0" applyFont="1" applyFill="1" applyBorder="1" applyAlignment="1">
      <alignment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20" fontId="1" fillId="2" borderId="5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2" fontId="1" fillId="2" borderId="43" xfId="0" applyNumberFormat="1" applyFont="1" applyFill="1" applyBorder="1" applyAlignment="1">
      <alignment horizontal="center" vertical="center" wrapText="1"/>
    </xf>
    <xf numFmtId="1" fontId="1" fillId="2" borderId="4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7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26" xfId="0" applyNumberFormat="1" applyFont="1" applyFill="1" applyBorder="1" applyAlignment="1">
      <alignment horizontal="center" vertical="center" wrapText="1"/>
    </xf>
    <xf numFmtId="164" fontId="1" fillId="2" borderId="51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0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51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49" fontId="8" fillId="2" borderId="47" xfId="0" applyNumberFormat="1" applyFont="1" applyFill="1" applyBorder="1" applyAlignment="1">
      <alignment horizontal="center" vertical="center" wrapText="1"/>
    </xf>
    <xf numFmtId="0" fontId="8" fillId="2" borderId="47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6" xfId="0" applyFont="1" applyFill="1" applyBorder="1" applyAlignment="1">
      <alignment horizontal="left" vertical="top" wrapText="1"/>
    </xf>
    <xf numFmtId="0" fontId="8" fillId="2" borderId="48" xfId="0" applyFont="1" applyFill="1" applyBorder="1" applyAlignment="1">
      <alignment horizontal="left" vertical="top" wrapText="1"/>
    </xf>
    <xf numFmtId="0" fontId="8" fillId="2" borderId="46" xfId="0" applyFont="1" applyFill="1" applyBorder="1" applyAlignment="1">
      <alignment horizontal="center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1" fillId="2" borderId="49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4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0" xfId="0" applyFont="1" applyFill="1" applyBorder="1" applyAlignment="1">
      <alignment horizont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3" xfId="0" applyNumberFormat="1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5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left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14" fontId="1" fillId="2" borderId="4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7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D31" sqref="D31"/>
    </sheetView>
  </sheetViews>
  <sheetFormatPr defaultRowHeight="15" x14ac:dyDescent="0.25"/>
  <cols>
    <col min="1" max="3" width="14" style="43" customWidth="1"/>
    <col min="4" max="9" width="22.140625" style="43" customWidth="1"/>
    <col min="10" max="10" width="10.5703125" style="43" bestFit="1" customWidth="1"/>
    <col min="11" max="11" width="9.140625" style="43"/>
    <col min="12" max="12" width="9.42578125" style="43" bestFit="1" customWidth="1"/>
    <col min="13" max="16384" width="9.140625" style="43"/>
  </cols>
  <sheetData>
    <row r="1" spans="1:11" s="42" customFormat="1" ht="15.75" customHeight="1" x14ac:dyDescent="0.25">
      <c r="A1" s="156" t="s">
        <v>9</v>
      </c>
      <c r="B1" s="156"/>
      <c r="C1" s="156"/>
      <c r="D1" s="156"/>
      <c r="E1" s="156"/>
      <c r="F1" s="156"/>
      <c r="G1" s="156"/>
      <c r="H1" s="156"/>
      <c r="I1" s="54" t="s">
        <v>20</v>
      </c>
    </row>
    <row r="2" spans="1:11" s="42" customFormat="1" ht="15.75" customHeight="1" x14ac:dyDescent="0.25">
      <c r="A2" s="156" t="s">
        <v>12</v>
      </c>
      <c r="B2" s="156"/>
      <c r="C2" s="156"/>
      <c r="D2" s="156"/>
      <c r="E2" s="156"/>
      <c r="F2" s="156"/>
      <c r="G2" s="156"/>
      <c r="H2" s="156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/>
    </row>
    <row r="4" spans="1:11" s="42" customFormat="1" ht="23.25" customHeight="1" x14ac:dyDescent="0.25">
      <c r="A4" s="59" t="s">
        <v>10</v>
      </c>
      <c r="B4" s="159"/>
      <c r="C4" s="160"/>
      <c r="D4" s="60" t="s">
        <v>3</v>
      </c>
      <c r="E4" s="36"/>
      <c r="F4" s="60" t="s">
        <v>4</v>
      </c>
      <c r="G4" s="36"/>
      <c r="H4" s="144" t="s">
        <v>5</v>
      </c>
      <c r="I4" s="61"/>
      <c r="K4" s="42" t="s">
        <v>21</v>
      </c>
    </row>
    <row r="5" spans="1:11" s="42" customFormat="1" ht="23.25" customHeight="1" thickBot="1" x14ac:dyDescent="0.3">
      <c r="A5" s="62" t="s">
        <v>11</v>
      </c>
      <c r="B5" s="161"/>
      <c r="C5" s="162"/>
      <c r="D5" s="63" t="s">
        <v>6</v>
      </c>
      <c r="E5" s="147"/>
      <c r="F5" s="63" t="s">
        <v>7</v>
      </c>
      <c r="G5" s="147"/>
      <c r="H5" s="13" t="s">
        <v>8</v>
      </c>
      <c r="I5" s="64"/>
    </row>
    <row r="6" spans="1:11" s="42" customFormat="1" ht="15.75" customHeight="1" thickBot="1" x14ac:dyDescent="0.3">
      <c r="A6" s="172" t="s">
        <v>107</v>
      </c>
      <c r="B6" s="173"/>
      <c r="C6" s="174"/>
      <c r="D6" s="148"/>
      <c r="E6" s="146"/>
      <c r="F6" s="146"/>
      <c r="G6" s="166"/>
      <c r="H6" s="167"/>
      <c r="I6" s="168"/>
    </row>
    <row r="7" spans="1:11" ht="15" customHeight="1" x14ac:dyDescent="0.25">
      <c r="A7" s="175" t="s">
        <v>0</v>
      </c>
      <c r="B7" s="169"/>
      <c r="C7" s="169"/>
      <c r="D7" s="169" t="s">
        <v>29</v>
      </c>
      <c r="E7" s="163" t="s">
        <v>32</v>
      </c>
      <c r="F7" s="163" t="s">
        <v>31</v>
      </c>
      <c r="G7" s="169" t="s">
        <v>1</v>
      </c>
      <c r="H7" s="169"/>
      <c r="I7" s="170"/>
    </row>
    <row r="8" spans="1:11" ht="60" customHeight="1" thickBot="1" x14ac:dyDescent="0.3">
      <c r="A8" s="176"/>
      <c r="B8" s="177"/>
      <c r="C8" s="177"/>
      <c r="D8" s="177"/>
      <c r="E8" s="164"/>
      <c r="F8" s="164"/>
      <c r="G8" s="65" t="s">
        <v>37</v>
      </c>
      <c r="H8" s="147" t="s">
        <v>33</v>
      </c>
      <c r="I8" s="34" t="s">
        <v>34</v>
      </c>
    </row>
    <row r="9" spans="1:11" s="42" customFormat="1" ht="19.5" customHeight="1" x14ac:dyDescent="0.25">
      <c r="A9" s="66"/>
      <c r="B9" s="67"/>
      <c r="C9" s="68"/>
      <c r="D9" s="69"/>
      <c r="E9" s="70"/>
      <c r="F9" s="71"/>
      <c r="G9" s="69"/>
      <c r="H9" s="70"/>
      <c r="I9" s="72"/>
    </row>
    <row r="10" spans="1:11" s="42" customFormat="1" ht="19.5" customHeight="1" x14ac:dyDescent="0.25">
      <c r="A10" s="73"/>
      <c r="B10" s="74"/>
      <c r="C10" s="75"/>
      <c r="D10" s="76"/>
      <c r="E10" s="77"/>
      <c r="F10" s="78"/>
      <c r="G10" s="76"/>
      <c r="H10" s="77"/>
      <c r="I10" s="80"/>
    </row>
    <row r="11" spans="1:11" s="42" customFormat="1" ht="19.5" customHeight="1" x14ac:dyDescent="0.25">
      <c r="A11" s="73"/>
      <c r="B11" s="74"/>
      <c r="C11" s="81"/>
      <c r="D11" s="76"/>
      <c r="E11" s="77"/>
      <c r="F11" s="78"/>
      <c r="G11" s="76"/>
      <c r="H11" s="77"/>
      <c r="I11" s="80"/>
    </row>
    <row r="12" spans="1:11" s="42" customFormat="1" ht="19.5" customHeight="1" x14ac:dyDescent="0.25">
      <c r="A12" s="73"/>
      <c r="B12" s="74"/>
      <c r="C12" s="81"/>
      <c r="D12" s="76"/>
      <c r="E12" s="77"/>
      <c r="F12" s="78"/>
      <c r="G12" s="76"/>
      <c r="H12" s="77"/>
      <c r="I12" s="80"/>
    </row>
    <row r="13" spans="1:11" s="42" customFormat="1" ht="19.5" customHeight="1" x14ac:dyDescent="0.25">
      <c r="A13" s="73"/>
      <c r="B13" s="74"/>
      <c r="C13" s="81"/>
      <c r="D13" s="76"/>
      <c r="E13" s="77"/>
      <c r="F13" s="78"/>
      <c r="G13" s="76"/>
      <c r="H13" s="77"/>
      <c r="I13" s="80"/>
    </row>
    <row r="14" spans="1:11" s="42" customFormat="1" ht="19.5" customHeight="1" x14ac:dyDescent="0.25">
      <c r="A14" s="73"/>
      <c r="B14" s="74"/>
      <c r="C14" s="82"/>
      <c r="D14" s="76"/>
      <c r="E14" s="77"/>
      <c r="F14" s="78"/>
      <c r="G14" s="76"/>
      <c r="H14" s="77"/>
      <c r="I14" s="80"/>
    </row>
    <row r="15" spans="1:11" s="42" customFormat="1" ht="19.5" customHeight="1" x14ac:dyDescent="0.25">
      <c r="A15" s="73"/>
      <c r="B15" s="74"/>
      <c r="C15" s="81"/>
      <c r="D15" s="76"/>
      <c r="E15" s="77"/>
      <c r="F15" s="78"/>
      <c r="G15" s="76"/>
      <c r="H15" s="77"/>
      <c r="I15" s="80"/>
    </row>
    <row r="16" spans="1:11" s="42" customFormat="1" ht="19.5" customHeight="1" x14ac:dyDescent="0.25">
      <c r="A16" s="73"/>
      <c r="B16" s="74"/>
      <c r="C16" s="81"/>
      <c r="D16" s="76"/>
      <c r="E16" s="77"/>
      <c r="F16" s="78"/>
      <c r="G16" s="76"/>
      <c r="H16" s="77"/>
      <c r="I16" s="80"/>
    </row>
    <row r="17" spans="1:9" s="42" customFormat="1" ht="19.5" customHeight="1" x14ac:dyDescent="0.25">
      <c r="A17" s="73"/>
      <c r="B17" s="74"/>
      <c r="C17" s="81"/>
      <c r="D17" s="76"/>
      <c r="E17" s="77"/>
      <c r="F17" s="78"/>
      <c r="G17" s="76"/>
      <c r="H17" s="77"/>
      <c r="I17" s="80"/>
    </row>
    <row r="18" spans="1:9" s="42" customFormat="1" ht="19.5" customHeight="1" x14ac:dyDescent="0.25">
      <c r="A18" s="73"/>
      <c r="B18" s="74"/>
      <c r="C18" s="81"/>
      <c r="D18" s="76"/>
      <c r="E18" s="77"/>
      <c r="F18" s="78"/>
      <c r="G18" s="76"/>
      <c r="H18" s="77"/>
      <c r="I18" s="80"/>
    </row>
    <row r="19" spans="1:9" s="42" customFormat="1" ht="19.5" customHeight="1" x14ac:dyDescent="0.25">
      <c r="A19" s="73"/>
      <c r="B19" s="74"/>
      <c r="C19" s="81"/>
      <c r="D19" s="76"/>
      <c r="E19" s="77"/>
      <c r="F19" s="78"/>
      <c r="G19" s="76"/>
      <c r="H19" s="77"/>
      <c r="I19" s="80"/>
    </row>
    <row r="20" spans="1:9" s="42" customFormat="1" ht="19.5" customHeight="1" x14ac:dyDescent="0.25">
      <c r="A20" s="73"/>
      <c r="B20" s="74"/>
      <c r="C20" s="82"/>
      <c r="D20" s="76"/>
      <c r="E20" s="77"/>
      <c r="F20" s="78"/>
      <c r="G20" s="76"/>
      <c r="H20" s="77"/>
      <c r="I20" s="80"/>
    </row>
    <row r="21" spans="1:9" s="42" customFormat="1" ht="19.5" customHeight="1" x14ac:dyDescent="0.25">
      <c r="A21" s="73"/>
      <c r="B21" s="74"/>
      <c r="C21" s="83"/>
      <c r="D21" s="76"/>
      <c r="E21" s="77"/>
      <c r="F21" s="78"/>
      <c r="G21" s="76"/>
      <c r="H21" s="77"/>
      <c r="I21" s="80"/>
    </row>
    <row r="22" spans="1:9" s="42" customFormat="1" ht="19.5" customHeight="1" x14ac:dyDescent="0.25">
      <c r="A22" s="73"/>
      <c r="B22" s="74"/>
      <c r="C22" s="83"/>
      <c r="D22" s="76"/>
      <c r="E22" s="77"/>
      <c r="F22" s="78"/>
      <c r="G22" s="145"/>
      <c r="H22" s="85"/>
      <c r="I22" s="86"/>
    </row>
    <row r="23" spans="1:9" s="42" customFormat="1" ht="19.5" customHeight="1" x14ac:dyDescent="0.25">
      <c r="A23" s="73"/>
      <c r="B23" s="74"/>
      <c r="C23" s="83"/>
      <c r="D23" s="76"/>
      <c r="E23" s="77"/>
      <c r="F23" s="78"/>
      <c r="G23" s="76"/>
      <c r="H23" s="77"/>
      <c r="I23" s="80"/>
    </row>
    <row r="24" spans="1:9" s="42" customFormat="1" ht="19.5" customHeight="1" x14ac:dyDescent="0.25">
      <c r="A24" s="73"/>
      <c r="B24" s="74"/>
      <c r="C24" s="83"/>
      <c r="D24" s="76"/>
      <c r="E24" s="77"/>
      <c r="F24" s="78"/>
      <c r="G24" s="76"/>
      <c r="H24" s="77"/>
      <c r="I24" s="80"/>
    </row>
    <row r="25" spans="1:9" s="42" customFormat="1" ht="19.5" customHeight="1" x14ac:dyDescent="0.25">
      <c r="A25" s="73"/>
      <c r="B25" s="74"/>
      <c r="C25" s="75"/>
      <c r="D25" s="76"/>
      <c r="E25" s="77"/>
      <c r="F25" s="78"/>
      <c r="G25" s="76"/>
      <c r="H25" s="77"/>
      <c r="I25" s="80"/>
    </row>
    <row r="26" spans="1:9" s="42" customFormat="1" ht="19.5" customHeight="1" x14ac:dyDescent="0.25">
      <c r="A26" s="73"/>
      <c r="B26" s="74"/>
      <c r="C26" s="75"/>
      <c r="D26" s="76"/>
      <c r="E26" s="77"/>
      <c r="F26" s="78"/>
      <c r="G26" s="76"/>
      <c r="H26" s="77"/>
      <c r="I26" s="80"/>
    </row>
    <row r="27" spans="1:9" s="42" customFormat="1" ht="19.5" customHeight="1" x14ac:dyDescent="0.25">
      <c r="A27" s="73"/>
      <c r="B27" s="74"/>
      <c r="C27" s="75"/>
      <c r="D27" s="76"/>
      <c r="E27" s="77"/>
      <c r="F27" s="78"/>
      <c r="G27" s="76"/>
      <c r="H27" s="77"/>
      <c r="I27" s="80"/>
    </row>
    <row r="28" spans="1:9" s="42" customFormat="1" ht="19.5" customHeight="1" x14ac:dyDescent="0.25">
      <c r="A28" s="73"/>
      <c r="B28" s="74"/>
      <c r="C28" s="75"/>
      <c r="D28" s="76"/>
      <c r="E28" s="77"/>
      <c r="F28" s="78"/>
      <c r="G28" s="76"/>
      <c r="H28" s="77"/>
      <c r="I28" s="80"/>
    </row>
    <row r="29" spans="1:9" s="42" customFormat="1" ht="19.5" customHeight="1" x14ac:dyDescent="0.25">
      <c r="A29" s="73"/>
      <c r="B29" s="74"/>
      <c r="C29" s="75"/>
      <c r="D29" s="76"/>
      <c r="E29" s="77"/>
      <c r="F29" s="78"/>
      <c r="G29" s="76"/>
      <c r="H29" s="77"/>
      <c r="I29" s="80"/>
    </row>
    <row r="30" spans="1:9" s="42" customFormat="1" ht="19.5" customHeight="1" x14ac:dyDescent="0.25">
      <c r="A30" s="73"/>
      <c r="B30" s="74"/>
      <c r="C30" s="75"/>
      <c r="D30" s="76"/>
      <c r="E30" s="77"/>
      <c r="F30" s="78"/>
      <c r="G30" s="76"/>
      <c r="H30" s="77"/>
      <c r="I30" s="80"/>
    </row>
    <row r="31" spans="1:9" s="42" customFormat="1" ht="19.5" customHeight="1" x14ac:dyDescent="0.25">
      <c r="A31" s="73"/>
      <c r="B31" s="74"/>
      <c r="C31" s="75"/>
      <c r="D31" s="76"/>
      <c r="E31" s="77"/>
      <c r="F31" s="78"/>
      <c r="G31" s="76"/>
      <c r="H31" s="77"/>
      <c r="I31" s="80"/>
    </row>
    <row r="32" spans="1:9" s="42" customFormat="1" ht="19.5" customHeight="1" x14ac:dyDescent="0.25">
      <c r="A32" s="73"/>
      <c r="B32" s="74"/>
      <c r="C32" s="75"/>
      <c r="D32" s="76"/>
      <c r="E32" s="77"/>
      <c r="F32" s="78"/>
      <c r="G32" s="76"/>
      <c r="H32" s="77"/>
      <c r="I32" s="80"/>
    </row>
    <row r="33" spans="1:12" s="42" customFormat="1" ht="19.5" customHeight="1" x14ac:dyDescent="0.25">
      <c r="A33" s="73"/>
      <c r="B33" s="74"/>
      <c r="C33" s="75"/>
      <c r="D33" s="76"/>
      <c r="E33" s="77"/>
      <c r="F33" s="78"/>
      <c r="G33" s="76"/>
      <c r="H33" s="77"/>
      <c r="I33" s="80"/>
    </row>
    <row r="34" spans="1:12" s="42" customFormat="1" ht="19.5" customHeight="1" x14ac:dyDescent="0.25">
      <c r="A34" s="73"/>
      <c r="B34" s="74"/>
      <c r="C34" s="75"/>
      <c r="D34" s="76"/>
      <c r="E34" s="77"/>
      <c r="F34" s="78"/>
      <c r="G34" s="76"/>
      <c r="H34" s="77"/>
      <c r="I34" s="80"/>
    </row>
    <row r="35" spans="1:12" s="42" customFormat="1" ht="19.5" customHeight="1" x14ac:dyDescent="0.25">
      <c r="A35" s="73"/>
      <c r="B35" s="74"/>
      <c r="C35" s="75"/>
      <c r="D35" s="76"/>
      <c r="E35" s="87"/>
      <c r="F35" s="76"/>
      <c r="G35" s="76"/>
      <c r="H35" s="87"/>
      <c r="I35" s="80"/>
    </row>
    <row r="36" spans="1:12" s="42" customFormat="1" ht="19.5" customHeight="1" x14ac:dyDescent="0.25">
      <c r="A36" s="73"/>
      <c r="B36" s="74"/>
      <c r="C36" s="75"/>
      <c r="D36" s="76"/>
      <c r="E36" s="87"/>
      <c r="F36" s="76"/>
      <c r="G36" s="76"/>
      <c r="H36" s="87"/>
      <c r="I36" s="80"/>
    </row>
    <row r="37" spans="1:12" s="42" customFormat="1" ht="19.5" customHeight="1" x14ac:dyDescent="0.25">
      <c r="A37" s="73"/>
      <c r="B37" s="74"/>
      <c r="C37" s="75"/>
      <c r="D37" s="76"/>
      <c r="E37" s="87"/>
      <c r="F37" s="76"/>
      <c r="G37" s="76"/>
      <c r="H37" s="87"/>
      <c r="I37" s="80"/>
    </row>
    <row r="38" spans="1:12" s="42" customFormat="1" ht="19.5" customHeight="1" thickBot="1" x14ac:dyDescent="0.3">
      <c r="A38" s="88"/>
      <c r="B38" s="89"/>
      <c r="C38" s="90"/>
      <c r="D38" s="91"/>
      <c r="E38" s="92"/>
      <c r="F38" s="91"/>
      <c r="G38" s="91"/>
      <c r="H38" s="92"/>
      <c r="I38" s="94"/>
    </row>
    <row r="39" spans="1:12" s="42" customFormat="1" ht="19.5" customHeight="1" x14ac:dyDescent="0.25">
      <c r="A39" s="178" t="s">
        <v>19</v>
      </c>
      <c r="B39" s="179"/>
      <c r="C39" s="180"/>
      <c r="D39" s="150" t="e">
        <f>AVERAGE(D9:D38)</f>
        <v>#DIV/0!</v>
      </c>
      <c r="E39" s="95" t="e">
        <f t="shared" ref="E39:H39" si="0">AVERAGE(E9:E38)</f>
        <v>#DIV/0!</v>
      </c>
      <c r="F39" s="18" t="e">
        <f t="shared" si="0"/>
        <v>#DIV/0!</v>
      </c>
      <c r="G39" s="18" t="e">
        <f t="shared" si="0"/>
        <v>#DIV/0!</v>
      </c>
      <c r="H39" s="95" t="e">
        <f t="shared" si="0"/>
        <v>#DIV/0!</v>
      </c>
      <c r="I39" s="123" t="e">
        <f t="shared" ref="I39" si="1">AVERAGE(I9:I38)</f>
        <v>#DIV/0!</v>
      </c>
    </row>
    <row r="40" spans="1:12" s="42" customFormat="1" ht="19.5" customHeight="1" x14ac:dyDescent="0.25">
      <c r="A40" s="181" t="s">
        <v>24</v>
      </c>
      <c r="B40" s="182"/>
      <c r="C40" s="183"/>
      <c r="D40" s="151">
        <f>MIN(D9:D38)</f>
        <v>0</v>
      </c>
      <c r="E40" s="24">
        <f t="shared" ref="E40:H40" si="2">MIN(E9:E38)</f>
        <v>0</v>
      </c>
      <c r="F40" s="25">
        <f t="shared" si="2"/>
        <v>0</v>
      </c>
      <c r="G40" s="25">
        <f t="shared" si="2"/>
        <v>0</v>
      </c>
      <c r="H40" s="24">
        <f t="shared" si="2"/>
        <v>0</v>
      </c>
      <c r="I40" s="125">
        <f t="shared" ref="I40" si="3">MIN(I9:I38)</f>
        <v>0</v>
      </c>
    </row>
    <row r="41" spans="1:12" s="42" customFormat="1" ht="19.5" customHeight="1" thickBot="1" x14ac:dyDescent="0.3">
      <c r="A41" s="184" t="s">
        <v>25</v>
      </c>
      <c r="B41" s="185"/>
      <c r="C41" s="186"/>
      <c r="D41" s="152">
        <f>MAX(D9:D38)</f>
        <v>0</v>
      </c>
      <c r="E41" s="97">
        <f t="shared" ref="E41:H41" si="4">MAX(E9:E38)</f>
        <v>0</v>
      </c>
      <c r="F41" s="96">
        <f t="shared" si="4"/>
        <v>0</v>
      </c>
      <c r="G41" s="96">
        <f t="shared" si="4"/>
        <v>0</v>
      </c>
      <c r="H41" s="97">
        <f t="shared" si="4"/>
        <v>0</v>
      </c>
      <c r="I41" s="127">
        <f t="shared" ref="I41" si="5">MAX(I9:I38)</f>
        <v>0</v>
      </c>
      <c r="J41" s="43"/>
      <c r="K41" s="43"/>
      <c r="L41" s="43"/>
    </row>
    <row r="42" spans="1:12" s="42" customFormat="1" ht="16.5" customHeight="1" x14ac:dyDescent="0.25">
      <c r="A42" s="98" t="s">
        <v>13</v>
      </c>
      <c r="B42" s="157"/>
      <c r="C42" s="157"/>
      <c r="D42" s="98" t="s">
        <v>16</v>
      </c>
      <c r="E42" s="99"/>
      <c r="F42" s="100"/>
      <c r="G42" s="58" t="s">
        <v>17</v>
      </c>
      <c r="H42" s="56"/>
      <c r="I42" s="101" t="s">
        <v>18</v>
      </c>
    </row>
    <row r="43" spans="1:12" s="42" customFormat="1" ht="16.5" customHeight="1" x14ac:dyDescent="0.25">
      <c r="A43" s="102"/>
      <c r="B43" s="158"/>
      <c r="C43" s="158"/>
      <c r="D43" s="98"/>
      <c r="E43" s="99"/>
      <c r="F43" s="100"/>
      <c r="G43" s="53"/>
      <c r="H43" s="56"/>
      <c r="I43" s="101"/>
    </row>
    <row r="44" spans="1:12" ht="16.5" customHeight="1" x14ac:dyDescent="0.25">
      <c r="A44" s="171" t="s">
        <v>14</v>
      </c>
      <c r="B44" s="171"/>
      <c r="C44" s="171"/>
      <c r="D44" s="103"/>
      <c r="E44" s="104" t="s">
        <v>108</v>
      </c>
      <c r="F44" s="53">
        <v>461343000</v>
      </c>
      <c r="G44" s="57"/>
      <c r="H44" s="57"/>
      <c r="I44" s="57"/>
    </row>
    <row r="45" spans="1:12" ht="16.5" customHeight="1" x14ac:dyDescent="0.25">
      <c r="A45" s="171" t="s">
        <v>15</v>
      </c>
      <c r="B45" s="171"/>
      <c r="C45" s="171"/>
      <c r="D45" s="103"/>
      <c r="E45" s="57"/>
      <c r="F45" s="57"/>
      <c r="G45" s="57"/>
      <c r="H45" s="165" t="s">
        <v>26</v>
      </c>
      <c r="I45" s="165"/>
    </row>
    <row r="46" spans="1:12" x14ac:dyDescent="0.25">
      <c r="A46" s="44"/>
      <c r="B46" s="44"/>
      <c r="C46" s="44"/>
      <c r="D46" s="44"/>
      <c r="E46" s="44"/>
      <c r="F46" s="44"/>
      <c r="G46" s="45"/>
      <c r="H46" s="45"/>
      <c r="I46" s="45"/>
    </row>
  </sheetData>
  <dataConsolidate/>
  <mergeCells count="19"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39:C39"/>
    <mergeCell ref="A40:C40"/>
    <mergeCell ref="A41:C41"/>
    <mergeCell ref="A1:H1"/>
    <mergeCell ref="A2:H2"/>
    <mergeCell ref="B42:C42"/>
    <mergeCell ref="B43:C43"/>
    <mergeCell ref="B4:C4"/>
    <mergeCell ref="B5:C5"/>
    <mergeCell ref="F7:F8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3.85546875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56" t="s">
        <v>9</v>
      </c>
      <c r="B1" s="156"/>
      <c r="C1" s="156"/>
      <c r="D1" s="156"/>
      <c r="E1" s="156"/>
      <c r="F1" s="156"/>
      <c r="G1" s="156"/>
      <c r="H1" s="156"/>
      <c r="I1" s="54" t="s">
        <v>20</v>
      </c>
    </row>
    <row r="2" spans="1:11" s="42" customFormat="1" ht="15.75" customHeight="1" x14ac:dyDescent="0.25">
      <c r="A2" s="156" t="s">
        <v>12</v>
      </c>
      <c r="B2" s="156"/>
      <c r="C2" s="156"/>
      <c r="D2" s="156"/>
      <c r="E2" s="156"/>
      <c r="F2" s="156"/>
      <c r="G2" s="156"/>
      <c r="H2" s="156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59">
        <f>Page1!B4</f>
        <v>0</v>
      </c>
      <c r="C4" s="160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87">
        <f>Page1!B5</f>
        <v>0</v>
      </c>
      <c r="C5" s="188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195" t="s">
        <v>107</v>
      </c>
      <c r="B6" s="196"/>
      <c r="C6" s="196"/>
      <c r="D6" s="167"/>
      <c r="E6" s="167"/>
      <c r="F6" s="197"/>
      <c r="G6" s="108"/>
      <c r="H6" s="109"/>
      <c r="I6" s="110"/>
    </row>
    <row r="7" spans="1:11" ht="15" customHeight="1" x14ac:dyDescent="0.25">
      <c r="A7" s="205" t="s">
        <v>0</v>
      </c>
      <c r="B7" s="206"/>
      <c r="C7" s="193"/>
      <c r="D7" s="198" t="s">
        <v>2</v>
      </c>
      <c r="E7" s="199"/>
      <c r="F7" s="200"/>
      <c r="G7" s="209" t="s">
        <v>30</v>
      </c>
      <c r="H7" s="48" t="s">
        <v>109</v>
      </c>
      <c r="I7" s="203" t="s">
        <v>36</v>
      </c>
    </row>
    <row r="8" spans="1:11" ht="15" customHeight="1" x14ac:dyDescent="0.25">
      <c r="A8" s="205"/>
      <c r="B8" s="206"/>
      <c r="C8" s="193"/>
      <c r="D8" s="189" t="s">
        <v>38</v>
      </c>
      <c r="E8" s="192" t="s">
        <v>35</v>
      </c>
      <c r="F8" s="188" t="s">
        <v>34</v>
      </c>
      <c r="G8" s="209"/>
      <c r="H8" s="48" t="s">
        <v>110</v>
      </c>
      <c r="I8" s="203"/>
    </row>
    <row r="9" spans="1:11" ht="15" customHeight="1" x14ac:dyDescent="0.25">
      <c r="A9" s="205"/>
      <c r="B9" s="206"/>
      <c r="C9" s="193"/>
      <c r="D9" s="190"/>
      <c r="E9" s="192"/>
      <c r="F9" s="193"/>
      <c r="G9" s="209"/>
      <c r="H9" s="46" t="s">
        <v>111</v>
      </c>
      <c r="I9" s="203"/>
    </row>
    <row r="10" spans="1:11" ht="15" customHeight="1" thickBot="1" x14ac:dyDescent="0.3">
      <c r="A10" s="207"/>
      <c r="B10" s="208"/>
      <c r="C10" s="194"/>
      <c r="D10" s="191"/>
      <c r="E10" s="177"/>
      <c r="F10" s="194"/>
      <c r="G10" s="164"/>
      <c r="H10" s="47" t="s">
        <v>112</v>
      </c>
      <c r="I10" s="204"/>
    </row>
    <row r="11" spans="1:11" s="49" customFormat="1" ht="19.5" customHeight="1" x14ac:dyDescent="0.25">
      <c r="A11" s="111"/>
      <c r="B11" s="112"/>
      <c r="C11" s="82"/>
      <c r="D11" s="113"/>
      <c r="E11" s="114"/>
      <c r="F11" s="114"/>
      <c r="G11" s="115"/>
      <c r="H11" s="114"/>
      <c r="I11" s="86"/>
    </row>
    <row r="12" spans="1:11" s="49" customFormat="1" ht="19.5" customHeight="1" x14ac:dyDescent="0.25">
      <c r="A12" s="73"/>
      <c r="B12" s="116"/>
      <c r="C12" s="75"/>
      <c r="D12" s="117"/>
      <c r="E12" s="87"/>
      <c r="F12" s="87"/>
      <c r="G12" s="118"/>
      <c r="H12" s="87"/>
      <c r="I12" s="80"/>
    </row>
    <row r="13" spans="1:11" s="49" customFormat="1" ht="19.5" customHeight="1" x14ac:dyDescent="0.25">
      <c r="A13" s="73"/>
      <c r="B13" s="116"/>
      <c r="C13" s="75"/>
      <c r="D13" s="117"/>
      <c r="E13" s="87"/>
      <c r="F13" s="87"/>
      <c r="G13" s="118"/>
      <c r="H13" s="87"/>
      <c r="I13" s="80"/>
    </row>
    <row r="14" spans="1:11" s="49" customFormat="1" ht="19.5" customHeight="1" x14ac:dyDescent="0.25">
      <c r="A14" s="73"/>
      <c r="B14" s="116"/>
      <c r="C14" s="75"/>
      <c r="D14" s="117"/>
      <c r="E14" s="87"/>
      <c r="F14" s="87"/>
      <c r="G14" s="118"/>
      <c r="H14" s="87"/>
      <c r="I14" s="80"/>
    </row>
    <row r="15" spans="1:11" s="49" customFormat="1" ht="19.5" customHeight="1" x14ac:dyDescent="0.25">
      <c r="A15" s="73"/>
      <c r="B15" s="116"/>
      <c r="C15" s="75"/>
      <c r="D15" s="117"/>
      <c r="E15" s="87"/>
      <c r="F15" s="87"/>
      <c r="G15" s="118"/>
      <c r="H15" s="87"/>
      <c r="I15" s="80"/>
    </row>
    <row r="16" spans="1:11" s="49" customFormat="1" ht="19.5" customHeight="1" x14ac:dyDescent="0.25">
      <c r="A16" s="73"/>
      <c r="B16" s="116"/>
      <c r="C16" s="75"/>
      <c r="D16" s="117"/>
      <c r="E16" s="87"/>
      <c r="F16" s="87"/>
      <c r="G16" s="118"/>
      <c r="H16" s="87"/>
      <c r="I16" s="80"/>
    </row>
    <row r="17" spans="1:9" s="49" customFormat="1" ht="19.5" customHeight="1" x14ac:dyDescent="0.25">
      <c r="A17" s="73"/>
      <c r="B17" s="116"/>
      <c r="C17" s="75"/>
      <c r="D17" s="117"/>
      <c r="E17" s="87"/>
      <c r="F17" s="87"/>
      <c r="G17" s="118"/>
      <c r="H17" s="87"/>
      <c r="I17" s="80"/>
    </row>
    <row r="18" spans="1:9" s="49" customFormat="1" ht="19.5" customHeight="1" x14ac:dyDescent="0.25">
      <c r="A18" s="73"/>
      <c r="B18" s="116"/>
      <c r="C18" s="75"/>
      <c r="D18" s="117"/>
      <c r="E18" s="87"/>
      <c r="F18" s="87"/>
      <c r="G18" s="118"/>
      <c r="H18" s="87"/>
      <c r="I18" s="80"/>
    </row>
    <row r="19" spans="1:9" s="49" customFormat="1" ht="19.5" customHeight="1" x14ac:dyDescent="0.25">
      <c r="A19" s="73"/>
      <c r="B19" s="116"/>
      <c r="C19" s="75"/>
      <c r="D19" s="117"/>
      <c r="E19" s="87"/>
      <c r="F19" s="87"/>
      <c r="G19" s="118"/>
      <c r="H19" s="87"/>
      <c r="I19" s="80"/>
    </row>
    <row r="20" spans="1:9" s="49" customFormat="1" ht="19.5" customHeight="1" x14ac:dyDescent="0.25">
      <c r="A20" s="73"/>
      <c r="B20" s="116"/>
      <c r="C20" s="75"/>
      <c r="D20" s="117"/>
      <c r="E20" s="87"/>
      <c r="F20" s="87"/>
      <c r="G20" s="118"/>
      <c r="H20" s="87"/>
      <c r="I20" s="80"/>
    </row>
    <row r="21" spans="1:9" s="49" customFormat="1" ht="19.5" customHeight="1" x14ac:dyDescent="0.25">
      <c r="A21" s="73"/>
      <c r="B21" s="116"/>
      <c r="C21" s="75"/>
      <c r="D21" s="117"/>
      <c r="E21" s="87"/>
      <c r="F21" s="87"/>
      <c r="G21" s="118"/>
      <c r="H21" s="87"/>
      <c r="I21" s="80"/>
    </row>
    <row r="22" spans="1:9" s="49" customFormat="1" ht="19.5" customHeight="1" x14ac:dyDescent="0.25">
      <c r="A22" s="73"/>
      <c r="B22" s="116"/>
      <c r="C22" s="75"/>
      <c r="D22" s="117"/>
      <c r="E22" s="87"/>
      <c r="F22" s="87"/>
      <c r="G22" s="118"/>
      <c r="H22" s="87"/>
      <c r="I22" s="80"/>
    </row>
    <row r="23" spans="1:9" s="49" customFormat="1" ht="19.5" customHeight="1" x14ac:dyDescent="0.25">
      <c r="A23" s="73"/>
      <c r="B23" s="116"/>
      <c r="C23" s="75"/>
      <c r="D23" s="117"/>
      <c r="E23" s="87"/>
      <c r="F23" s="87"/>
      <c r="G23" s="118"/>
      <c r="H23" s="87"/>
      <c r="I23" s="80"/>
    </row>
    <row r="24" spans="1:9" s="49" customFormat="1" ht="19.5" customHeight="1" x14ac:dyDescent="0.25">
      <c r="A24" s="73"/>
      <c r="B24" s="116"/>
      <c r="C24" s="75"/>
      <c r="D24" s="117"/>
      <c r="E24" s="87"/>
      <c r="F24" s="87"/>
      <c r="G24" s="118"/>
      <c r="H24" s="87"/>
      <c r="I24" s="80"/>
    </row>
    <row r="25" spans="1:9" s="49" customFormat="1" ht="19.5" customHeight="1" x14ac:dyDescent="0.25">
      <c r="A25" s="73"/>
      <c r="B25" s="116"/>
      <c r="C25" s="75"/>
      <c r="D25" s="113"/>
      <c r="E25" s="114"/>
      <c r="F25" s="114"/>
      <c r="G25" s="118"/>
      <c r="H25" s="87"/>
      <c r="I25" s="86"/>
    </row>
    <row r="26" spans="1:9" s="49" customFormat="1" ht="19.5" customHeight="1" x14ac:dyDescent="0.25">
      <c r="A26" s="73"/>
      <c r="B26" s="116"/>
      <c r="C26" s="75"/>
      <c r="D26" s="113"/>
      <c r="E26" s="114"/>
      <c r="F26" s="114"/>
      <c r="G26" s="118"/>
      <c r="H26" s="87"/>
      <c r="I26" s="86"/>
    </row>
    <row r="27" spans="1:9" s="49" customFormat="1" ht="19.5" customHeight="1" x14ac:dyDescent="0.25">
      <c r="A27" s="73"/>
      <c r="B27" s="116"/>
      <c r="C27" s="75"/>
      <c r="D27" s="113"/>
      <c r="E27" s="114"/>
      <c r="F27" s="114"/>
      <c r="G27" s="118"/>
      <c r="H27" s="87"/>
      <c r="I27" s="86"/>
    </row>
    <row r="28" spans="1:9" s="49" customFormat="1" ht="19.5" customHeight="1" x14ac:dyDescent="0.25">
      <c r="A28" s="73"/>
      <c r="B28" s="116"/>
      <c r="C28" s="75"/>
      <c r="D28" s="113"/>
      <c r="E28" s="114"/>
      <c r="F28" s="114"/>
      <c r="G28" s="118"/>
      <c r="H28" s="87"/>
      <c r="I28" s="86"/>
    </row>
    <row r="29" spans="1:9" s="49" customFormat="1" ht="19.5" customHeight="1" x14ac:dyDescent="0.25">
      <c r="A29" s="73"/>
      <c r="B29" s="116"/>
      <c r="C29" s="75"/>
      <c r="D29" s="113" t="s">
        <v>117</v>
      </c>
      <c r="E29" s="114" t="s">
        <v>117</v>
      </c>
      <c r="F29" s="114" t="s">
        <v>117</v>
      </c>
      <c r="G29" s="118" t="s">
        <v>117</v>
      </c>
      <c r="H29" s="87" t="s">
        <v>117</v>
      </c>
      <c r="I29" s="86" t="s">
        <v>117</v>
      </c>
    </row>
    <row r="30" spans="1:9" s="49" customFormat="1" ht="19.5" customHeight="1" x14ac:dyDescent="0.25">
      <c r="A30" s="73"/>
      <c r="B30" s="116"/>
      <c r="C30" s="75"/>
      <c r="D30" s="113" t="s">
        <v>117</v>
      </c>
      <c r="E30" s="114" t="s">
        <v>117</v>
      </c>
      <c r="F30" s="114" t="s">
        <v>117</v>
      </c>
      <c r="G30" s="118" t="s">
        <v>117</v>
      </c>
      <c r="H30" s="87" t="s">
        <v>117</v>
      </c>
      <c r="I30" s="86" t="s">
        <v>117</v>
      </c>
    </row>
    <row r="31" spans="1:9" s="49" customFormat="1" ht="19.5" customHeight="1" x14ac:dyDescent="0.25">
      <c r="A31" s="73"/>
      <c r="B31" s="116"/>
      <c r="C31" s="75"/>
      <c r="D31" s="117" t="s">
        <v>117</v>
      </c>
      <c r="E31" s="87" t="s">
        <v>117</v>
      </c>
      <c r="F31" s="87" t="s">
        <v>117</v>
      </c>
      <c r="G31" s="118" t="s">
        <v>117</v>
      </c>
      <c r="H31" s="87" t="s">
        <v>117</v>
      </c>
      <c r="I31" s="80" t="s">
        <v>117</v>
      </c>
    </row>
    <row r="32" spans="1:9" s="49" customFormat="1" ht="19.5" customHeight="1" x14ac:dyDescent="0.25">
      <c r="A32" s="73"/>
      <c r="B32" s="116"/>
      <c r="C32" s="75"/>
      <c r="D32" s="117" t="s">
        <v>117</v>
      </c>
      <c r="E32" s="87" t="s">
        <v>117</v>
      </c>
      <c r="F32" s="87" t="s">
        <v>117</v>
      </c>
      <c r="G32" s="118" t="s">
        <v>117</v>
      </c>
      <c r="H32" s="87" t="s">
        <v>117</v>
      </c>
      <c r="I32" s="80" t="s">
        <v>117</v>
      </c>
    </row>
    <row r="33" spans="1:9" s="49" customFormat="1" ht="19.5" customHeight="1" x14ac:dyDescent="0.25">
      <c r="A33" s="73"/>
      <c r="B33" s="116"/>
      <c r="C33" s="75"/>
      <c r="D33" s="117" t="s">
        <v>117</v>
      </c>
      <c r="E33" s="87" t="s">
        <v>117</v>
      </c>
      <c r="F33" s="87" t="s">
        <v>117</v>
      </c>
      <c r="G33" s="118" t="s">
        <v>117</v>
      </c>
      <c r="H33" s="87" t="s">
        <v>117</v>
      </c>
      <c r="I33" s="80" t="s">
        <v>117</v>
      </c>
    </row>
    <row r="34" spans="1:9" s="49" customFormat="1" ht="19.5" customHeight="1" x14ac:dyDescent="0.25">
      <c r="A34" s="73"/>
      <c r="B34" s="116"/>
      <c r="C34" s="75"/>
      <c r="D34" s="117" t="s">
        <v>117</v>
      </c>
      <c r="E34" s="87" t="s">
        <v>117</v>
      </c>
      <c r="F34" s="87" t="s">
        <v>117</v>
      </c>
      <c r="G34" s="118" t="s">
        <v>117</v>
      </c>
      <c r="H34" s="87" t="s">
        <v>117</v>
      </c>
      <c r="I34" s="80" t="s">
        <v>117</v>
      </c>
    </row>
    <row r="35" spans="1:9" s="49" customFormat="1" ht="19.5" customHeight="1" x14ac:dyDescent="0.25">
      <c r="A35" s="73"/>
      <c r="B35" s="116"/>
      <c r="C35" s="75"/>
      <c r="D35" s="117" t="s">
        <v>117</v>
      </c>
      <c r="E35" s="87" t="s">
        <v>117</v>
      </c>
      <c r="F35" s="87" t="s">
        <v>117</v>
      </c>
      <c r="G35" s="118" t="s">
        <v>117</v>
      </c>
      <c r="H35" s="87" t="s">
        <v>117</v>
      </c>
      <c r="I35" s="80" t="s">
        <v>117</v>
      </c>
    </row>
    <row r="36" spans="1:9" s="49" customFormat="1" ht="19.5" customHeight="1" x14ac:dyDescent="0.25">
      <c r="A36" s="73"/>
      <c r="B36" s="116"/>
      <c r="C36" s="75"/>
      <c r="D36" s="117" t="s">
        <v>117</v>
      </c>
      <c r="E36" s="87" t="s">
        <v>117</v>
      </c>
      <c r="F36" s="87" t="s">
        <v>117</v>
      </c>
      <c r="G36" s="118" t="s">
        <v>117</v>
      </c>
      <c r="H36" s="87" t="s">
        <v>117</v>
      </c>
      <c r="I36" s="80" t="s">
        <v>117</v>
      </c>
    </row>
    <row r="37" spans="1:9" s="49" customFormat="1" ht="19.5" customHeight="1" x14ac:dyDescent="0.25">
      <c r="A37" s="73"/>
      <c r="B37" s="116"/>
      <c r="C37" s="75"/>
      <c r="D37" s="117" t="s">
        <v>117</v>
      </c>
      <c r="E37" s="87" t="s">
        <v>117</v>
      </c>
      <c r="F37" s="87" t="s">
        <v>117</v>
      </c>
      <c r="G37" s="118" t="s">
        <v>117</v>
      </c>
      <c r="H37" s="87" t="s">
        <v>117</v>
      </c>
      <c r="I37" s="80" t="s">
        <v>117</v>
      </c>
    </row>
    <row r="38" spans="1:9" s="49" customFormat="1" ht="19.5" customHeight="1" x14ac:dyDescent="0.25">
      <c r="A38" s="73"/>
      <c r="B38" s="116"/>
      <c r="C38" s="75"/>
      <c r="D38" s="117" t="s">
        <v>117</v>
      </c>
      <c r="E38" s="87" t="s">
        <v>117</v>
      </c>
      <c r="F38" s="87" t="s">
        <v>117</v>
      </c>
      <c r="G38" s="118" t="s">
        <v>117</v>
      </c>
      <c r="H38" s="87" t="s">
        <v>117</v>
      </c>
      <c r="I38" s="80" t="s">
        <v>117</v>
      </c>
    </row>
    <row r="39" spans="1:9" s="49" customFormat="1" ht="19.5" customHeight="1" x14ac:dyDescent="0.25">
      <c r="A39" s="73"/>
      <c r="B39" s="116"/>
      <c r="C39" s="75"/>
      <c r="D39" s="117" t="s">
        <v>117</v>
      </c>
      <c r="E39" s="87" t="s">
        <v>117</v>
      </c>
      <c r="F39" s="87" t="s">
        <v>117</v>
      </c>
      <c r="G39" s="118" t="s">
        <v>117</v>
      </c>
      <c r="H39" s="87" t="s">
        <v>117</v>
      </c>
      <c r="I39" s="80" t="s">
        <v>117</v>
      </c>
    </row>
    <row r="40" spans="1:9" s="49" customFormat="1" ht="19.5" customHeight="1" thickBot="1" x14ac:dyDescent="0.3">
      <c r="A40" s="73"/>
      <c r="B40" s="116"/>
      <c r="C40" s="75"/>
      <c r="D40" s="119" t="s">
        <v>117</v>
      </c>
      <c r="E40" s="92" t="s">
        <v>117</v>
      </c>
      <c r="F40" s="120" t="s">
        <v>117</v>
      </c>
      <c r="G40" s="121" t="s">
        <v>117</v>
      </c>
      <c r="H40" s="92" t="s">
        <v>117</v>
      </c>
      <c r="I40" s="94" t="s">
        <v>117</v>
      </c>
    </row>
    <row r="41" spans="1:9" s="49" customFormat="1" ht="19.5" customHeight="1" x14ac:dyDescent="0.25">
      <c r="A41" s="178" t="s">
        <v>19</v>
      </c>
      <c r="B41" s="179"/>
      <c r="C41" s="180"/>
      <c r="D41" s="150" t="e">
        <f>AVERAGE(D11:D40)</f>
        <v>#DIV/0!</v>
      </c>
      <c r="E41" s="95" t="e">
        <f t="shared" ref="E41:I41" si="0">AVERAGE(E11:E40)</f>
        <v>#DIV/0!</v>
      </c>
      <c r="F41" s="95" t="e">
        <f t="shared" si="0"/>
        <v>#DIV/0!</v>
      </c>
      <c r="G41" s="122" t="e">
        <f t="shared" si="0"/>
        <v>#DIV/0!</v>
      </c>
      <c r="H41" s="95" t="e">
        <f t="shared" si="0"/>
        <v>#DIV/0!</v>
      </c>
      <c r="I41" s="123" t="e">
        <f t="shared" si="0"/>
        <v>#DIV/0!</v>
      </c>
    </row>
    <row r="42" spans="1:9" s="49" customFormat="1" ht="19.5" customHeight="1" x14ac:dyDescent="0.25">
      <c r="A42" s="181" t="s">
        <v>24</v>
      </c>
      <c r="B42" s="182"/>
      <c r="C42" s="183"/>
      <c r="D42" s="151">
        <f>MIN(D11:D40)</f>
        <v>0</v>
      </c>
      <c r="E42" s="24">
        <f t="shared" ref="E42:I42" si="1">MIN(E11:E40)</f>
        <v>0</v>
      </c>
      <c r="F42" s="24">
        <f t="shared" si="1"/>
        <v>0</v>
      </c>
      <c r="G42" s="124">
        <f t="shared" si="1"/>
        <v>0</v>
      </c>
      <c r="H42" s="24">
        <f t="shared" si="1"/>
        <v>0</v>
      </c>
      <c r="I42" s="125">
        <f t="shared" si="1"/>
        <v>0</v>
      </c>
    </row>
    <row r="43" spans="1:9" ht="19.5" customHeight="1" thickBot="1" x14ac:dyDescent="0.3">
      <c r="A43" s="184" t="s">
        <v>25</v>
      </c>
      <c r="B43" s="185"/>
      <c r="C43" s="186"/>
      <c r="D43" s="152">
        <f>MAX(D11:D40)</f>
        <v>0</v>
      </c>
      <c r="E43" s="97">
        <f t="shared" ref="E43:I43" si="2">MAX(E11:E40)</f>
        <v>0</v>
      </c>
      <c r="F43" s="97">
        <f t="shared" si="2"/>
        <v>0</v>
      </c>
      <c r="G43" s="126">
        <f t="shared" si="2"/>
        <v>0</v>
      </c>
      <c r="H43" s="97">
        <f t="shared" si="2"/>
        <v>0</v>
      </c>
      <c r="I43" s="127">
        <f t="shared" si="2"/>
        <v>0</v>
      </c>
    </row>
    <row r="44" spans="1:9" s="42" customFormat="1" ht="16.5" customHeight="1" x14ac:dyDescent="0.25">
      <c r="A44" s="128" t="s">
        <v>13</v>
      </c>
      <c r="B44" s="210">
        <f>Page1!B42</f>
        <v>0</v>
      </c>
      <c r="C44" s="211"/>
      <c r="D44" s="128" t="s">
        <v>16</v>
      </c>
      <c r="E44" s="128"/>
      <c r="F44" s="129"/>
      <c r="G44" s="129" t="s">
        <v>17</v>
      </c>
      <c r="H44" s="130">
        <f>Page1!H42</f>
        <v>0</v>
      </c>
      <c r="I44" s="131" t="s">
        <v>18</v>
      </c>
    </row>
    <row r="45" spans="1:9" s="42" customFormat="1" ht="16.5" customHeight="1" x14ac:dyDescent="0.25">
      <c r="A45" s="132"/>
      <c r="B45" s="158">
        <f>Page1!B43</f>
        <v>0</v>
      </c>
      <c r="C45" s="212"/>
      <c r="D45" s="128"/>
      <c r="E45" s="128"/>
      <c r="F45" s="129"/>
      <c r="G45" s="132"/>
      <c r="H45" s="130">
        <f>Page1!H43</f>
        <v>0</v>
      </c>
      <c r="I45" s="131"/>
    </row>
    <row r="46" spans="1:9" s="43" customFormat="1" ht="16.5" customHeight="1" x14ac:dyDescent="0.25">
      <c r="A46" s="201" t="s">
        <v>14</v>
      </c>
      <c r="B46" s="201"/>
      <c r="C46" s="201"/>
      <c r="D46" s="133"/>
      <c r="E46" s="134" t="s">
        <v>108</v>
      </c>
      <c r="F46" s="132">
        <f>Page1!F44</f>
        <v>461343000</v>
      </c>
      <c r="G46" s="133"/>
      <c r="H46" s="133"/>
      <c r="I46" s="133"/>
    </row>
    <row r="47" spans="1:9" s="43" customFormat="1" ht="16.5" customHeight="1" x14ac:dyDescent="0.25">
      <c r="A47" s="201" t="s">
        <v>15</v>
      </c>
      <c r="B47" s="201"/>
      <c r="C47" s="201"/>
      <c r="D47" s="133"/>
      <c r="E47" s="133"/>
      <c r="F47" s="133"/>
      <c r="G47" s="133"/>
      <c r="H47" s="202" t="s">
        <v>27</v>
      </c>
      <c r="I47" s="202"/>
    </row>
  </sheetData>
  <mergeCells count="21">
    <mergeCell ref="A47:C47"/>
    <mergeCell ref="H47:I47"/>
    <mergeCell ref="I7:I10"/>
    <mergeCell ref="A7:C10"/>
    <mergeCell ref="G7:G10"/>
    <mergeCell ref="A46:C46"/>
    <mergeCell ref="B44:C44"/>
    <mergeCell ref="B45:C45"/>
    <mergeCell ref="A41:C41"/>
    <mergeCell ref="A42:C42"/>
    <mergeCell ref="A43:C43"/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E28" sqref="E28"/>
    </sheetView>
  </sheetViews>
  <sheetFormatPr defaultRowHeight="15" x14ac:dyDescent="0.25"/>
  <cols>
    <col min="1" max="3" width="14" style="50" customWidth="1"/>
    <col min="4" max="9" width="22.140625" style="50" customWidth="1"/>
    <col min="10" max="16384" width="9.140625" style="50"/>
  </cols>
  <sheetData>
    <row r="1" spans="1:11" s="42" customFormat="1" ht="15.75" customHeight="1" x14ac:dyDescent="0.25">
      <c r="A1" s="156" t="s">
        <v>9</v>
      </c>
      <c r="B1" s="156"/>
      <c r="C1" s="156"/>
      <c r="D1" s="156"/>
      <c r="E1" s="156"/>
      <c r="F1" s="156"/>
      <c r="G1" s="156"/>
      <c r="H1" s="156"/>
      <c r="I1" s="54" t="s">
        <v>20</v>
      </c>
    </row>
    <row r="2" spans="1:11" s="42" customFormat="1" ht="15.75" customHeight="1" x14ac:dyDescent="0.25">
      <c r="A2" s="156" t="s">
        <v>12</v>
      </c>
      <c r="B2" s="156"/>
      <c r="C2" s="156"/>
      <c r="D2" s="156"/>
      <c r="E2" s="156"/>
      <c r="F2" s="156"/>
      <c r="G2" s="156"/>
      <c r="H2" s="156"/>
      <c r="I2" s="55" t="s">
        <v>22</v>
      </c>
    </row>
    <row r="3" spans="1:11" s="42" customFormat="1" ht="15.75" customHeight="1" thickBot="1" x14ac:dyDescent="0.3">
      <c r="A3" s="56"/>
      <c r="B3" s="56"/>
      <c r="C3" s="56"/>
      <c r="D3" s="56"/>
      <c r="E3" s="56"/>
      <c r="F3" s="56"/>
      <c r="G3" s="57"/>
      <c r="H3" s="58" t="s">
        <v>23</v>
      </c>
      <c r="I3" s="52">
        <f>Page1!I3</f>
        <v>0</v>
      </c>
    </row>
    <row r="4" spans="1:11" s="42" customFormat="1" ht="23.25" customHeight="1" x14ac:dyDescent="0.25">
      <c r="A4" s="59" t="s">
        <v>10</v>
      </c>
      <c r="B4" s="159">
        <f>Page1!B4</f>
        <v>0</v>
      </c>
      <c r="C4" s="160"/>
      <c r="D4" s="60" t="s">
        <v>3</v>
      </c>
      <c r="E4" s="36">
        <f>Page1!E4</f>
        <v>0</v>
      </c>
      <c r="F4" s="60" t="s">
        <v>4</v>
      </c>
      <c r="G4" s="36">
        <f>Page1!G4</f>
        <v>0</v>
      </c>
      <c r="H4" s="144" t="s">
        <v>5</v>
      </c>
      <c r="I4" s="61">
        <f>Page1!I4</f>
        <v>0</v>
      </c>
      <c r="K4" s="42" t="s">
        <v>21</v>
      </c>
    </row>
    <row r="5" spans="1:11" s="42" customFormat="1" ht="23.25" customHeight="1" thickBot="1" x14ac:dyDescent="0.3">
      <c r="A5" s="105" t="s">
        <v>11</v>
      </c>
      <c r="B5" s="187">
        <f>Page1!B5</f>
        <v>0</v>
      </c>
      <c r="C5" s="188"/>
      <c r="D5" s="106" t="s">
        <v>6</v>
      </c>
      <c r="E5" s="29">
        <f>Page1!E5</f>
        <v>0</v>
      </c>
      <c r="F5" s="106" t="s">
        <v>7</v>
      </c>
      <c r="G5" s="29">
        <f>Page1!G5</f>
        <v>0</v>
      </c>
      <c r="H5" s="149" t="s">
        <v>8</v>
      </c>
      <c r="I5" s="107">
        <f>Page1!I5</f>
        <v>0</v>
      </c>
    </row>
    <row r="6" spans="1:11" s="49" customFormat="1" ht="15.75" customHeight="1" thickBot="1" x14ac:dyDescent="0.3">
      <c r="A6" s="195" t="s">
        <v>107</v>
      </c>
      <c r="B6" s="196"/>
      <c r="C6" s="196"/>
      <c r="D6" s="167"/>
      <c r="E6" s="167"/>
      <c r="F6" s="167"/>
      <c r="G6" s="168"/>
      <c r="H6" s="213"/>
      <c r="I6" s="214"/>
    </row>
    <row r="7" spans="1:11" ht="15" customHeight="1" x14ac:dyDescent="0.25">
      <c r="A7" s="217" t="s">
        <v>0</v>
      </c>
      <c r="B7" s="213"/>
      <c r="C7" s="218"/>
      <c r="D7" s="219" t="s">
        <v>113</v>
      </c>
      <c r="E7" s="221" t="s">
        <v>114</v>
      </c>
      <c r="F7" s="221" t="s">
        <v>115</v>
      </c>
      <c r="G7" s="223" t="s">
        <v>116</v>
      </c>
      <c r="H7" s="206"/>
      <c r="I7" s="215"/>
    </row>
    <row r="8" spans="1:11" ht="26.25" customHeight="1" thickBot="1" x14ac:dyDescent="0.3">
      <c r="A8" s="207"/>
      <c r="B8" s="208"/>
      <c r="C8" s="194"/>
      <c r="D8" s="220"/>
      <c r="E8" s="222"/>
      <c r="F8" s="222"/>
      <c r="G8" s="224"/>
      <c r="H8" s="206"/>
      <c r="I8" s="215"/>
    </row>
    <row r="9" spans="1:11" s="49" customFormat="1" ht="19.5" customHeight="1" x14ac:dyDescent="0.25">
      <c r="A9" s="111"/>
      <c r="B9" s="112"/>
      <c r="C9" s="82"/>
      <c r="D9" s="135"/>
      <c r="E9" s="84"/>
      <c r="F9" s="84"/>
      <c r="G9" s="136"/>
      <c r="H9" s="206"/>
      <c r="I9" s="215"/>
    </row>
    <row r="10" spans="1:11" s="49" customFormat="1" ht="19.5" customHeight="1" x14ac:dyDescent="0.25">
      <c r="A10" s="73"/>
      <c r="B10" s="116"/>
      <c r="C10" s="75"/>
      <c r="D10" s="137"/>
      <c r="E10" s="79"/>
      <c r="F10" s="79"/>
      <c r="G10" s="138"/>
      <c r="H10" s="206"/>
      <c r="I10" s="215"/>
    </row>
    <row r="11" spans="1:11" s="49" customFormat="1" ht="19.5" customHeight="1" x14ac:dyDescent="0.25">
      <c r="A11" s="73"/>
      <c r="B11" s="116"/>
      <c r="C11" s="75"/>
      <c r="D11" s="137"/>
      <c r="E11" s="79"/>
      <c r="F11" s="79"/>
      <c r="G11" s="138"/>
      <c r="H11" s="206"/>
      <c r="I11" s="215"/>
    </row>
    <row r="12" spans="1:11" s="49" customFormat="1" ht="19.5" customHeight="1" x14ac:dyDescent="0.25">
      <c r="A12" s="73"/>
      <c r="B12" s="116"/>
      <c r="C12" s="75"/>
      <c r="D12" s="137"/>
      <c r="E12" s="79"/>
      <c r="F12" s="79"/>
      <c r="G12" s="138"/>
      <c r="H12" s="206"/>
      <c r="I12" s="215"/>
    </row>
    <row r="13" spans="1:11" s="49" customFormat="1" ht="19.5" customHeight="1" x14ac:dyDescent="0.25">
      <c r="A13" s="73"/>
      <c r="B13" s="116"/>
      <c r="C13" s="75"/>
      <c r="D13" s="137"/>
      <c r="E13" s="79"/>
      <c r="F13" s="79"/>
      <c r="G13" s="138"/>
      <c r="H13" s="206"/>
      <c r="I13" s="215"/>
    </row>
    <row r="14" spans="1:11" s="49" customFormat="1" ht="19.5" customHeight="1" x14ac:dyDescent="0.25">
      <c r="A14" s="73"/>
      <c r="B14" s="116"/>
      <c r="C14" s="75"/>
      <c r="D14" s="137"/>
      <c r="E14" s="79"/>
      <c r="F14" s="79"/>
      <c r="G14" s="138"/>
      <c r="H14" s="206"/>
      <c r="I14" s="215"/>
    </row>
    <row r="15" spans="1:11" s="49" customFormat="1" ht="19.5" customHeight="1" x14ac:dyDescent="0.25">
      <c r="A15" s="73"/>
      <c r="B15" s="116"/>
      <c r="C15" s="75"/>
      <c r="D15" s="137"/>
      <c r="E15" s="79"/>
      <c r="F15" s="79"/>
      <c r="G15" s="138"/>
      <c r="H15" s="206"/>
      <c r="I15" s="215"/>
    </row>
    <row r="16" spans="1:11" s="49" customFormat="1" ht="19.5" customHeight="1" x14ac:dyDescent="0.25">
      <c r="A16" s="73"/>
      <c r="B16" s="116"/>
      <c r="C16" s="75"/>
      <c r="D16" s="137"/>
      <c r="E16" s="79"/>
      <c r="F16" s="79"/>
      <c r="G16" s="138"/>
      <c r="H16" s="206"/>
      <c r="I16" s="215"/>
    </row>
    <row r="17" spans="1:9" s="49" customFormat="1" ht="19.5" customHeight="1" x14ac:dyDescent="0.25">
      <c r="A17" s="73"/>
      <c r="B17" s="116"/>
      <c r="C17" s="75"/>
      <c r="D17" s="137"/>
      <c r="E17" s="79"/>
      <c r="F17" s="79"/>
      <c r="G17" s="138"/>
      <c r="H17" s="206"/>
      <c r="I17" s="215"/>
    </row>
    <row r="18" spans="1:9" s="49" customFormat="1" ht="19.5" customHeight="1" x14ac:dyDescent="0.25">
      <c r="A18" s="73"/>
      <c r="B18" s="116"/>
      <c r="C18" s="75"/>
      <c r="D18" s="137"/>
      <c r="E18" s="79"/>
      <c r="F18" s="79"/>
      <c r="G18" s="138"/>
      <c r="H18" s="206"/>
      <c r="I18" s="215"/>
    </row>
    <row r="19" spans="1:9" s="49" customFormat="1" ht="19.5" customHeight="1" x14ac:dyDescent="0.25">
      <c r="A19" s="73"/>
      <c r="B19" s="116"/>
      <c r="C19" s="75"/>
      <c r="D19" s="137"/>
      <c r="E19" s="79"/>
      <c r="F19" s="79"/>
      <c r="G19" s="138"/>
      <c r="H19" s="206"/>
      <c r="I19" s="215"/>
    </row>
    <row r="20" spans="1:9" s="49" customFormat="1" ht="19.5" customHeight="1" x14ac:dyDescent="0.25">
      <c r="A20" s="73"/>
      <c r="B20" s="116"/>
      <c r="C20" s="75"/>
      <c r="D20" s="137"/>
      <c r="E20" s="79"/>
      <c r="F20" s="79"/>
      <c r="G20" s="138"/>
      <c r="H20" s="206"/>
      <c r="I20" s="215"/>
    </row>
    <row r="21" spans="1:9" s="49" customFormat="1" ht="19.5" customHeight="1" x14ac:dyDescent="0.25">
      <c r="A21" s="73"/>
      <c r="B21" s="116"/>
      <c r="C21" s="75"/>
      <c r="D21" s="137"/>
      <c r="E21" s="79"/>
      <c r="F21" s="79"/>
      <c r="G21" s="138"/>
      <c r="H21" s="206"/>
      <c r="I21" s="215"/>
    </row>
    <row r="22" spans="1:9" s="49" customFormat="1" ht="19.5" customHeight="1" x14ac:dyDescent="0.25">
      <c r="A22" s="73"/>
      <c r="B22" s="116"/>
      <c r="C22" s="75"/>
      <c r="D22" s="137"/>
      <c r="E22" s="79"/>
      <c r="F22" s="79"/>
      <c r="G22" s="138"/>
      <c r="H22" s="206"/>
      <c r="I22" s="215"/>
    </row>
    <row r="23" spans="1:9" s="49" customFormat="1" ht="19.5" customHeight="1" x14ac:dyDescent="0.25">
      <c r="A23" s="73"/>
      <c r="B23" s="116"/>
      <c r="C23" s="75"/>
      <c r="D23" s="137"/>
      <c r="E23" s="79"/>
      <c r="F23" s="79"/>
      <c r="G23" s="138"/>
      <c r="H23" s="206"/>
      <c r="I23" s="215"/>
    </row>
    <row r="24" spans="1:9" s="49" customFormat="1" ht="19.5" customHeight="1" x14ac:dyDescent="0.25">
      <c r="A24" s="73"/>
      <c r="B24" s="116"/>
      <c r="C24" s="75"/>
      <c r="D24" s="135"/>
      <c r="E24" s="84"/>
      <c r="F24" s="84"/>
      <c r="G24" s="136"/>
      <c r="H24" s="206"/>
      <c r="I24" s="215"/>
    </row>
    <row r="25" spans="1:9" s="49" customFormat="1" ht="19.5" customHeight="1" x14ac:dyDescent="0.25">
      <c r="A25" s="73"/>
      <c r="B25" s="116"/>
      <c r="C25" s="75"/>
      <c r="D25" s="137"/>
      <c r="E25" s="79"/>
      <c r="F25" s="79"/>
      <c r="G25" s="138"/>
      <c r="H25" s="206"/>
      <c r="I25" s="215"/>
    </row>
    <row r="26" spans="1:9" s="49" customFormat="1" ht="19.5" customHeight="1" x14ac:dyDescent="0.25">
      <c r="A26" s="73"/>
      <c r="B26" s="116"/>
      <c r="C26" s="75"/>
      <c r="D26" s="137"/>
      <c r="E26" s="79"/>
      <c r="F26" s="79"/>
      <c r="G26" s="138"/>
      <c r="H26" s="206"/>
      <c r="I26" s="215"/>
    </row>
    <row r="27" spans="1:9" s="49" customFormat="1" ht="19.5" customHeight="1" x14ac:dyDescent="0.25">
      <c r="A27" s="73"/>
      <c r="B27" s="116"/>
      <c r="C27" s="75"/>
      <c r="D27" s="137"/>
      <c r="E27" s="79"/>
      <c r="F27" s="79"/>
      <c r="G27" s="138"/>
      <c r="H27" s="206"/>
      <c r="I27" s="215"/>
    </row>
    <row r="28" spans="1:9" s="49" customFormat="1" ht="19.5" customHeight="1" x14ac:dyDescent="0.25">
      <c r="A28" s="73"/>
      <c r="B28" s="116"/>
      <c r="C28" s="75"/>
      <c r="D28" s="137"/>
      <c r="E28" s="79"/>
      <c r="F28" s="79"/>
      <c r="G28" s="138"/>
      <c r="H28" s="206"/>
      <c r="I28" s="215"/>
    </row>
    <row r="29" spans="1:9" s="49" customFormat="1" ht="19.5" customHeight="1" x14ac:dyDescent="0.25">
      <c r="A29" s="73"/>
      <c r="B29" s="116"/>
      <c r="C29" s="75"/>
      <c r="D29" s="137"/>
      <c r="E29" s="79"/>
      <c r="F29" s="79"/>
      <c r="G29" s="138"/>
      <c r="H29" s="206"/>
      <c r="I29" s="215"/>
    </row>
    <row r="30" spans="1:9" s="49" customFormat="1" ht="19.5" customHeight="1" x14ac:dyDescent="0.25">
      <c r="A30" s="73"/>
      <c r="B30" s="116"/>
      <c r="C30" s="75"/>
      <c r="D30" s="137"/>
      <c r="E30" s="79"/>
      <c r="F30" s="79"/>
      <c r="G30" s="138"/>
      <c r="H30" s="206"/>
      <c r="I30" s="215"/>
    </row>
    <row r="31" spans="1:9" s="49" customFormat="1" ht="19.5" customHeight="1" x14ac:dyDescent="0.25">
      <c r="A31" s="73"/>
      <c r="B31" s="116"/>
      <c r="C31" s="75"/>
      <c r="D31" s="137"/>
      <c r="E31" s="79"/>
      <c r="F31" s="79"/>
      <c r="G31" s="138"/>
      <c r="H31" s="206"/>
      <c r="I31" s="215"/>
    </row>
    <row r="32" spans="1:9" s="49" customFormat="1" ht="19.5" customHeight="1" x14ac:dyDescent="0.25">
      <c r="A32" s="73"/>
      <c r="B32" s="116"/>
      <c r="C32" s="75"/>
      <c r="D32" s="137"/>
      <c r="E32" s="79"/>
      <c r="F32" s="79"/>
      <c r="G32" s="138"/>
      <c r="H32" s="206"/>
      <c r="I32" s="215"/>
    </row>
    <row r="33" spans="1:9" s="49" customFormat="1" ht="19.5" customHeight="1" x14ac:dyDescent="0.25">
      <c r="A33" s="73"/>
      <c r="B33" s="116"/>
      <c r="C33" s="75"/>
      <c r="D33" s="137"/>
      <c r="E33" s="79"/>
      <c r="F33" s="79"/>
      <c r="G33" s="138"/>
      <c r="H33" s="206"/>
      <c r="I33" s="215"/>
    </row>
    <row r="34" spans="1:9" s="49" customFormat="1" ht="19.5" customHeight="1" x14ac:dyDescent="0.25">
      <c r="A34" s="73"/>
      <c r="B34" s="116"/>
      <c r="C34" s="75"/>
      <c r="D34" s="137"/>
      <c r="E34" s="79"/>
      <c r="F34" s="79"/>
      <c r="G34" s="138"/>
      <c r="H34" s="206"/>
      <c r="I34" s="215"/>
    </row>
    <row r="35" spans="1:9" s="49" customFormat="1" ht="19.5" customHeight="1" x14ac:dyDescent="0.25">
      <c r="A35" s="73"/>
      <c r="B35" s="116"/>
      <c r="C35" s="75"/>
      <c r="D35" s="137"/>
      <c r="E35" s="79"/>
      <c r="F35" s="79"/>
      <c r="G35" s="138"/>
      <c r="H35" s="206"/>
      <c r="I35" s="215"/>
    </row>
    <row r="36" spans="1:9" s="49" customFormat="1" ht="19.5" customHeight="1" x14ac:dyDescent="0.25">
      <c r="A36" s="73"/>
      <c r="B36" s="116"/>
      <c r="C36" s="75"/>
      <c r="D36" s="137"/>
      <c r="E36" s="79"/>
      <c r="F36" s="79"/>
      <c r="G36" s="138"/>
      <c r="H36" s="206"/>
      <c r="I36" s="215"/>
    </row>
    <row r="37" spans="1:9" s="49" customFormat="1" ht="19.5" customHeight="1" x14ac:dyDescent="0.25">
      <c r="A37" s="73"/>
      <c r="B37" s="116"/>
      <c r="C37" s="75"/>
      <c r="D37" s="137"/>
      <c r="E37" s="79"/>
      <c r="F37" s="79"/>
      <c r="G37" s="138"/>
      <c r="H37" s="206"/>
      <c r="I37" s="215"/>
    </row>
    <row r="38" spans="1:9" s="49" customFormat="1" ht="19.5" customHeight="1" thickBot="1" x14ac:dyDescent="0.3">
      <c r="A38" s="73"/>
      <c r="B38" s="116"/>
      <c r="C38" s="75"/>
      <c r="D38" s="139"/>
      <c r="E38" s="93"/>
      <c r="F38" s="93"/>
      <c r="G38" s="140"/>
      <c r="H38" s="206"/>
      <c r="I38" s="215"/>
    </row>
    <row r="39" spans="1:9" s="49" customFormat="1" ht="19.5" customHeight="1" x14ac:dyDescent="0.25">
      <c r="A39" s="178" t="s">
        <v>19</v>
      </c>
      <c r="B39" s="179"/>
      <c r="C39" s="180"/>
      <c r="D39" s="153" t="e">
        <f>AVERAGE(D9:D38)</f>
        <v>#DIV/0!</v>
      </c>
      <c r="E39" s="122" t="e">
        <f t="shared" ref="E39:G39" si="0">AVERAGE(E9:E38)</f>
        <v>#DIV/0!</v>
      </c>
      <c r="F39" s="122" t="e">
        <f t="shared" si="0"/>
        <v>#DIV/0!</v>
      </c>
      <c r="G39" s="141" t="e">
        <f t="shared" si="0"/>
        <v>#DIV/0!</v>
      </c>
      <c r="H39" s="206"/>
      <c r="I39" s="215"/>
    </row>
    <row r="40" spans="1:9" s="49" customFormat="1" ht="19.5" customHeight="1" x14ac:dyDescent="0.25">
      <c r="A40" s="181" t="s">
        <v>24</v>
      </c>
      <c r="B40" s="182"/>
      <c r="C40" s="183"/>
      <c r="D40" s="154">
        <f>MIN(D9:D38)</f>
        <v>0</v>
      </c>
      <c r="E40" s="124">
        <f t="shared" ref="E40:G40" si="1">MIN(E9:E38)</f>
        <v>0</v>
      </c>
      <c r="F40" s="124">
        <f t="shared" si="1"/>
        <v>0</v>
      </c>
      <c r="G40" s="142">
        <f t="shared" si="1"/>
        <v>0</v>
      </c>
      <c r="H40" s="206"/>
      <c r="I40" s="215"/>
    </row>
    <row r="41" spans="1:9" ht="19.5" customHeight="1" thickBot="1" x14ac:dyDescent="0.3">
      <c r="A41" s="184" t="s">
        <v>25</v>
      </c>
      <c r="B41" s="185"/>
      <c r="C41" s="186"/>
      <c r="D41" s="155">
        <f>MAX(D9:D38)</f>
        <v>0</v>
      </c>
      <c r="E41" s="126">
        <f t="shared" ref="E41:G41" si="2">MAX(E9:E38)</f>
        <v>0</v>
      </c>
      <c r="F41" s="126">
        <f t="shared" si="2"/>
        <v>0</v>
      </c>
      <c r="G41" s="143">
        <f t="shared" si="2"/>
        <v>0</v>
      </c>
      <c r="H41" s="208"/>
      <c r="I41" s="216"/>
    </row>
    <row r="42" spans="1:9" s="42" customFormat="1" ht="16.5" customHeight="1" x14ac:dyDescent="0.25">
      <c r="A42" s="128" t="s">
        <v>13</v>
      </c>
      <c r="B42" s="210">
        <f>Page1!B42</f>
        <v>0</v>
      </c>
      <c r="C42" s="211"/>
      <c r="D42" s="128" t="s">
        <v>16</v>
      </c>
      <c r="E42" s="128"/>
      <c r="F42" s="129"/>
      <c r="G42" s="129" t="s">
        <v>17</v>
      </c>
      <c r="H42" s="130">
        <f>Page1!H42</f>
        <v>0</v>
      </c>
      <c r="I42" s="131" t="s">
        <v>18</v>
      </c>
    </row>
    <row r="43" spans="1:9" s="42" customFormat="1" ht="16.5" customHeight="1" x14ac:dyDescent="0.25">
      <c r="A43" s="132"/>
      <c r="B43" s="158">
        <f>Page1!B43</f>
        <v>0</v>
      </c>
      <c r="C43" s="212"/>
      <c r="D43" s="128"/>
      <c r="E43" s="128"/>
      <c r="F43" s="129"/>
      <c r="G43" s="132"/>
      <c r="H43" s="130">
        <f>Page1!H43</f>
        <v>0</v>
      </c>
      <c r="I43" s="131"/>
    </row>
    <row r="44" spans="1:9" s="43" customFormat="1" ht="16.5" customHeight="1" x14ac:dyDescent="0.25">
      <c r="A44" s="201" t="s">
        <v>14</v>
      </c>
      <c r="B44" s="201"/>
      <c r="C44" s="201"/>
      <c r="D44" s="133"/>
      <c r="E44" s="134" t="s">
        <v>108</v>
      </c>
      <c r="F44" s="132">
        <f>Page1!F44</f>
        <v>461343000</v>
      </c>
      <c r="G44" s="133"/>
      <c r="H44" s="133"/>
      <c r="I44" s="133"/>
    </row>
    <row r="45" spans="1:9" s="43" customFormat="1" ht="16.5" customHeight="1" x14ac:dyDescent="0.25">
      <c r="A45" s="201" t="s">
        <v>15</v>
      </c>
      <c r="B45" s="201"/>
      <c r="C45" s="201"/>
      <c r="D45" s="133"/>
      <c r="E45" s="133"/>
      <c r="F45" s="133"/>
      <c r="G45" s="133"/>
      <c r="H45" s="202" t="s">
        <v>28</v>
      </c>
      <c r="I45" s="202"/>
    </row>
  </sheetData>
  <mergeCells count="20"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  <mergeCell ref="A39:C39"/>
    <mergeCell ref="A40:C40"/>
    <mergeCell ref="A41:C41"/>
    <mergeCell ref="A1:H1"/>
    <mergeCell ref="A2:H2"/>
    <mergeCell ref="B4:C4"/>
    <mergeCell ref="B5:C5"/>
    <mergeCell ref="A44:C44"/>
    <mergeCell ref="B42:C42"/>
    <mergeCell ref="B43:C43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G39"/>
  <sheetViews>
    <sheetView view="pageBreakPreview" zoomScaleNormal="100" zoomScaleSheetLayoutView="100" workbookViewId="0">
      <selection activeCell="L14" sqref="L14"/>
    </sheetView>
  </sheetViews>
  <sheetFormatPr defaultRowHeight="15" x14ac:dyDescent="0.25"/>
  <cols>
    <col min="1" max="2" width="21.42578125" style="1" customWidth="1"/>
    <col min="3" max="5" width="12.85546875" style="1" customWidth="1"/>
    <col min="6" max="6" width="17.140625" style="1" customWidth="1"/>
    <col min="7" max="7" width="21.42578125" style="1" customWidth="1"/>
    <col min="8" max="16384" width="9.140625" style="38"/>
  </cols>
  <sheetData>
    <row r="1" spans="1:7" s="1" customFormat="1" x14ac:dyDescent="0.25">
      <c r="A1" s="282" t="s">
        <v>39</v>
      </c>
      <c r="B1" s="283"/>
      <c r="C1" s="283"/>
      <c r="D1" s="283"/>
      <c r="E1" s="283"/>
      <c r="F1" s="283"/>
      <c r="G1" s="284"/>
    </row>
    <row r="2" spans="1:7" s="1" customFormat="1" x14ac:dyDescent="0.25">
      <c r="A2" s="2"/>
      <c r="B2" s="3"/>
      <c r="C2" s="3"/>
      <c r="D2" s="3"/>
      <c r="E2" s="3"/>
      <c r="F2" s="3"/>
      <c r="G2" s="4" t="s">
        <v>40</v>
      </c>
    </row>
    <row r="3" spans="1:7" s="1" customFormat="1" ht="19.5" customHeight="1" x14ac:dyDescent="0.25">
      <c r="A3" s="285" t="s">
        <v>41</v>
      </c>
      <c r="B3" s="286"/>
      <c r="C3" s="286"/>
      <c r="D3" s="286"/>
      <c r="E3" s="286"/>
      <c r="F3" s="286"/>
      <c r="G3" s="287"/>
    </row>
    <row r="4" spans="1:7" s="1" customFormat="1" ht="19.5" customHeight="1" x14ac:dyDescent="0.25">
      <c r="A4" s="205" t="s">
        <v>42</v>
      </c>
      <c r="B4" s="288"/>
      <c r="C4" s="288"/>
      <c r="D4" s="288"/>
      <c r="E4" s="288"/>
      <c r="F4" s="288"/>
      <c r="G4" s="215"/>
    </row>
    <row r="5" spans="1:7" s="1" customFormat="1" ht="19.5" customHeight="1" x14ac:dyDescent="0.25">
      <c r="A5" s="289" t="s">
        <v>43</v>
      </c>
      <c r="B5" s="290"/>
      <c r="C5" s="290"/>
      <c r="D5" s="290"/>
      <c r="E5" s="290"/>
      <c r="F5" s="290"/>
      <c r="G5" s="291"/>
    </row>
    <row r="6" spans="1:7" s="1" customFormat="1" ht="16.5" customHeight="1" x14ac:dyDescent="0.25">
      <c r="A6" s="5" t="s">
        <v>44</v>
      </c>
      <c r="B6" s="6" t="s">
        <v>45</v>
      </c>
      <c r="C6" s="7" t="s">
        <v>4</v>
      </c>
      <c r="D6" s="292">
        <f>Page1!G4</f>
        <v>0</v>
      </c>
      <c r="E6" s="257"/>
      <c r="F6" s="262" t="s">
        <v>46</v>
      </c>
      <c r="G6" s="266">
        <f>Page1!I4</f>
        <v>0</v>
      </c>
    </row>
    <row r="7" spans="1:7" s="1" customFormat="1" ht="16.5" customHeight="1" x14ac:dyDescent="0.25">
      <c r="A7" s="5" t="s">
        <v>47</v>
      </c>
      <c r="B7" s="8"/>
      <c r="C7" s="7" t="s">
        <v>48</v>
      </c>
      <c r="D7" s="292">
        <f>Page1!E5</f>
        <v>0</v>
      </c>
      <c r="E7" s="257"/>
      <c r="F7" s="262"/>
      <c r="G7" s="293"/>
    </row>
    <row r="8" spans="1:7" s="1" customFormat="1" ht="37.5" customHeight="1" x14ac:dyDescent="0.25">
      <c r="A8" s="5" t="s">
        <v>49</v>
      </c>
      <c r="B8" s="9">
        <f>Page1!B4</f>
        <v>0</v>
      </c>
      <c r="C8" s="7" t="s">
        <v>50</v>
      </c>
      <c r="D8" s="262">
        <f>Page1!G5</f>
        <v>0</v>
      </c>
      <c r="E8" s="262"/>
      <c r="F8" s="263" t="s">
        <v>8</v>
      </c>
      <c r="G8" s="266">
        <f>Page1!I5</f>
        <v>0</v>
      </c>
    </row>
    <row r="9" spans="1:7" s="1" customFormat="1" ht="16.5" customHeight="1" x14ac:dyDescent="0.25">
      <c r="A9" s="10" t="s">
        <v>51</v>
      </c>
      <c r="B9" s="11">
        <f>Page1!F44</f>
        <v>461343000</v>
      </c>
      <c r="C9" s="263" t="s">
        <v>52</v>
      </c>
      <c r="D9" s="269" t="s">
        <v>122</v>
      </c>
      <c r="E9" s="270"/>
      <c r="F9" s="264"/>
      <c r="G9" s="267"/>
    </row>
    <row r="10" spans="1:7" s="1" customFormat="1" ht="15.75" thickBot="1" x14ac:dyDescent="0.3">
      <c r="A10" s="12" t="s">
        <v>53</v>
      </c>
      <c r="B10" s="13">
        <f>Page1!B5</f>
        <v>0</v>
      </c>
      <c r="C10" s="265"/>
      <c r="D10" s="271"/>
      <c r="E10" s="272"/>
      <c r="F10" s="265"/>
      <c r="G10" s="268"/>
    </row>
    <row r="11" spans="1:7" s="1" customFormat="1" ht="16.5" customHeight="1" x14ac:dyDescent="0.25">
      <c r="A11" s="273" t="s">
        <v>54</v>
      </c>
      <c r="B11" s="275" t="s">
        <v>55</v>
      </c>
      <c r="C11" s="277" t="s">
        <v>11</v>
      </c>
      <c r="D11" s="278"/>
      <c r="E11" s="279"/>
      <c r="F11" s="275" t="s">
        <v>56</v>
      </c>
      <c r="G11" s="280" t="s">
        <v>57</v>
      </c>
    </row>
    <row r="12" spans="1:7" s="1" customFormat="1" ht="16.5" customHeight="1" thickBot="1" x14ac:dyDescent="0.3">
      <c r="A12" s="274"/>
      <c r="B12" s="276"/>
      <c r="C12" s="14" t="s">
        <v>58</v>
      </c>
      <c r="D12" s="14" t="s">
        <v>59</v>
      </c>
      <c r="E12" s="14" t="s">
        <v>60</v>
      </c>
      <c r="F12" s="276"/>
      <c r="G12" s="281"/>
    </row>
    <row r="13" spans="1:7" s="1" customFormat="1" ht="16.5" customHeight="1" x14ac:dyDescent="0.25">
      <c r="A13" s="15" t="s">
        <v>61</v>
      </c>
      <c r="B13" s="16" t="s">
        <v>62</v>
      </c>
      <c r="C13" s="17">
        <v>15</v>
      </c>
      <c r="D13" s="17">
        <v>16</v>
      </c>
      <c r="E13" s="17">
        <v>18</v>
      </c>
      <c r="F13" s="18" t="e">
        <f>Page1!D39</f>
        <v>#DIV/0!</v>
      </c>
      <c r="G13" s="26" t="s">
        <v>63</v>
      </c>
    </row>
    <row r="14" spans="1:7" s="1" customFormat="1" ht="16.5" customHeight="1" x14ac:dyDescent="0.25">
      <c r="A14" s="19" t="s">
        <v>64</v>
      </c>
      <c r="B14" s="20" t="s">
        <v>65</v>
      </c>
      <c r="C14" s="21">
        <v>32</v>
      </c>
      <c r="D14" s="21">
        <v>42</v>
      </c>
      <c r="E14" s="21">
        <v>52</v>
      </c>
      <c r="F14" s="22" t="e">
        <f>Page1!E39</f>
        <v>#DIV/0!</v>
      </c>
      <c r="G14" s="23" t="s">
        <v>66</v>
      </c>
    </row>
    <row r="15" spans="1:7" s="1" customFormat="1" ht="16.5" customHeight="1" x14ac:dyDescent="0.25">
      <c r="A15" s="19" t="s">
        <v>67</v>
      </c>
      <c r="B15" s="20" t="s">
        <v>68</v>
      </c>
      <c r="C15" s="21">
        <v>300</v>
      </c>
      <c r="D15" s="21" t="s">
        <v>69</v>
      </c>
      <c r="E15" s="21" t="s">
        <v>69</v>
      </c>
      <c r="F15" s="24" t="e">
        <f>Page1!I39</f>
        <v>#DIV/0!</v>
      </c>
      <c r="G15" s="261" t="s">
        <v>70</v>
      </c>
    </row>
    <row r="16" spans="1:7" s="1" customFormat="1" ht="16.5" customHeight="1" x14ac:dyDescent="0.25">
      <c r="A16" s="19" t="s">
        <v>71</v>
      </c>
      <c r="B16" s="20" t="s">
        <v>68</v>
      </c>
      <c r="C16" s="21">
        <v>300</v>
      </c>
      <c r="D16" s="21" t="s">
        <v>69</v>
      </c>
      <c r="E16" s="21" t="s">
        <v>69</v>
      </c>
      <c r="F16" s="24" t="e">
        <f>Page2!F41</f>
        <v>#DIV/0!</v>
      </c>
      <c r="G16" s="203"/>
    </row>
    <row r="17" spans="1:7" s="1" customFormat="1" ht="16.5" customHeight="1" x14ac:dyDescent="0.25">
      <c r="A17" s="19" t="s">
        <v>72</v>
      </c>
      <c r="B17" s="20" t="s">
        <v>118</v>
      </c>
      <c r="C17" s="25">
        <v>5</v>
      </c>
      <c r="D17" s="21" t="s">
        <v>69</v>
      </c>
      <c r="E17" s="25">
        <v>11</v>
      </c>
      <c r="F17" s="25" t="e">
        <f>Page1!G39</f>
        <v>#DIV/0!</v>
      </c>
      <c r="G17" s="203"/>
    </row>
    <row r="18" spans="1:7" s="1" customFormat="1" ht="16.5" customHeight="1" x14ac:dyDescent="0.25">
      <c r="A18" s="19" t="s">
        <v>73</v>
      </c>
      <c r="B18" s="20" t="s">
        <v>118</v>
      </c>
      <c r="C18" s="25">
        <v>3</v>
      </c>
      <c r="D18" s="21" t="s">
        <v>69</v>
      </c>
      <c r="E18" s="25">
        <v>9</v>
      </c>
      <c r="F18" s="25" t="e">
        <f>Page2!D41</f>
        <v>#DIV/0!</v>
      </c>
      <c r="G18" s="203"/>
    </row>
    <row r="19" spans="1:7" s="1" customFormat="1" ht="16.5" customHeight="1" x14ac:dyDescent="0.25">
      <c r="A19" s="19" t="s">
        <v>119</v>
      </c>
      <c r="B19" s="20" t="s">
        <v>74</v>
      </c>
      <c r="C19" s="21">
        <v>350</v>
      </c>
      <c r="D19" s="21" t="s">
        <v>69</v>
      </c>
      <c r="E19" s="21" t="s">
        <v>69</v>
      </c>
      <c r="F19" s="24" t="e">
        <f>Page1!H39</f>
        <v>#DIV/0!</v>
      </c>
      <c r="G19" s="203"/>
    </row>
    <row r="20" spans="1:7" s="1" customFormat="1" ht="16.5" customHeight="1" x14ac:dyDescent="0.25">
      <c r="A20" s="19" t="s">
        <v>120</v>
      </c>
      <c r="B20" s="20" t="s">
        <v>74</v>
      </c>
      <c r="C20" s="21">
        <v>400</v>
      </c>
      <c r="D20" s="21" t="s">
        <v>69</v>
      </c>
      <c r="E20" s="21" t="s">
        <v>69</v>
      </c>
      <c r="F20" s="24" t="e">
        <f>Page2!E41</f>
        <v>#DIV/0!</v>
      </c>
      <c r="G20" s="203"/>
    </row>
    <row r="21" spans="1:7" s="1" customFormat="1" ht="16.5" customHeight="1" x14ac:dyDescent="0.25">
      <c r="A21" s="19" t="s">
        <v>75</v>
      </c>
      <c r="B21" s="20" t="s">
        <v>69</v>
      </c>
      <c r="C21" s="25">
        <v>0.3</v>
      </c>
      <c r="D21" s="25">
        <v>0.45</v>
      </c>
      <c r="E21" s="25">
        <v>0.6</v>
      </c>
      <c r="F21" s="25" t="e">
        <f>Page1!F39</f>
        <v>#DIV/0!</v>
      </c>
      <c r="G21" s="203"/>
    </row>
    <row r="22" spans="1:7" s="1" customFormat="1" ht="16.5" customHeight="1" x14ac:dyDescent="0.25">
      <c r="A22" s="19" t="s">
        <v>76</v>
      </c>
      <c r="B22" s="20" t="s">
        <v>77</v>
      </c>
      <c r="C22" s="21" t="s">
        <v>69</v>
      </c>
      <c r="D22" s="24">
        <v>165</v>
      </c>
      <c r="E22" s="24">
        <v>168</v>
      </c>
      <c r="F22" s="24" t="e">
        <f>Page2!H41</f>
        <v>#DIV/0!</v>
      </c>
      <c r="G22" s="23" t="s">
        <v>78</v>
      </c>
    </row>
    <row r="23" spans="1:7" s="1" customFormat="1" ht="16.5" customHeight="1" x14ac:dyDescent="0.25">
      <c r="A23" s="19" t="s">
        <v>79</v>
      </c>
      <c r="B23" s="20" t="s">
        <v>80</v>
      </c>
      <c r="C23" s="24">
        <v>6000</v>
      </c>
      <c r="D23" s="21" t="s">
        <v>69</v>
      </c>
      <c r="E23" s="21" t="s">
        <v>69</v>
      </c>
      <c r="F23" s="24">
        <v>6000</v>
      </c>
      <c r="G23" s="23" t="s">
        <v>81</v>
      </c>
    </row>
    <row r="24" spans="1:7" s="1" customFormat="1" ht="16.5" customHeight="1" thickBot="1" x14ac:dyDescent="0.3">
      <c r="A24" s="27" t="s">
        <v>82</v>
      </c>
      <c r="B24" s="28" t="s">
        <v>77</v>
      </c>
      <c r="C24" s="29">
        <v>430</v>
      </c>
      <c r="D24" s="29">
        <v>460</v>
      </c>
      <c r="E24" s="30">
        <v>510</v>
      </c>
      <c r="F24" s="30" t="e">
        <f>Page2!I41</f>
        <v>#DIV/0!</v>
      </c>
      <c r="G24" s="31" t="s">
        <v>78</v>
      </c>
    </row>
    <row r="25" spans="1:7" s="1" customFormat="1" ht="16.5" customHeight="1" thickBot="1" x14ac:dyDescent="0.3">
      <c r="A25" s="248" t="s">
        <v>83</v>
      </c>
      <c r="B25" s="249"/>
      <c r="C25" s="249"/>
      <c r="D25" s="249"/>
      <c r="E25" s="249"/>
      <c r="F25" s="249"/>
      <c r="G25" s="250"/>
    </row>
    <row r="26" spans="1:7" s="1" customFormat="1" ht="16.5" customHeight="1" x14ac:dyDescent="0.25">
      <c r="A26" s="251" t="s">
        <v>84</v>
      </c>
      <c r="B26" s="252"/>
      <c r="C26" s="253" t="s">
        <v>121</v>
      </c>
      <c r="D26" s="254"/>
      <c r="E26" s="255"/>
      <c r="F26" s="32" t="s">
        <v>85</v>
      </c>
      <c r="G26" s="26" t="s">
        <v>86</v>
      </c>
    </row>
    <row r="27" spans="1:7" s="1" customFormat="1" ht="16.5" customHeight="1" x14ac:dyDescent="0.25">
      <c r="A27" s="256" t="s">
        <v>87</v>
      </c>
      <c r="B27" s="257"/>
      <c r="C27" s="258" t="s">
        <v>88</v>
      </c>
      <c r="D27" s="259"/>
      <c r="E27" s="260"/>
      <c r="F27" s="33" t="s">
        <v>85</v>
      </c>
      <c r="G27" s="23" t="s">
        <v>89</v>
      </c>
    </row>
    <row r="28" spans="1:7" s="1" customFormat="1" ht="16.5" customHeight="1" x14ac:dyDescent="0.25">
      <c r="A28" s="256" t="s">
        <v>90</v>
      </c>
      <c r="B28" s="257"/>
      <c r="C28" s="258" t="s">
        <v>91</v>
      </c>
      <c r="D28" s="259"/>
      <c r="E28" s="260"/>
      <c r="F28" s="33" t="s">
        <v>85</v>
      </c>
      <c r="G28" s="26" t="s">
        <v>86</v>
      </c>
    </row>
    <row r="29" spans="1:7" s="1" customFormat="1" ht="16.5" customHeight="1" x14ac:dyDescent="0.25">
      <c r="A29" s="256" t="s">
        <v>92</v>
      </c>
      <c r="B29" s="257"/>
      <c r="C29" s="258" t="s">
        <v>93</v>
      </c>
      <c r="D29" s="259"/>
      <c r="E29" s="260"/>
      <c r="F29" s="33" t="s">
        <v>85</v>
      </c>
      <c r="G29" s="23" t="s">
        <v>94</v>
      </c>
    </row>
    <row r="30" spans="1:7" s="1" customFormat="1" ht="16.5" customHeight="1" x14ac:dyDescent="0.25">
      <c r="A30" s="256" t="s">
        <v>95</v>
      </c>
      <c r="B30" s="257"/>
      <c r="C30" s="258" t="s">
        <v>96</v>
      </c>
      <c r="D30" s="259"/>
      <c r="E30" s="260"/>
      <c r="F30" s="33" t="s">
        <v>85</v>
      </c>
      <c r="G30" s="23" t="s">
        <v>97</v>
      </c>
    </row>
    <row r="31" spans="1:7" s="1" customFormat="1" ht="33" customHeight="1" thickBot="1" x14ac:dyDescent="0.3">
      <c r="A31" s="243" t="s">
        <v>98</v>
      </c>
      <c r="B31" s="244"/>
      <c r="C31" s="245" t="s">
        <v>99</v>
      </c>
      <c r="D31" s="246"/>
      <c r="E31" s="247"/>
      <c r="F31" s="35" t="s">
        <v>85</v>
      </c>
      <c r="G31" s="51" t="s">
        <v>97</v>
      </c>
    </row>
    <row r="32" spans="1:7" s="1" customFormat="1" ht="16.5" customHeight="1" x14ac:dyDescent="0.25">
      <c r="A32" s="228" t="s">
        <v>100</v>
      </c>
      <c r="B32" s="229"/>
      <c r="C32" s="230" t="s">
        <v>101</v>
      </c>
      <c r="D32" s="231"/>
      <c r="E32" s="232"/>
      <c r="F32" s="230" t="s">
        <v>102</v>
      </c>
      <c r="G32" s="232"/>
    </row>
    <row r="33" spans="1:7" s="1" customFormat="1" ht="101.25" customHeight="1" x14ac:dyDescent="0.25">
      <c r="A33" s="233"/>
      <c r="B33" s="234"/>
      <c r="C33" s="237"/>
      <c r="D33" s="238"/>
      <c r="E33" s="239"/>
      <c r="F33" s="237"/>
      <c r="G33" s="239"/>
    </row>
    <row r="34" spans="1:7" s="1" customFormat="1" ht="26.25" customHeight="1" thickBot="1" x14ac:dyDescent="0.3">
      <c r="A34" s="235"/>
      <c r="B34" s="236"/>
      <c r="C34" s="240" t="s">
        <v>16</v>
      </c>
      <c r="D34" s="241"/>
      <c r="E34" s="242"/>
      <c r="F34" s="240" t="s">
        <v>103</v>
      </c>
      <c r="G34" s="242"/>
    </row>
    <row r="35" spans="1:7" ht="16.5" customHeight="1" x14ac:dyDescent="0.25">
      <c r="A35" s="37"/>
      <c r="B35" s="37"/>
      <c r="C35" s="37"/>
      <c r="D35" s="37"/>
      <c r="E35" s="225"/>
      <c r="F35" s="225"/>
      <c r="G35" s="225"/>
    </row>
    <row r="36" spans="1:7" x14ac:dyDescent="0.25">
      <c r="A36" s="41" t="s">
        <v>104</v>
      </c>
      <c r="B36" s="39"/>
      <c r="C36" s="40"/>
      <c r="D36" s="37"/>
      <c r="E36" s="226"/>
      <c r="F36" s="226"/>
      <c r="G36" s="226"/>
    </row>
    <row r="38" spans="1:7" x14ac:dyDescent="0.25">
      <c r="A38" s="227" t="s">
        <v>105</v>
      </c>
      <c r="B38" s="227"/>
    </row>
    <row r="39" spans="1:7" x14ac:dyDescent="0.25">
      <c r="A39" s="227" t="s">
        <v>106</v>
      </c>
      <c r="B39" s="227"/>
    </row>
  </sheetData>
  <mergeCells count="44">
    <mergeCell ref="A1:G1"/>
    <mergeCell ref="A3:G3"/>
    <mergeCell ref="A4:G4"/>
    <mergeCell ref="A5:G5"/>
    <mergeCell ref="D6:E6"/>
    <mergeCell ref="F6:F7"/>
    <mergeCell ref="G6:G7"/>
    <mergeCell ref="D7:E7"/>
    <mergeCell ref="A11:A12"/>
    <mergeCell ref="B11:B12"/>
    <mergeCell ref="C11:E11"/>
    <mergeCell ref="F11:F12"/>
    <mergeCell ref="G11:G12"/>
    <mergeCell ref="G15:G21"/>
    <mergeCell ref="D8:E8"/>
    <mergeCell ref="F8:F10"/>
    <mergeCell ref="G8:G10"/>
    <mergeCell ref="C9:C10"/>
    <mergeCell ref="D9:E10"/>
    <mergeCell ref="A31:B31"/>
    <mergeCell ref="C31:E31"/>
    <mergeCell ref="A25:G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E35:G35"/>
    <mergeCell ref="E36:G36"/>
    <mergeCell ref="A38:B38"/>
    <mergeCell ref="A39:B39"/>
    <mergeCell ref="A32:B32"/>
    <mergeCell ref="C32:E32"/>
    <mergeCell ref="F32:G32"/>
    <mergeCell ref="A33:B34"/>
    <mergeCell ref="C33:E33"/>
    <mergeCell ref="F33:G33"/>
    <mergeCell ref="C34:E34"/>
    <mergeCell ref="F34:G34"/>
  </mergeCells>
  <pageMargins left="0.39370078740157483" right="0.39370078740157483" top="0.74803149606299213" bottom="0.55118110236220474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2026-01-12T14:07:35Z</dcterms:modified>
</cp:coreProperties>
</file>