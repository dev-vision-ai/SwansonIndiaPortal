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A4F7D574-0A26-4841-A87B-727AC462EB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1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1" l="1"/>
  <c r="B10" i="11"/>
  <c r="B8" i="11"/>
  <c r="F26" i="11"/>
  <c r="F24" i="11"/>
  <c r="E24" i="11"/>
  <c r="D24" i="11"/>
  <c r="F23" i="11"/>
  <c r="F22" i="11"/>
  <c r="F21" i="11"/>
  <c r="F20" i="11"/>
  <c r="F19" i="11"/>
  <c r="F18" i="11"/>
  <c r="F17" i="11"/>
  <c r="F16" i="11"/>
  <c r="F15" i="11"/>
  <c r="F14" i="11"/>
  <c r="F13" i="11"/>
  <c r="B9" i="11"/>
  <c r="H8" i="11"/>
  <c r="D8" i="11"/>
  <c r="D7" i="11"/>
  <c r="H6" i="11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<sst xmlns="http://schemas.openxmlformats.org/spreadsheetml/2006/main" count="234" uniqueCount="142">
  <si>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</si>
  <si>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</si>
  <si>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</si>
  <si>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</si>
  <si>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</si>
  <si>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</si>
  <si>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</si>
  <si>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</si>
  <si>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</si>
  <si>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</si>
  <si>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</si>
  <si>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</si>
  <si>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</si>
  <si>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</si>
  <si>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</si>
  <si>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</si>
  <si>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</si>
  <si>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</si>
  <si>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</si>
  <si>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</si>
  <si>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</si>
  <si>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</si>
  <si>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</si>
  <si>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</si>
  <si>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</si>
  <si>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</si>
  <si>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</si>
  <si>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</si>
  <si>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</si>
  <si>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</si>
  <si>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</si>
  <si>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</si>
  <si>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</si>
  <si>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</si>
  <si>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</si>
  <si>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</si>
  <si>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</si>
  <si>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</si>
  <si>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</si>
  <si>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</si>
  <si>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</si>
  <si>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</si>
  <si>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</si>
  <si>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</si>
  <si>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</si>
  <si>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</si>
  <si>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</si>
  <si>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</si>
  <si>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</si>
  <si>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</si>
  <si>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</si>
  <si>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</si>
  <si>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</si>
  <si>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</si>
  <si>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</si>
  <si>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</si>
  <si>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</si>
  <si>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</si>
  <si>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</si>
  <si>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</si>
  <si>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</si>
  <si>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</si>
  <si>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</si>
  <si>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</si>
  <si>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</si>
  <si>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</si>
  <si>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</si>
  <si>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</si>
  <si>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</si>
  <si>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</si>
  <si>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</si>
  <si>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</si>
  <si>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</si>
  <si>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</si>
  <si>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</si>
  <si>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</si>
  <si>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</si>
  <si>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</si>
  <si>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</si>
  <si>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</si>
  <si>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</si>
  <si>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</si>
  <si>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</si>
  <si>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</si>
  <si>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</si>
  <si>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</si>
  <si>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</si>
  <si>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</si>
  <si>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</si>
  <si>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</si>
  <si>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</si>
  <si>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</si>
  <si>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</si>
  <si>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</si>
  <si>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</si>
  <si>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</si>
  <si>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</si>
  <si>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</si>
  <si>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</si>
  <si>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</si>
  <si>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</si>
  <si>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</si>
  <si>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</si>
  <si>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</si>
  <si>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</si>
  <si>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</si>
  <si>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</si>
  <si>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</si>
  <si>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</si>
  <si>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</si>
  <si>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</si>
  <si>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</si>
  <si>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</si>
  <si>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</si>
  <si>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</si>
  <si>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</si>
  <si>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</si>
  <si>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</si>
  <si>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</si>
  <si>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</si>
  <si>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</si>
  <si>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</si>
  <si>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</si>
  <si>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</si>
  <si>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</si>
  <si>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</si>
  <si>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</si>
  <si>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</si>
  <si>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</si>
  <si>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</si>
  <si>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</si>
  <si>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</si>
  <si>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</si>
  <si>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</si>
  <si>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</si>
  <si>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 xml:space="preserve">Inspected By
</t>
  </si>
  <si>
    <t xml:space="preserve">Approved By
</t>
  </si>
  <si>
    <t>(QA)</t>
  </si>
  <si>
    <t xml:space="preserve"> Swanson Plastics(India) Pvt. Ltd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</si>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</sst>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7">
    <xf numFmtId="0" fontId="0" fillId="0" borderId="0" xfId="0"/>
    <xf numFmtId="0" fontId="1" fillId="2" borderId="4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35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vertical="center" wrapText="1"/>
    </xf>
    <xf numFmtId="0" fontId="1" fillId="2" borderId="25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5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2" fontId="1" fillId="2" borderId="54" xfId="0" applyNumberFormat="1" applyFont="1" applyFill="1" applyBorder="1" applyAlignment="1">
      <alignment horizontal="center" wrapText="1"/>
    </xf>
    <xf numFmtId="2" fontId="1" fillId="2" borderId="21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4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right" vertical="center" wrapText="1"/>
    </xf>
    <xf numFmtId="0" fontId="1" fillId="2" borderId="54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2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5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8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65" fontId="1" fillId="2" borderId="62" xfId="0" applyNumberFormat="1" applyFont="1" applyFill="1" applyBorder="1" applyAlignment="1">
      <alignment horizontal="center" vertical="center" wrapText="1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1" xfId="0" applyNumberFormat="1" applyFont="1" applyFill="1" applyBorder="1" applyAlignment="1">
      <alignment horizontal="center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57" xfId="0" quotePrefix="1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1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2" xfId="0" applyFont="1" applyFill="1" applyBorder="1" applyAlignment="1">
      <alignment horizontal="righ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6" fillId="2" borderId="44" xfId="0" applyFont="1" applyFill="1" applyBorder="1" applyAlignment="1">
      <alignment horizontal="center" wrapText="1"/>
    </xf>
    <xf numFmtId="0" fontId="1" fillId="2" borderId="47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65" fontId="1" fillId="2" borderId="53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26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53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center" vertical="center" wrapText="1"/>
    </xf>
    <xf numFmtId="49" fontId="1" fillId="2" borderId="24" xfId="0" applyNumberFormat="1" applyFont="1" applyFill="1" applyBorder="1" applyAlignment="1">
      <alignment horizontal="center" vertical="center" wrapText="1"/>
    </xf>
    <xf numFmtId="49" fontId="1" fillId="2" borderId="54" xfId="0" applyNumberFormat="1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3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49" xfId="0" applyNumberFormat="1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49" fontId="1" fillId="2" borderId="20" xfId="0" applyNumberFormat="1" applyFont="1" applyFill="1" applyBorder="1" applyAlignment="1">
      <alignment horizontal="center" vertical="center" wrapText="1"/>
    </xf>
    <xf numFmtId="49" fontId="1" fillId="2" borderId="21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49" fontId="1" fillId="2" borderId="64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60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14" fontId="1" fillId="2" borderId="25" xfId="0" applyNumberFormat="1" applyFont="1" applyFill="1" applyBorder="1" applyAlignment="1">
      <alignment horizontal="center" vertical="center" wrapText="1"/>
    </xf>
    <xf numFmtId="14" fontId="1" fillId="2" borderId="46" xfId="0" applyNumberFormat="1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54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>
      <alignment horizontal="center" wrapText="1"/>
    </xf>
    <xf numFmtId="164" fontId="1" fillId="2" borderId="54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9" xfId="0" applyNumberFormat="1" applyFont="1" applyFill="1" applyBorder="1" applyAlignment="1">
      <alignment horizontal="center" vertical="center" wrapText="1"/>
    </xf>
    <xf numFmtId="1" fontId="1" fillId="2" borderId="30" xfId="0" applyNumberFormat="1" applyFont="1" applyFill="1" applyBorder="1" applyAlignment="1">
      <alignment horizontal="center" vertical="center" wrapText="1"/>
    </xf>
    <xf numFmtId="164" fontId="1" fillId="2" borderId="29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49" fontId="1" fillId="2" borderId="62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53" xfId="0" applyNumberFormat="1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>
      <alignment horizontal="center" vertical="center" wrapText="1"/>
    </xf>
    <xf numFmtId="49" fontId="1" fillId="2" borderId="57" xfId="0" applyNumberFormat="1" applyFont="1" applyFill="1" applyBorder="1" applyAlignment="1">
      <alignment horizontal="center" vertical="center" wrapText="1"/>
    </xf>
    <xf numFmtId="49" fontId="1" fillId="2" borderId="26" xfId="0" applyNumberFormat="1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8" xfId="0" applyFont="1" applyFill="1" applyBorder="1" applyAlignment="1">
      <alignment horizontal="left" vertical="top" wrapText="1"/>
    </xf>
    <xf numFmtId="0" fontId="6" fillId="2" borderId="50" xfId="0" applyFont="1" applyFill="1" applyBorder="1" applyAlignment="1">
      <alignment horizontal="left" vertical="top" wrapText="1"/>
    </xf>
    <xf numFmtId="0" fontId="6" fillId="2" borderId="48" xfId="0" applyFont="1" applyFill="1" applyBorder="1" applyAlignment="1">
      <alignment horizontal="center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57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center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14" fontId="1" fillId="2" borderId="39" xfId="0" applyNumberFormat="1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6" fillId="2" borderId="58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12" fillId="2" borderId="48" xfId="0" applyFont="1" applyFill="1" applyBorder="1" applyAlignment="1">
      <alignment horizontal="righ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3" xfId="0" applyFont="1" applyFill="1" applyBorder="1" applyAlignment="1">
      <alignment horizontal="center" vertical="center" wrapText="1"/>
    </xf>
    <xf numFmtId="14" fontId="1" fillId="2" borderId="42" xfId="0" applyNumberFormat="1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center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2" fontId="1" fillId="2" borderId="5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993F0BC-0CDC-4546-821A-B3D06E65BE0F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28" t="s">
        <v>16</v>
      </c>
      <c r="B1" s="128"/>
      <c r="C1" s="128"/>
      <c r="D1" s="128"/>
      <c r="E1" s="128"/>
      <c r="F1" s="128"/>
      <c r="G1" s="128"/>
      <c r="H1" s="128"/>
      <c r="I1" s="128"/>
      <c r="J1" s="128"/>
      <c r="K1" s="14" t="s">
        <v>27</v>
      </c>
    </row>
    <row r="2" spans="1:13" s="15" customFormat="1" ht="15.75" customHeight="1" x14ac:dyDescent="0.25">
      <c r="A2" s="128" t="s">
        <v>19</v>
      </c>
      <c r="B2" s="128"/>
      <c r="C2" s="128"/>
      <c r="D2" s="128"/>
      <c r="E2" s="128"/>
      <c r="F2" s="128"/>
      <c r="G2" s="128"/>
      <c r="H2" s="128"/>
      <c r="I2" s="128"/>
      <c r="J2" s="128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29" t="s">
        <v>17</v>
      </c>
      <c r="B4" s="130"/>
      <c r="C4" s="139"/>
      <c r="D4" s="140"/>
      <c r="E4" s="3" t="s">
        <v>4</v>
      </c>
      <c r="F4" s="8"/>
      <c r="G4" s="3" t="s">
        <v>5</v>
      </c>
      <c r="H4" s="10"/>
      <c r="I4" s="4" t="s">
        <v>6</v>
      </c>
      <c r="J4" s="146"/>
      <c r="K4" s="147"/>
      <c r="M4" s="15" t="s">
        <v>28</v>
      </c>
    </row>
    <row r="5" spans="1:13" s="15" customFormat="1" ht="23.25" customHeight="1" thickBot="1" x14ac:dyDescent="0.3">
      <c r="A5" s="137" t="s">
        <v>18</v>
      </c>
      <c r="B5" s="138"/>
      <c r="C5" s="141"/>
      <c r="D5" s="142"/>
      <c r="E5" s="5" t="s">
        <v>7</v>
      </c>
      <c r="F5" s="9"/>
      <c r="G5" s="5" t="s">
        <v>8</v>
      </c>
      <c r="H5" s="11"/>
      <c r="I5" s="6" t="s">
        <v>9</v>
      </c>
      <c r="J5" s="148"/>
      <c r="K5" s="149"/>
    </row>
    <row r="6" spans="1:13" s="15" customFormat="1" ht="15.75" customHeight="1" thickBot="1" x14ac:dyDescent="0.3">
      <c r="A6" s="151" t="s">
        <v>133</v>
      </c>
      <c r="B6" s="152"/>
      <c r="C6" s="153"/>
      <c r="D6" s="7"/>
      <c r="E6" s="7"/>
      <c r="F6" s="7" t="s">
        <v>139</v>
      </c>
      <c r="G6" s="135"/>
      <c r="H6" s="136"/>
      <c r="I6" s="135"/>
      <c r="J6" s="143"/>
      <c r="K6" s="144"/>
    </row>
    <row r="7" spans="1:13" ht="15" customHeight="1" x14ac:dyDescent="0.25">
      <c r="A7" s="154" t="s">
        <v>0</v>
      </c>
      <c r="B7" s="133"/>
      <c r="C7" s="133"/>
      <c r="D7" s="133" t="s">
        <v>39</v>
      </c>
      <c r="E7" s="133" t="s">
        <v>15</v>
      </c>
      <c r="F7" s="133" t="s">
        <v>25</v>
      </c>
      <c r="G7" s="131" t="s">
        <v>33</v>
      </c>
      <c r="H7" s="131" t="s">
        <v>126</v>
      </c>
      <c r="I7" s="133" t="s">
        <v>1</v>
      </c>
      <c r="J7" s="133"/>
      <c r="K7" s="145"/>
    </row>
    <row r="8" spans="1:13" ht="48.75" customHeight="1" thickBot="1" x14ac:dyDescent="0.3">
      <c r="A8" s="155"/>
      <c r="B8" s="134"/>
      <c r="C8" s="134"/>
      <c r="D8" s="134"/>
      <c r="E8" s="134" t="s">
        <v>3</v>
      </c>
      <c r="F8" s="134"/>
      <c r="G8" s="132"/>
      <c r="H8" s="132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162" t="s">
        <v>26</v>
      </c>
      <c r="B39" s="163"/>
      <c r="C39" s="164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159" t="s">
        <v>31</v>
      </c>
      <c r="B40" s="160"/>
      <c r="C40" s="161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156" t="s">
        <v>32</v>
      </c>
      <c r="B41" s="157"/>
      <c r="C41" s="158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66"/>
      <c r="C42" s="166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65"/>
      <c r="C43" s="165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50" t="s">
        <v>21</v>
      </c>
      <c r="B44" s="150"/>
      <c r="C44" s="150"/>
      <c r="D44" s="38"/>
      <c r="E44" s="38"/>
      <c r="F44" s="40" t="s">
        <v>134</v>
      </c>
      <c r="G44" s="39">
        <v>461303700</v>
      </c>
      <c r="H44" s="38"/>
    </row>
    <row r="45" spans="1:14" s="15" customFormat="1" ht="16.5" customHeight="1" x14ac:dyDescent="0.25">
      <c r="A45" s="150" t="s">
        <v>130</v>
      </c>
      <c r="B45" s="150"/>
      <c r="C45" s="150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</mergeCells>
  <conditionalFormatting sqref="D9:D41">
    <cfRule type="cellIs" dxfId="17" priority="18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A11" sqref="A11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28" t="s">
        <v>16</v>
      </c>
      <c r="B1" s="128"/>
      <c r="C1" s="128"/>
      <c r="D1" s="128"/>
      <c r="E1" s="128"/>
      <c r="F1" s="128"/>
      <c r="G1" s="128"/>
      <c r="H1" s="128"/>
      <c r="I1" s="128"/>
      <c r="J1" s="128"/>
      <c r="K1" s="14" t="s">
        <v>27</v>
      </c>
    </row>
    <row r="2" spans="1:11" s="15" customFormat="1" ht="15.75" customHeight="1" x14ac:dyDescent="0.25">
      <c r="A2" s="128" t="s">
        <v>19</v>
      </c>
      <c r="B2" s="128"/>
      <c r="C2" s="128"/>
      <c r="D2" s="128"/>
      <c r="E2" s="128"/>
      <c r="F2" s="128"/>
      <c r="G2" s="128"/>
      <c r="H2" s="128"/>
      <c r="I2" s="128"/>
      <c r="J2" s="128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29" t="s">
        <v>17</v>
      </c>
      <c r="B4" s="130">
        <f>Page1!B4:D4</f>
        <v>0</v>
      </c>
      <c r="C4" s="197">
        <f>Page1!C4</f>
        <v>0</v>
      </c>
      <c r="D4" s="174"/>
      <c r="E4" s="3" t="s">
        <v>4</v>
      </c>
      <c r="F4" s="122">
        <f>Page1!F4</f>
        <v>0</v>
      </c>
      <c r="G4" s="3" t="s">
        <v>5</v>
      </c>
      <c r="H4" s="10">
        <f>Page1!H4</f>
        <v>0</v>
      </c>
      <c r="I4" s="4" t="s">
        <v>6</v>
      </c>
      <c r="J4" s="190">
        <f>Page1!J4</f>
        <v>0</v>
      </c>
      <c r="K4" s="191"/>
    </row>
    <row r="5" spans="1:11" s="15" customFormat="1" ht="23.25" customHeight="1" thickBot="1" x14ac:dyDescent="0.3">
      <c r="A5" s="137" t="s">
        <v>18</v>
      </c>
      <c r="B5" s="138">
        <f>Page1!B5:D5</f>
        <v>0</v>
      </c>
      <c r="C5" s="141">
        <f>Page1!C5</f>
        <v>0</v>
      </c>
      <c r="D5" s="142"/>
      <c r="E5" s="5" t="s">
        <v>7</v>
      </c>
      <c r="F5" s="93">
        <f>Page1!F5</f>
        <v>0</v>
      </c>
      <c r="G5" s="5" t="s">
        <v>8</v>
      </c>
      <c r="H5" s="1">
        <f>Page1!H5</f>
        <v>0</v>
      </c>
      <c r="I5" s="6" t="s">
        <v>9</v>
      </c>
      <c r="J5" s="192">
        <f>Page1!J5</f>
        <v>0</v>
      </c>
      <c r="K5" s="193"/>
    </row>
    <row r="6" spans="1:11" s="15" customFormat="1" ht="15.75" customHeight="1" thickBot="1" x14ac:dyDescent="0.3">
      <c r="A6" s="167" t="s">
        <v>133</v>
      </c>
      <c r="B6" s="168"/>
      <c r="C6" s="168"/>
      <c r="D6" s="169"/>
      <c r="E6" s="169"/>
      <c r="F6" s="170"/>
      <c r="G6" s="186"/>
      <c r="H6" s="170"/>
      <c r="I6" s="184"/>
      <c r="J6" s="185"/>
      <c r="K6" s="20"/>
    </row>
    <row r="7" spans="1:11" x14ac:dyDescent="0.25">
      <c r="A7" s="198" t="s">
        <v>0</v>
      </c>
      <c r="B7" s="169"/>
      <c r="C7" s="170"/>
      <c r="D7" s="173" t="s">
        <v>2</v>
      </c>
      <c r="E7" s="169"/>
      <c r="F7" s="174"/>
      <c r="G7" s="186" t="s">
        <v>42</v>
      </c>
      <c r="H7" s="169"/>
      <c r="I7" s="186" t="s">
        <v>132</v>
      </c>
      <c r="J7" s="170"/>
      <c r="K7" s="194" t="s">
        <v>125</v>
      </c>
    </row>
    <row r="8" spans="1:11" x14ac:dyDescent="0.25">
      <c r="A8" s="199"/>
      <c r="B8" s="179"/>
      <c r="C8" s="182"/>
      <c r="D8" s="179" t="s">
        <v>13</v>
      </c>
      <c r="E8" s="181" t="s">
        <v>14</v>
      </c>
      <c r="F8" s="182" t="s">
        <v>12</v>
      </c>
      <c r="G8" s="187"/>
      <c r="H8" s="188"/>
      <c r="I8" s="187" t="s">
        <v>131</v>
      </c>
      <c r="J8" s="182"/>
      <c r="K8" s="195"/>
    </row>
    <row r="9" spans="1:11" ht="15" customHeight="1" x14ac:dyDescent="0.25">
      <c r="A9" s="199"/>
      <c r="B9" s="179"/>
      <c r="C9" s="182"/>
      <c r="D9" s="179"/>
      <c r="E9" s="131"/>
      <c r="F9" s="182"/>
      <c r="G9" s="187"/>
      <c r="H9" s="188"/>
      <c r="I9" s="47" t="s">
        <v>127</v>
      </c>
      <c r="J9" s="48">
        <v>290</v>
      </c>
      <c r="K9" s="195"/>
    </row>
    <row r="10" spans="1:11" ht="18.75" customHeight="1" thickBot="1" x14ac:dyDescent="0.3">
      <c r="A10" s="199"/>
      <c r="B10" s="179"/>
      <c r="C10" s="182"/>
      <c r="D10" s="180"/>
      <c r="E10" s="132"/>
      <c r="F10" s="183"/>
      <c r="G10" s="189"/>
      <c r="H10" s="180"/>
      <c r="I10" s="49" t="s">
        <v>128</v>
      </c>
      <c r="J10" s="50">
        <v>293</v>
      </c>
      <c r="K10" s="196"/>
    </row>
    <row r="11" spans="1:11" s="15" customFormat="1" ht="19.5" customHeight="1" x14ac:dyDescent="0.25">
      <c r="A11" s="82">
        <f>Page1!A9</f>
        <v>0</v>
      </c>
      <c r="B11" s="83">
        <f>Page1!B9</f>
        <v>0</v>
      </c>
      <c r="C11" s="124">
        <f>Page1!C9</f>
        <v>0</v>
      </c>
      <c r="D11" s="51"/>
      <c r="E11" s="52"/>
      <c r="F11" s="52"/>
      <c r="G11" s="215"/>
      <c r="H11" s="215"/>
      <c r="I11" s="200"/>
      <c r="J11" s="201"/>
      <c r="K11" s="53"/>
    </row>
    <row r="12" spans="1:11" s="15" customFormat="1" ht="19.5" customHeight="1" x14ac:dyDescent="0.25">
      <c r="A12" s="84">
        <f>Page1!A10</f>
        <v>0</v>
      </c>
      <c r="B12" s="85">
        <f>Page1!B10</f>
        <v>0</v>
      </c>
      <c r="C12" s="125">
        <f>Page1!C10</f>
        <v>0</v>
      </c>
      <c r="D12" s="54"/>
      <c r="E12" s="55"/>
      <c r="F12" s="55"/>
      <c r="G12" s="208"/>
      <c r="H12" s="208"/>
      <c r="I12" s="202"/>
      <c r="J12" s="203"/>
      <c r="K12" s="56"/>
    </row>
    <row r="13" spans="1:11" s="15" customFormat="1" ht="19.5" customHeight="1" x14ac:dyDescent="0.25">
      <c r="A13" s="84">
        <f>Page1!A11</f>
        <v>0</v>
      </c>
      <c r="B13" s="85">
        <f>Page1!B11</f>
        <v>0</v>
      </c>
      <c r="C13" s="126">
        <f>Page1!C11</f>
        <v>0</v>
      </c>
      <c r="D13" s="54"/>
      <c r="E13" s="55"/>
      <c r="F13" s="55"/>
      <c r="G13" s="208"/>
      <c r="H13" s="208"/>
      <c r="I13" s="202"/>
      <c r="J13" s="203"/>
      <c r="K13" s="56"/>
    </row>
    <row r="14" spans="1:11" s="15" customFormat="1" ht="19.5" customHeight="1" x14ac:dyDescent="0.25">
      <c r="A14" s="84">
        <f>Page1!A12</f>
        <v>0</v>
      </c>
      <c r="B14" s="86">
        <f>Page1!B12</f>
        <v>0</v>
      </c>
      <c r="C14" s="126">
        <f>Page1!C12</f>
        <v>0</v>
      </c>
      <c r="D14" s="54"/>
      <c r="E14" s="55"/>
      <c r="F14" s="55"/>
      <c r="G14" s="208"/>
      <c r="H14" s="208"/>
      <c r="I14" s="202"/>
      <c r="J14" s="203"/>
      <c r="K14" s="56"/>
    </row>
    <row r="15" spans="1:11" s="15" customFormat="1" ht="19.5" customHeight="1" x14ac:dyDescent="0.25">
      <c r="A15" s="84">
        <f>Page1!A13</f>
        <v>0</v>
      </c>
      <c r="B15" s="85">
        <f>Page1!B13</f>
        <v>0</v>
      </c>
      <c r="C15" s="125">
        <f>Page1!C13</f>
        <v>0</v>
      </c>
      <c r="D15" s="54"/>
      <c r="E15" s="55"/>
      <c r="F15" s="55"/>
      <c r="G15" s="208"/>
      <c r="H15" s="208"/>
      <c r="I15" s="202"/>
      <c r="J15" s="203"/>
      <c r="K15" s="56"/>
    </row>
    <row r="16" spans="1:11" s="15" customFormat="1" ht="19.5" customHeight="1" x14ac:dyDescent="0.25">
      <c r="A16" s="84">
        <f>Page1!A14</f>
        <v>0</v>
      </c>
      <c r="B16" s="85">
        <f>Page1!B14</f>
        <v>0</v>
      </c>
      <c r="C16" s="125">
        <f>Page1!C14</f>
        <v>0</v>
      </c>
      <c r="D16" s="51"/>
      <c r="E16" s="52"/>
      <c r="F16" s="52"/>
      <c r="G16" s="215"/>
      <c r="H16" s="215"/>
      <c r="I16" s="202"/>
      <c r="J16" s="203"/>
      <c r="K16" s="53"/>
    </row>
    <row r="17" spans="1:11" s="15" customFormat="1" ht="19.5" customHeight="1" x14ac:dyDescent="0.25">
      <c r="A17" s="84">
        <f>Page1!A15</f>
        <v>0</v>
      </c>
      <c r="B17" s="85">
        <f>Page1!B15</f>
        <v>0</v>
      </c>
      <c r="C17" s="125">
        <f>Page1!C15</f>
        <v>0</v>
      </c>
      <c r="D17" s="54"/>
      <c r="E17" s="55"/>
      <c r="F17" s="55"/>
      <c r="G17" s="208"/>
      <c r="H17" s="208"/>
      <c r="I17" s="202"/>
      <c r="J17" s="203"/>
      <c r="K17" s="56"/>
    </row>
    <row r="18" spans="1:11" s="15" customFormat="1" ht="19.5" customHeight="1" x14ac:dyDescent="0.25">
      <c r="A18" s="84">
        <f>Page1!A16</f>
        <v>0</v>
      </c>
      <c r="B18" s="85">
        <f>Page1!B16</f>
        <v>0</v>
      </c>
      <c r="C18" s="125">
        <f>Page1!C16</f>
        <v>0</v>
      </c>
      <c r="D18" s="54"/>
      <c r="E18" s="55"/>
      <c r="F18" s="55"/>
      <c r="G18" s="208"/>
      <c r="H18" s="208"/>
      <c r="I18" s="202"/>
      <c r="J18" s="203"/>
      <c r="K18" s="56"/>
    </row>
    <row r="19" spans="1:11" s="15" customFormat="1" ht="19.5" customHeight="1" x14ac:dyDescent="0.25">
      <c r="A19" s="84">
        <f>Page1!A17</f>
        <v>0</v>
      </c>
      <c r="B19" s="87">
        <f>Page1!B17</f>
        <v>0</v>
      </c>
      <c r="C19" s="125">
        <f>Page1!C17</f>
        <v>0</v>
      </c>
      <c r="D19" s="54"/>
      <c r="E19" s="55"/>
      <c r="F19" s="55"/>
      <c r="G19" s="208"/>
      <c r="H19" s="208"/>
      <c r="I19" s="202"/>
      <c r="J19" s="203"/>
      <c r="K19" s="56"/>
    </row>
    <row r="20" spans="1:11" s="15" customFormat="1" ht="19.5" customHeight="1" x14ac:dyDescent="0.25">
      <c r="A20" s="84">
        <f>Page1!A18</f>
        <v>0</v>
      </c>
      <c r="B20" s="85">
        <f>Page1!B18</f>
        <v>0</v>
      </c>
      <c r="C20" s="125">
        <f>Page1!C18</f>
        <v>0</v>
      </c>
      <c r="D20" s="54"/>
      <c r="E20" s="55"/>
      <c r="F20" s="55"/>
      <c r="G20" s="213"/>
      <c r="H20" s="214"/>
      <c r="I20" s="202"/>
      <c r="J20" s="203"/>
      <c r="K20" s="56"/>
    </row>
    <row r="21" spans="1:11" s="15" customFormat="1" ht="19.5" customHeight="1" x14ac:dyDescent="0.25">
      <c r="A21" s="88">
        <f>Page1!A19</f>
        <v>0</v>
      </c>
      <c r="B21" s="87">
        <f>Page1!B19</f>
        <v>0</v>
      </c>
      <c r="C21" s="126">
        <f>Page1!C19</f>
        <v>0</v>
      </c>
      <c r="D21" s="54"/>
      <c r="E21" s="55"/>
      <c r="F21" s="55"/>
      <c r="G21" s="213"/>
      <c r="H21" s="214"/>
      <c r="I21" s="202"/>
      <c r="J21" s="203"/>
      <c r="K21" s="56"/>
    </row>
    <row r="22" spans="1:11" s="15" customFormat="1" ht="19.5" customHeight="1" x14ac:dyDescent="0.25">
      <c r="A22" s="84">
        <f>Page1!A20</f>
        <v>0</v>
      </c>
      <c r="B22" s="85">
        <f>Page1!B20</f>
        <v>0</v>
      </c>
      <c r="C22" s="125">
        <f>Page1!C20</f>
        <v>0</v>
      </c>
      <c r="D22" s="54"/>
      <c r="E22" s="55"/>
      <c r="F22" s="55"/>
      <c r="G22" s="213"/>
      <c r="H22" s="214"/>
      <c r="I22" s="202"/>
      <c r="J22" s="203"/>
      <c r="K22" s="56"/>
    </row>
    <row r="23" spans="1:11" s="15" customFormat="1" ht="19.5" customHeight="1" x14ac:dyDescent="0.25">
      <c r="A23" s="84">
        <f>Page1!A21</f>
        <v>0</v>
      </c>
      <c r="B23" s="85">
        <f>Page1!B21</f>
        <v>0</v>
      </c>
      <c r="C23" s="126">
        <f>Page1!C21</f>
        <v>0</v>
      </c>
      <c r="D23" s="54"/>
      <c r="E23" s="55"/>
      <c r="F23" s="55"/>
      <c r="G23" s="213"/>
      <c r="H23" s="214"/>
      <c r="I23" s="202"/>
      <c r="J23" s="203"/>
      <c r="K23" s="56"/>
    </row>
    <row r="24" spans="1:11" s="15" customFormat="1" ht="19.5" customHeight="1" x14ac:dyDescent="0.25">
      <c r="A24" s="84">
        <f>Page1!A22</f>
        <v>0</v>
      </c>
      <c r="B24" s="86">
        <f>Page1!B22</f>
        <v>0</v>
      </c>
      <c r="C24" s="126">
        <f>Page1!C22</f>
        <v>0</v>
      </c>
      <c r="D24" s="54"/>
      <c r="E24" s="55"/>
      <c r="F24" s="55"/>
      <c r="G24" s="213"/>
      <c r="H24" s="214"/>
      <c r="I24" s="202"/>
      <c r="J24" s="203"/>
      <c r="K24" s="56"/>
    </row>
    <row r="25" spans="1:11" s="15" customFormat="1" ht="19.5" customHeight="1" x14ac:dyDescent="0.25">
      <c r="A25" s="84">
        <f>Page1!A23</f>
        <v>0</v>
      </c>
      <c r="B25" s="85">
        <f>Page1!B23</f>
        <v>0</v>
      </c>
      <c r="C25" s="125">
        <f>Page1!C23</f>
        <v>0</v>
      </c>
      <c r="D25" s="54"/>
      <c r="E25" s="55"/>
      <c r="F25" s="55"/>
      <c r="G25" s="213"/>
      <c r="H25" s="214"/>
      <c r="I25" s="202"/>
      <c r="J25" s="203"/>
      <c r="K25" s="56"/>
    </row>
    <row r="26" spans="1:11" s="15" customFormat="1" ht="19.5" customHeight="1" x14ac:dyDescent="0.25">
      <c r="A26" s="84">
        <f>Page1!A24</f>
        <v>0</v>
      </c>
      <c r="B26" s="85">
        <f>Page1!B24</f>
        <v>0</v>
      </c>
      <c r="C26" s="125">
        <f>Page1!C24</f>
        <v>0</v>
      </c>
      <c r="D26" s="54"/>
      <c r="E26" s="55"/>
      <c r="F26" s="55"/>
      <c r="G26" s="213"/>
      <c r="H26" s="214"/>
      <c r="I26" s="202"/>
      <c r="J26" s="203"/>
      <c r="K26" s="56"/>
    </row>
    <row r="27" spans="1:11" s="15" customFormat="1" ht="19.5" customHeight="1" x14ac:dyDescent="0.25">
      <c r="A27" s="84">
        <f>Page1!A25</f>
        <v>0</v>
      </c>
      <c r="B27" s="85">
        <f>Page1!B25</f>
        <v>0</v>
      </c>
      <c r="C27" s="125">
        <f>Page1!C25</f>
        <v>0</v>
      </c>
      <c r="D27" s="54"/>
      <c r="E27" s="55"/>
      <c r="F27" s="55"/>
      <c r="G27" s="213"/>
      <c r="H27" s="214"/>
      <c r="I27" s="202"/>
      <c r="J27" s="203"/>
      <c r="K27" s="56"/>
    </row>
    <row r="28" spans="1:11" s="15" customFormat="1" ht="19.5" customHeight="1" x14ac:dyDescent="0.25">
      <c r="A28" s="84">
        <f>Page1!A26</f>
        <v>0</v>
      </c>
      <c r="B28" s="85">
        <f>Page1!B26</f>
        <v>0</v>
      </c>
      <c r="C28" s="125">
        <f>Page1!C26</f>
        <v>0</v>
      </c>
      <c r="D28" s="54"/>
      <c r="E28" s="55"/>
      <c r="F28" s="55"/>
      <c r="G28" s="213"/>
      <c r="H28" s="214"/>
      <c r="I28" s="202"/>
      <c r="J28" s="203"/>
      <c r="K28" s="56"/>
    </row>
    <row r="29" spans="1:11" s="15" customFormat="1" ht="19.5" customHeight="1" x14ac:dyDescent="0.25">
      <c r="A29" s="84">
        <f>Page1!A27</f>
        <v>0</v>
      </c>
      <c r="B29" s="87">
        <f>Page1!B27</f>
        <v>0</v>
      </c>
      <c r="C29" s="125">
        <f>Page1!C27</f>
        <v>0</v>
      </c>
      <c r="D29" s="54"/>
      <c r="E29" s="55"/>
      <c r="F29" s="55"/>
      <c r="G29" s="213"/>
      <c r="H29" s="214"/>
      <c r="I29" s="202"/>
      <c r="J29" s="203"/>
      <c r="K29" s="56"/>
    </row>
    <row r="30" spans="1:11" s="15" customFormat="1" ht="19.5" customHeight="1" x14ac:dyDescent="0.25">
      <c r="A30" s="84">
        <f>Page1!A28</f>
        <v>0</v>
      </c>
      <c r="B30" s="85">
        <f>Page1!B28</f>
        <v>0</v>
      </c>
      <c r="C30" s="125">
        <f>Page1!C28</f>
        <v>0</v>
      </c>
      <c r="D30" s="54"/>
      <c r="E30" s="55"/>
      <c r="F30" s="55"/>
      <c r="G30" s="213"/>
      <c r="H30" s="214"/>
      <c r="I30" s="202"/>
      <c r="J30" s="203"/>
      <c r="K30" s="56"/>
    </row>
    <row r="31" spans="1:11" s="15" customFormat="1" ht="19.5" customHeight="1" x14ac:dyDescent="0.25">
      <c r="A31" s="88">
        <f>Page1!A29</f>
        <v>0</v>
      </c>
      <c r="B31" s="87">
        <f>Page1!B29</f>
        <v>0</v>
      </c>
      <c r="C31" s="126">
        <f>Page1!C29</f>
        <v>0</v>
      </c>
      <c r="D31" s="54"/>
      <c r="E31" s="55"/>
      <c r="F31" s="55"/>
      <c r="G31" s="213"/>
      <c r="H31" s="214"/>
      <c r="I31" s="202"/>
      <c r="J31" s="203"/>
      <c r="K31" s="56"/>
    </row>
    <row r="32" spans="1:11" s="15" customFormat="1" ht="19.5" customHeight="1" x14ac:dyDescent="0.25">
      <c r="A32" s="84">
        <f>Page1!A30</f>
        <v>0</v>
      </c>
      <c r="B32" s="85">
        <f>Page1!B30</f>
        <v>0</v>
      </c>
      <c r="C32" s="125">
        <f>Page1!C30</f>
        <v>0</v>
      </c>
      <c r="D32" s="54"/>
      <c r="E32" s="55"/>
      <c r="F32" s="55"/>
      <c r="G32" s="213"/>
      <c r="H32" s="214"/>
      <c r="I32" s="202"/>
      <c r="J32" s="203"/>
      <c r="K32" s="56"/>
    </row>
    <row r="33" spans="1:11" s="15" customFormat="1" ht="19.5" customHeight="1" x14ac:dyDescent="0.25">
      <c r="A33" s="84">
        <f>Page1!A31</f>
        <v>0</v>
      </c>
      <c r="B33" s="85">
        <f>Page1!B31</f>
        <v>0</v>
      </c>
      <c r="C33" s="126">
        <f>Page1!C31</f>
        <v>0</v>
      </c>
      <c r="D33" s="54"/>
      <c r="E33" s="55"/>
      <c r="F33" s="55"/>
      <c r="G33" s="213"/>
      <c r="H33" s="214"/>
      <c r="I33" s="202"/>
      <c r="J33" s="203"/>
      <c r="K33" s="56"/>
    </row>
    <row r="34" spans="1:11" s="15" customFormat="1" ht="19.5" customHeight="1" x14ac:dyDescent="0.25">
      <c r="A34" s="84">
        <f>Page1!A32</f>
        <v>0</v>
      </c>
      <c r="B34" s="86">
        <f>Page1!B32</f>
        <v>0</v>
      </c>
      <c r="C34" s="126">
        <f>Page1!C32</f>
        <v>0</v>
      </c>
      <c r="D34" s="54"/>
      <c r="E34" s="55"/>
      <c r="F34" s="55"/>
      <c r="G34" s="213"/>
      <c r="H34" s="214"/>
      <c r="I34" s="202"/>
      <c r="J34" s="203"/>
      <c r="K34" s="56"/>
    </row>
    <row r="35" spans="1:11" s="15" customFormat="1" ht="19.5" customHeight="1" x14ac:dyDescent="0.25">
      <c r="A35" s="84">
        <f>Page1!A33</f>
        <v>0</v>
      </c>
      <c r="B35" s="85">
        <f>Page1!B33</f>
        <v>0</v>
      </c>
      <c r="C35" s="125">
        <f>Page1!C33</f>
        <v>0</v>
      </c>
      <c r="D35" s="54"/>
      <c r="E35" s="55"/>
      <c r="F35" s="55"/>
      <c r="G35" s="213"/>
      <c r="H35" s="214"/>
      <c r="I35" s="202"/>
      <c r="J35" s="203"/>
      <c r="K35" s="56"/>
    </row>
    <row r="36" spans="1:11" s="15" customFormat="1" ht="19.5" customHeight="1" x14ac:dyDescent="0.25">
      <c r="A36" s="84">
        <f>Page1!A34</f>
        <v>0</v>
      </c>
      <c r="B36" s="85">
        <f>Page1!B34</f>
        <v>0</v>
      </c>
      <c r="C36" s="125">
        <f>Page1!C34</f>
        <v>0</v>
      </c>
      <c r="D36" s="54"/>
      <c r="E36" s="55"/>
      <c r="F36" s="55"/>
      <c r="G36" s="213"/>
      <c r="H36" s="214"/>
      <c r="I36" s="202"/>
      <c r="J36" s="203"/>
      <c r="K36" s="56"/>
    </row>
    <row r="37" spans="1:11" s="15" customFormat="1" ht="19.5" customHeight="1" x14ac:dyDescent="0.25">
      <c r="A37" s="84">
        <f>Page1!A35</f>
        <v>0</v>
      </c>
      <c r="B37" s="85">
        <f>Page1!B35</f>
        <v>0</v>
      </c>
      <c r="C37" s="125">
        <f>Page1!C35</f>
        <v>0</v>
      </c>
      <c r="D37" s="54"/>
      <c r="E37" s="55"/>
      <c r="F37" s="55"/>
      <c r="G37" s="213"/>
      <c r="H37" s="214"/>
      <c r="I37" s="202"/>
      <c r="J37" s="203"/>
      <c r="K37" s="56"/>
    </row>
    <row r="38" spans="1:11" s="15" customFormat="1" ht="19.5" customHeight="1" x14ac:dyDescent="0.25">
      <c r="A38" s="84">
        <f>Page1!A36</f>
        <v>0</v>
      </c>
      <c r="B38" s="85">
        <f>Page1!B36</f>
        <v>0</v>
      </c>
      <c r="C38" s="125">
        <f>Page1!C36</f>
        <v>0</v>
      </c>
      <c r="D38" s="54"/>
      <c r="E38" s="55"/>
      <c r="F38" s="55"/>
      <c r="G38" s="213"/>
      <c r="H38" s="214"/>
      <c r="I38" s="202"/>
      <c r="J38" s="203"/>
      <c r="K38" s="56"/>
    </row>
    <row r="39" spans="1:11" s="15" customFormat="1" ht="19.5" customHeight="1" x14ac:dyDescent="0.25">
      <c r="A39" s="84">
        <f>Page1!A37</f>
        <v>0</v>
      </c>
      <c r="B39" s="85">
        <f>Page1!B37</f>
        <v>0</v>
      </c>
      <c r="C39" s="125">
        <f>Page1!C37</f>
        <v>0</v>
      </c>
      <c r="D39" s="54"/>
      <c r="E39" s="55"/>
      <c r="F39" s="55"/>
      <c r="G39" s="213"/>
      <c r="H39" s="214"/>
      <c r="I39" s="202"/>
      <c r="J39" s="203"/>
      <c r="K39" s="56"/>
    </row>
    <row r="40" spans="1:11" s="15" customFormat="1" ht="19.5" customHeight="1" thickBot="1" x14ac:dyDescent="0.3">
      <c r="A40" s="89">
        <f>Page1!A38</f>
        <v>0</v>
      </c>
      <c r="B40" s="90">
        <f>Page1!B38</f>
        <v>0</v>
      </c>
      <c r="C40" s="127">
        <f>Page1!C38</f>
        <v>0</v>
      </c>
      <c r="D40" s="54"/>
      <c r="E40" s="55"/>
      <c r="F40" s="55"/>
      <c r="G40" s="208"/>
      <c r="H40" s="208"/>
      <c r="I40" s="202"/>
      <c r="J40" s="203"/>
      <c r="K40" s="56"/>
    </row>
    <row r="41" spans="1:11" s="15" customFormat="1" ht="19.5" customHeight="1" x14ac:dyDescent="0.25">
      <c r="A41" s="175" t="s">
        <v>26</v>
      </c>
      <c r="B41" s="176"/>
      <c r="C41" s="176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218" t="e">
        <f>AVERAGE(G11:H40)</f>
        <v>#DIV/0!</v>
      </c>
      <c r="H41" s="219"/>
      <c r="I41" s="216" t="e">
        <f>AVERAGE(I11:J40)</f>
        <v>#DIV/0!</v>
      </c>
      <c r="J41" s="217"/>
      <c r="K41" s="59" t="e">
        <f>AVERAGE(K11:K40)</f>
        <v>#DIV/0!</v>
      </c>
    </row>
    <row r="42" spans="1:11" s="15" customFormat="1" ht="19.5" customHeight="1" x14ac:dyDescent="0.25">
      <c r="A42" s="177" t="s">
        <v>31</v>
      </c>
      <c r="B42" s="178"/>
      <c r="C42" s="178"/>
      <c r="D42" s="60">
        <f>MIN(D11:D40)</f>
        <v>0</v>
      </c>
      <c r="E42" s="61">
        <f>MIN(E11:E40)</f>
        <v>0</v>
      </c>
      <c r="F42" s="61">
        <f>MIN(F11:F40)</f>
        <v>0</v>
      </c>
      <c r="G42" s="211">
        <f>MIN(G11:H40)</f>
        <v>0</v>
      </c>
      <c r="H42" s="212"/>
      <c r="I42" s="204">
        <f>MIN(I11:J40)</f>
        <v>0</v>
      </c>
      <c r="J42" s="205"/>
      <c r="K42" s="62">
        <f>MIN(K11:K40)</f>
        <v>0</v>
      </c>
    </row>
    <row r="43" spans="1:11" ht="19.5" customHeight="1" thickBot="1" x14ac:dyDescent="0.3">
      <c r="A43" s="171" t="s">
        <v>32</v>
      </c>
      <c r="B43" s="172"/>
      <c r="C43" s="172"/>
      <c r="D43" s="63">
        <f>MAX(D11:D40)</f>
        <v>0</v>
      </c>
      <c r="E43" s="64">
        <f>MAX(E11:E40)</f>
        <v>0</v>
      </c>
      <c r="F43" s="64">
        <f>MAX(F11:F40)</f>
        <v>0</v>
      </c>
      <c r="G43" s="209">
        <f>MAX(G11:H40)</f>
        <v>0</v>
      </c>
      <c r="H43" s="210"/>
      <c r="I43" s="206">
        <f>MAX(I11:J40)</f>
        <v>0</v>
      </c>
      <c r="J43" s="207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66"/>
      <c r="C44" s="166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65"/>
      <c r="C45" s="165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50" t="s">
        <v>21</v>
      </c>
      <c r="B46" s="150"/>
      <c r="C46" s="150"/>
      <c r="D46" s="38"/>
      <c r="E46" s="38"/>
      <c r="F46" s="40" t="s">
        <v>134</v>
      </c>
      <c r="G46" s="39">
        <f>Page1!G44</f>
        <v>461303700</v>
      </c>
      <c r="H46" s="38"/>
    </row>
    <row r="47" spans="1:11" s="15" customFormat="1" ht="16.5" customHeight="1" x14ac:dyDescent="0.25">
      <c r="A47" s="150" t="s">
        <v>130</v>
      </c>
      <c r="B47" s="150"/>
      <c r="C47" s="150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G11:H11"/>
    <mergeCell ref="G12:H12"/>
    <mergeCell ref="G13:H13"/>
    <mergeCell ref="G14:H14"/>
    <mergeCell ref="G15:H15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290</formula>
      <formula>293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A10" sqref="A10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28" t="s">
        <v>16</v>
      </c>
      <c r="B1" s="128"/>
      <c r="C1" s="128"/>
      <c r="D1" s="128"/>
      <c r="E1" s="128"/>
      <c r="F1" s="128"/>
      <c r="G1" s="128"/>
      <c r="H1" s="128"/>
      <c r="I1" s="128"/>
      <c r="J1" s="128"/>
      <c r="K1" s="14" t="s">
        <v>27</v>
      </c>
    </row>
    <row r="2" spans="1:11" s="15" customFormat="1" ht="15.75" customHeight="1" x14ac:dyDescent="0.25">
      <c r="A2" s="128" t="s">
        <v>19</v>
      </c>
      <c r="B2" s="128"/>
      <c r="C2" s="128"/>
      <c r="D2" s="128"/>
      <c r="E2" s="128"/>
      <c r="F2" s="128"/>
      <c r="G2" s="128"/>
      <c r="H2" s="128"/>
      <c r="I2" s="128"/>
      <c r="J2" s="128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29" t="s">
        <v>17</v>
      </c>
      <c r="B4" s="130"/>
      <c r="C4" s="197">
        <f>Page1!C4</f>
        <v>0</v>
      </c>
      <c r="D4" s="174"/>
      <c r="E4" s="3" t="s">
        <v>4</v>
      </c>
      <c r="F4" s="122">
        <f>Page1!F4</f>
        <v>0</v>
      </c>
      <c r="G4" s="3" t="s">
        <v>5</v>
      </c>
      <c r="H4" s="10">
        <f>Page1!H4</f>
        <v>0</v>
      </c>
      <c r="I4" s="4" t="s">
        <v>6</v>
      </c>
      <c r="J4" s="190">
        <f>Page1!J4</f>
        <v>0</v>
      </c>
      <c r="K4" s="191"/>
    </row>
    <row r="5" spans="1:11" s="15" customFormat="1" ht="23.25" customHeight="1" thickBot="1" x14ac:dyDescent="0.3">
      <c r="A5" s="137" t="s">
        <v>18</v>
      </c>
      <c r="B5" s="138"/>
      <c r="C5" s="141">
        <f>Page1!C5</f>
        <v>0</v>
      </c>
      <c r="D5" s="142"/>
      <c r="E5" s="5" t="s">
        <v>7</v>
      </c>
      <c r="F5" s="93">
        <f>Page1!F5</f>
        <v>0</v>
      </c>
      <c r="G5" s="5" t="s">
        <v>8</v>
      </c>
      <c r="H5" s="1">
        <f>Page1!H5</f>
        <v>0</v>
      </c>
      <c r="I5" s="6" t="s">
        <v>9</v>
      </c>
      <c r="J5" s="192">
        <f>Page1!J5</f>
        <v>0</v>
      </c>
      <c r="K5" s="193"/>
    </row>
    <row r="6" spans="1:11" s="15" customFormat="1" ht="15.75" customHeight="1" thickBot="1" x14ac:dyDescent="0.3">
      <c r="A6" s="151" t="s">
        <v>133</v>
      </c>
      <c r="B6" s="152"/>
      <c r="C6" s="153"/>
      <c r="D6" s="143"/>
      <c r="E6" s="143"/>
      <c r="F6" s="143"/>
      <c r="G6" s="136"/>
      <c r="H6" s="19"/>
      <c r="I6" s="198"/>
      <c r="J6" s="169"/>
      <c r="K6" s="194"/>
    </row>
    <row r="7" spans="1:11" ht="15" customHeight="1" x14ac:dyDescent="0.25">
      <c r="A7" s="198" t="s">
        <v>0</v>
      </c>
      <c r="B7" s="169"/>
      <c r="C7" s="170"/>
      <c r="D7" s="173" t="s">
        <v>34</v>
      </c>
      <c r="E7" s="173"/>
      <c r="F7" s="173"/>
      <c r="G7" s="174"/>
      <c r="H7" s="227" t="s">
        <v>122</v>
      </c>
      <c r="I7" s="199"/>
      <c r="J7" s="188"/>
      <c r="K7" s="195"/>
    </row>
    <row r="8" spans="1:11" ht="26.25" customHeight="1" x14ac:dyDescent="0.25">
      <c r="A8" s="199"/>
      <c r="B8" s="179"/>
      <c r="C8" s="182"/>
      <c r="D8" s="230" t="s">
        <v>140</v>
      </c>
      <c r="E8" s="181" t="s">
        <v>129</v>
      </c>
      <c r="F8" s="181" t="s">
        <v>141</v>
      </c>
      <c r="G8" s="181" t="s">
        <v>38</v>
      </c>
      <c r="H8" s="228"/>
      <c r="I8" s="199"/>
      <c r="J8" s="188"/>
      <c r="K8" s="195"/>
    </row>
    <row r="9" spans="1:11" ht="26.25" customHeight="1" thickBot="1" x14ac:dyDescent="0.3">
      <c r="A9" s="226"/>
      <c r="B9" s="180"/>
      <c r="C9" s="183"/>
      <c r="D9" s="183"/>
      <c r="E9" s="132"/>
      <c r="F9" s="132"/>
      <c r="G9" s="132"/>
      <c r="H9" s="229"/>
      <c r="I9" s="199"/>
      <c r="J9" s="188"/>
      <c r="K9" s="195"/>
    </row>
    <row r="10" spans="1:11" s="15" customFormat="1" ht="19.5" customHeight="1" x14ac:dyDescent="0.25">
      <c r="A10" s="82">
        <f>Page1!A9</f>
        <v>0</v>
      </c>
      <c r="B10" s="83">
        <f>Page1!B9</f>
        <v>0</v>
      </c>
      <c r="C10" s="124">
        <f>Page1!C9</f>
        <v>0</v>
      </c>
      <c r="D10" s="21"/>
      <c r="E10" s="22"/>
      <c r="F10" s="22"/>
      <c r="G10" s="23"/>
      <c r="H10" s="24"/>
      <c r="I10" s="199"/>
      <c r="J10" s="188"/>
      <c r="K10" s="195"/>
    </row>
    <row r="11" spans="1:11" s="15" customFormat="1" ht="19.5" customHeight="1" x14ac:dyDescent="0.25">
      <c r="A11" s="84">
        <f>Page1!A10</f>
        <v>0</v>
      </c>
      <c r="B11" s="85">
        <f>Page1!B10</f>
        <v>0</v>
      </c>
      <c r="C11" s="125">
        <f>Page1!C10</f>
        <v>0</v>
      </c>
      <c r="D11" s="25"/>
      <c r="E11" s="26"/>
      <c r="F11" s="26"/>
      <c r="G11" s="27"/>
      <c r="H11" s="28"/>
      <c r="I11" s="199"/>
      <c r="J11" s="188"/>
      <c r="K11" s="195"/>
    </row>
    <row r="12" spans="1:11" s="15" customFormat="1" ht="19.5" customHeight="1" x14ac:dyDescent="0.25">
      <c r="A12" s="84">
        <f>Page1!A11</f>
        <v>0</v>
      </c>
      <c r="B12" s="85">
        <f>Page1!B11</f>
        <v>0</v>
      </c>
      <c r="C12" s="126">
        <f>Page1!C11</f>
        <v>0</v>
      </c>
      <c r="D12" s="25"/>
      <c r="E12" s="26"/>
      <c r="F12" s="26"/>
      <c r="G12" s="27"/>
      <c r="H12" s="28"/>
      <c r="I12" s="199"/>
      <c r="J12" s="188"/>
      <c r="K12" s="195"/>
    </row>
    <row r="13" spans="1:11" s="15" customFormat="1" ht="19.5" customHeight="1" x14ac:dyDescent="0.25">
      <c r="A13" s="84">
        <f>Page1!A12</f>
        <v>0</v>
      </c>
      <c r="B13" s="86">
        <f>Page1!B12</f>
        <v>0</v>
      </c>
      <c r="C13" s="126">
        <f>Page1!C12</f>
        <v>0</v>
      </c>
      <c r="D13" s="21"/>
      <c r="E13" s="22"/>
      <c r="F13" s="22"/>
      <c r="G13" s="23"/>
      <c r="H13" s="28"/>
      <c r="I13" s="199"/>
      <c r="J13" s="188"/>
      <c r="K13" s="195"/>
    </row>
    <row r="14" spans="1:11" s="15" customFormat="1" ht="19.5" customHeight="1" x14ac:dyDescent="0.25">
      <c r="A14" s="84">
        <f>Page1!A13</f>
        <v>0</v>
      </c>
      <c r="B14" s="85">
        <f>Page1!B13</f>
        <v>0</v>
      </c>
      <c r="C14" s="125">
        <f>Page1!C13</f>
        <v>0</v>
      </c>
      <c r="D14" s="25"/>
      <c r="E14" s="26"/>
      <c r="F14" s="26"/>
      <c r="G14" s="27"/>
      <c r="H14" s="28"/>
      <c r="I14" s="199"/>
      <c r="J14" s="188"/>
      <c r="K14" s="195"/>
    </row>
    <row r="15" spans="1:11" s="15" customFormat="1" ht="19.5" customHeight="1" x14ac:dyDescent="0.25">
      <c r="A15" s="84">
        <f>Page1!A14</f>
        <v>0</v>
      </c>
      <c r="B15" s="85">
        <f>Page1!B14</f>
        <v>0</v>
      </c>
      <c r="C15" s="125">
        <f>Page1!C14</f>
        <v>0</v>
      </c>
      <c r="D15" s="25"/>
      <c r="E15" s="26"/>
      <c r="F15" s="26"/>
      <c r="G15" s="27"/>
      <c r="H15" s="28"/>
      <c r="I15" s="199"/>
      <c r="J15" s="188"/>
      <c r="K15" s="195"/>
    </row>
    <row r="16" spans="1:11" s="15" customFormat="1" ht="19.5" customHeight="1" x14ac:dyDescent="0.25">
      <c r="A16" s="84">
        <f>Page1!A15</f>
        <v>0</v>
      </c>
      <c r="B16" s="85">
        <f>Page1!B15</f>
        <v>0</v>
      </c>
      <c r="C16" s="125">
        <f>Page1!C15</f>
        <v>0</v>
      </c>
      <c r="D16" s="25"/>
      <c r="E16" s="26"/>
      <c r="F16" s="26"/>
      <c r="G16" s="27"/>
      <c r="H16" s="28"/>
      <c r="I16" s="199"/>
      <c r="J16" s="188"/>
      <c r="K16" s="195"/>
    </row>
    <row r="17" spans="1:11" s="15" customFormat="1" ht="19.5" customHeight="1" x14ac:dyDescent="0.25">
      <c r="A17" s="84">
        <f>Page1!A16</f>
        <v>0</v>
      </c>
      <c r="B17" s="85">
        <f>Page1!B16</f>
        <v>0</v>
      </c>
      <c r="C17" s="125">
        <f>Page1!C16</f>
        <v>0</v>
      </c>
      <c r="D17" s="25"/>
      <c r="E17" s="26"/>
      <c r="F17" s="26"/>
      <c r="G17" s="27"/>
      <c r="H17" s="28"/>
      <c r="I17" s="199"/>
      <c r="J17" s="188"/>
      <c r="K17" s="195"/>
    </row>
    <row r="18" spans="1:11" s="15" customFormat="1" ht="19.5" customHeight="1" x14ac:dyDescent="0.25">
      <c r="A18" s="84">
        <f>Page1!A17</f>
        <v>0</v>
      </c>
      <c r="B18" s="87">
        <f>Page1!B17</f>
        <v>0</v>
      </c>
      <c r="C18" s="125">
        <f>Page1!C17</f>
        <v>0</v>
      </c>
      <c r="D18" s="25"/>
      <c r="E18" s="26"/>
      <c r="F18" s="26"/>
      <c r="G18" s="27"/>
      <c r="H18" s="28"/>
      <c r="I18" s="199"/>
      <c r="J18" s="188"/>
      <c r="K18" s="195"/>
    </row>
    <row r="19" spans="1:11" s="15" customFormat="1" ht="19.5" customHeight="1" x14ac:dyDescent="0.25">
      <c r="A19" s="84">
        <f>Page1!A18</f>
        <v>0</v>
      </c>
      <c r="B19" s="85">
        <f>Page1!B18</f>
        <v>0</v>
      </c>
      <c r="C19" s="125">
        <f>Page1!C18</f>
        <v>0</v>
      </c>
      <c r="D19" s="25"/>
      <c r="E19" s="26"/>
      <c r="F19" s="26"/>
      <c r="G19" s="27"/>
      <c r="H19" s="28"/>
      <c r="I19" s="199"/>
      <c r="J19" s="188"/>
      <c r="K19" s="195"/>
    </row>
    <row r="20" spans="1:11" s="15" customFormat="1" ht="19.5" customHeight="1" x14ac:dyDescent="0.25">
      <c r="A20" s="88">
        <f>Page1!A19</f>
        <v>0</v>
      </c>
      <c r="B20" s="87">
        <f>Page1!B19</f>
        <v>0</v>
      </c>
      <c r="C20" s="126">
        <f>Page1!C19</f>
        <v>0</v>
      </c>
      <c r="D20" s="25"/>
      <c r="E20" s="26"/>
      <c r="F20" s="26"/>
      <c r="G20" s="27"/>
      <c r="H20" s="28"/>
      <c r="I20" s="199"/>
      <c r="J20" s="188"/>
      <c r="K20" s="195"/>
    </row>
    <row r="21" spans="1:11" s="15" customFormat="1" ht="19.5" customHeight="1" x14ac:dyDescent="0.25">
      <c r="A21" s="84">
        <f>Page1!A20</f>
        <v>0</v>
      </c>
      <c r="B21" s="85">
        <f>Page1!B20</f>
        <v>0</v>
      </c>
      <c r="C21" s="125">
        <f>Page1!C20</f>
        <v>0</v>
      </c>
      <c r="D21" s="25"/>
      <c r="E21" s="26"/>
      <c r="F21" s="26"/>
      <c r="G21" s="27"/>
      <c r="H21" s="28"/>
      <c r="I21" s="199"/>
      <c r="J21" s="188"/>
      <c r="K21" s="195"/>
    </row>
    <row r="22" spans="1:11" s="15" customFormat="1" ht="19.5" customHeight="1" x14ac:dyDescent="0.25">
      <c r="A22" s="84">
        <f>Page1!A21</f>
        <v>0</v>
      </c>
      <c r="B22" s="85">
        <f>Page1!B21</f>
        <v>0</v>
      </c>
      <c r="C22" s="126">
        <f>Page1!C21</f>
        <v>0</v>
      </c>
      <c r="D22" s="25"/>
      <c r="E22" s="26"/>
      <c r="F22" s="26"/>
      <c r="G22" s="27"/>
      <c r="H22" s="28"/>
      <c r="I22" s="199"/>
      <c r="J22" s="188"/>
      <c r="K22" s="195"/>
    </row>
    <row r="23" spans="1:11" s="15" customFormat="1" ht="19.5" customHeight="1" x14ac:dyDescent="0.25">
      <c r="A23" s="84">
        <f>Page1!A22</f>
        <v>0</v>
      </c>
      <c r="B23" s="86">
        <f>Page1!B22</f>
        <v>0</v>
      </c>
      <c r="C23" s="126">
        <f>Page1!C22</f>
        <v>0</v>
      </c>
      <c r="D23" s="25"/>
      <c r="E23" s="26"/>
      <c r="F23" s="26"/>
      <c r="G23" s="27"/>
      <c r="H23" s="28"/>
      <c r="I23" s="199"/>
      <c r="J23" s="188"/>
      <c r="K23" s="195"/>
    </row>
    <row r="24" spans="1:11" s="15" customFormat="1" ht="19.5" customHeight="1" x14ac:dyDescent="0.25">
      <c r="A24" s="84">
        <f>Page1!A23</f>
        <v>0</v>
      </c>
      <c r="B24" s="85">
        <f>Page1!B23</f>
        <v>0</v>
      </c>
      <c r="C24" s="125">
        <f>Page1!C23</f>
        <v>0</v>
      </c>
      <c r="D24" s="25"/>
      <c r="E24" s="26"/>
      <c r="F24" s="26"/>
      <c r="G24" s="27"/>
      <c r="H24" s="28"/>
      <c r="I24" s="199"/>
      <c r="J24" s="188"/>
      <c r="K24" s="195"/>
    </row>
    <row r="25" spans="1:11" s="15" customFormat="1" ht="19.5" customHeight="1" x14ac:dyDescent="0.25">
      <c r="A25" s="84">
        <f>Page1!A24</f>
        <v>0</v>
      </c>
      <c r="B25" s="85">
        <f>Page1!B24</f>
        <v>0</v>
      </c>
      <c r="C25" s="125">
        <f>Page1!C24</f>
        <v>0</v>
      </c>
      <c r="D25" s="25"/>
      <c r="E25" s="26"/>
      <c r="F25" s="26"/>
      <c r="G25" s="27"/>
      <c r="H25" s="28"/>
      <c r="I25" s="199"/>
      <c r="J25" s="188"/>
      <c r="K25" s="195"/>
    </row>
    <row r="26" spans="1:11" s="15" customFormat="1" ht="19.5" customHeight="1" x14ac:dyDescent="0.25">
      <c r="A26" s="84">
        <f>Page1!A25</f>
        <v>0</v>
      </c>
      <c r="B26" s="85">
        <f>Page1!B25</f>
        <v>0</v>
      </c>
      <c r="C26" s="125">
        <f>Page1!C25</f>
        <v>0</v>
      </c>
      <c r="D26" s="25"/>
      <c r="E26" s="26"/>
      <c r="F26" s="26"/>
      <c r="G26" s="27"/>
      <c r="H26" s="28"/>
      <c r="I26" s="199"/>
      <c r="J26" s="188"/>
      <c r="K26" s="195"/>
    </row>
    <row r="27" spans="1:11" s="15" customFormat="1" ht="19.5" customHeight="1" x14ac:dyDescent="0.25">
      <c r="A27" s="84">
        <f>Page1!A26</f>
        <v>0</v>
      </c>
      <c r="B27" s="85">
        <f>Page1!B26</f>
        <v>0</v>
      </c>
      <c r="C27" s="125">
        <f>Page1!C26</f>
        <v>0</v>
      </c>
      <c r="D27" s="25"/>
      <c r="E27" s="26"/>
      <c r="F27" s="26"/>
      <c r="G27" s="27"/>
      <c r="H27" s="28"/>
      <c r="I27" s="199"/>
      <c r="J27" s="188"/>
      <c r="K27" s="195"/>
    </row>
    <row r="28" spans="1:11" s="15" customFormat="1" ht="19.5" customHeight="1" x14ac:dyDescent="0.25">
      <c r="A28" s="84">
        <f>Page1!A27</f>
        <v>0</v>
      </c>
      <c r="B28" s="87">
        <f>Page1!B27</f>
        <v>0</v>
      </c>
      <c r="C28" s="125">
        <f>Page1!C27</f>
        <v>0</v>
      </c>
      <c r="D28" s="25"/>
      <c r="E28" s="26"/>
      <c r="F28" s="26"/>
      <c r="G28" s="27"/>
      <c r="H28" s="28"/>
      <c r="I28" s="199"/>
      <c r="J28" s="188"/>
      <c r="K28" s="195"/>
    </row>
    <row r="29" spans="1:11" s="15" customFormat="1" ht="19.5" customHeight="1" x14ac:dyDescent="0.25">
      <c r="A29" s="84">
        <f>Page1!A28</f>
        <v>0</v>
      </c>
      <c r="B29" s="85">
        <f>Page1!B28</f>
        <v>0</v>
      </c>
      <c r="C29" s="125">
        <f>Page1!C28</f>
        <v>0</v>
      </c>
      <c r="D29" s="25"/>
      <c r="E29" s="26"/>
      <c r="F29" s="26"/>
      <c r="G29" s="27"/>
      <c r="H29" s="28"/>
      <c r="I29" s="199"/>
      <c r="J29" s="188"/>
      <c r="K29" s="195"/>
    </row>
    <row r="30" spans="1:11" s="15" customFormat="1" ht="19.5" customHeight="1" x14ac:dyDescent="0.25">
      <c r="A30" s="88">
        <f>Page1!A29</f>
        <v>0</v>
      </c>
      <c r="B30" s="87">
        <f>Page1!B29</f>
        <v>0</v>
      </c>
      <c r="C30" s="126">
        <f>Page1!C29</f>
        <v>0</v>
      </c>
      <c r="D30" s="25"/>
      <c r="E30" s="26"/>
      <c r="F30" s="26"/>
      <c r="G30" s="27"/>
      <c r="H30" s="28"/>
      <c r="I30" s="199"/>
      <c r="J30" s="188"/>
      <c r="K30" s="195"/>
    </row>
    <row r="31" spans="1:11" s="15" customFormat="1" ht="19.5" customHeight="1" x14ac:dyDescent="0.25">
      <c r="A31" s="84">
        <f>Page1!A30</f>
        <v>0</v>
      </c>
      <c r="B31" s="85">
        <f>Page1!B30</f>
        <v>0</v>
      </c>
      <c r="C31" s="125">
        <f>Page1!C30</f>
        <v>0</v>
      </c>
      <c r="D31" s="25"/>
      <c r="E31" s="26"/>
      <c r="F31" s="26"/>
      <c r="G31" s="27"/>
      <c r="H31" s="28"/>
      <c r="I31" s="199"/>
      <c r="J31" s="188"/>
      <c r="K31" s="195"/>
    </row>
    <row r="32" spans="1:11" s="15" customFormat="1" ht="19.5" customHeight="1" x14ac:dyDescent="0.25">
      <c r="A32" s="84">
        <f>Page1!A31</f>
        <v>0</v>
      </c>
      <c r="B32" s="85">
        <f>Page1!B31</f>
        <v>0</v>
      </c>
      <c r="C32" s="126">
        <f>Page1!C31</f>
        <v>0</v>
      </c>
      <c r="D32" s="25"/>
      <c r="E32" s="26"/>
      <c r="F32" s="26"/>
      <c r="G32" s="27"/>
      <c r="H32" s="28"/>
      <c r="I32" s="199"/>
      <c r="J32" s="188"/>
      <c r="K32" s="195"/>
    </row>
    <row r="33" spans="1:11" s="15" customFormat="1" ht="19.5" customHeight="1" x14ac:dyDescent="0.25">
      <c r="A33" s="84">
        <f>Page1!A32</f>
        <v>0</v>
      </c>
      <c r="B33" s="86">
        <f>Page1!B32</f>
        <v>0</v>
      </c>
      <c r="C33" s="126">
        <f>Page1!C32</f>
        <v>0</v>
      </c>
      <c r="D33" s="25"/>
      <c r="E33" s="26"/>
      <c r="F33" s="26"/>
      <c r="G33" s="27"/>
      <c r="H33" s="28"/>
      <c r="I33" s="199"/>
      <c r="J33" s="188"/>
      <c r="K33" s="195"/>
    </row>
    <row r="34" spans="1:11" s="15" customFormat="1" ht="19.5" customHeight="1" x14ac:dyDescent="0.25">
      <c r="A34" s="84">
        <f>Page1!A33</f>
        <v>0</v>
      </c>
      <c r="B34" s="85">
        <f>Page1!B33</f>
        <v>0</v>
      </c>
      <c r="C34" s="125">
        <f>Page1!C33</f>
        <v>0</v>
      </c>
      <c r="D34" s="25"/>
      <c r="E34" s="26"/>
      <c r="F34" s="26"/>
      <c r="G34" s="27"/>
      <c r="H34" s="28"/>
      <c r="I34" s="199"/>
      <c r="J34" s="188"/>
      <c r="K34" s="195"/>
    </row>
    <row r="35" spans="1:11" s="15" customFormat="1" ht="19.5" customHeight="1" x14ac:dyDescent="0.25">
      <c r="A35" s="84">
        <f>Page1!A34</f>
        <v>0</v>
      </c>
      <c r="B35" s="85">
        <f>Page1!B34</f>
        <v>0</v>
      </c>
      <c r="C35" s="125">
        <f>Page1!C34</f>
        <v>0</v>
      </c>
      <c r="D35" s="25"/>
      <c r="E35" s="26"/>
      <c r="F35" s="26"/>
      <c r="G35" s="27"/>
      <c r="H35" s="28"/>
      <c r="I35" s="199"/>
      <c r="J35" s="188"/>
      <c r="K35" s="195"/>
    </row>
    <row r="36" spans="1:11" s="15" customFormat="1" ht="19.5" customHeight="1" x14ac:dyDescent="0.25">
      <c r="A36" s="84">
        <f>Page1!A35</f>
        <v>0</v>
      </c>
      <c r="B36" s="85">
        <f>Page1!B35</f>
        <v>0</v>
      </c>
      <c r="C36" s="125">
        <f>Page1!C35</f>
        <v>0</v>
      </c>
      <c r="D36" s="25"/>
      <c r="E36" s="26"/>
      <c r="F36" s="26"/>
      <c r="G36" s="27"/>
      <c r="H36" s="28"/>
      <c r="I36" s="199"/>
      <c r="J36" s="188"/>
      <c r="K36" s="195"/>
    </row>
    <row r="37" spans="1:11" s="15" customFormat="1" ht="19.5" customHeight="1" x14ac:dyDescent="0.25">
      <c r="A37" s="84">
        <f>Page1!A36</f>
        <v>0</v>
      </c>
      <c r="B37" s="85">
        <f>Page1!B36</f>
        <v>0</v>
      </c>
      <c r="C37" s="125">
        <f>Page1!C36</f>
        <v>0</v>
      </c>
      <c r="D37" s="25"/>
      <c r="E37" s="26"/>
      <c r="F37" s="26"/>
      <c r="G37" s="27"/>
      <c r="H37" s="28"/>
      <c r="I37" s="199"/>
      <c r="J37" s="188"/>
      <c r="K37" s="195"/>
    </row>
    <row r="38" spans="1:11" s="15" customFormat="1" ht="19.5" customHeight="1" x14ac:dyDescent="0.25">
      <c r="A38" s="84">
        <f>Page1!A37</f>
        <v>0</v>
      </c>
      <c r="B38" s="85">
        <f>Page1!B37</f>
        <v>0</v>
      </c>
      <c r="C38" s="125">
        <f>Page1!C37</f>
        <v>0</v>
      </c>
      <c r="D38" s="25"/>
      <c r="E38" s="26"/>
      <c r="F38" s="26"/>
      <c r="G38" s="27"/>
      <c r="H38" s="28"/>
      <c r="I38" s="199"/>
      <c r="J38" s="188"/>
      <c r="K38" s="195"/>
    </row>
    <row r="39" spans="1:11" s="15" customFormat="1" ht="19.5" customHeight="1" thickBot="1" x14ac:dyDescent="0.3">
      <c r="A39" s="89">
        <f>Page1!A38</f>
        <v>0</v>
      </c>
      <c r="B39" s="90">
        <f>Page1!B38</f>
        <v>0</v>
      </c>
      <c r="C39" s="127">
        <f>Page1!C38</f>
        <v>0</v>
      </c>
      <c r="D39" s="25"/>
      <c r="E39" s="26"/>
      <c r="F39" s="26"/>
      <c r="G39" s="27"/>
      <c r="H39" s="28"/>
      <c r="I39" s="199"/>
      <c r="J39" s="188"/>
      <c r="K39" s="195"/>
    </row>
    <row r="40" spans="1:11" s="15" customFormat="1" ht="19.5" customHeight="1" x14ac:dyDescent="0.25">
      <c r="A40" s="220" t="s">
        <v>26</v>
      </c>
      <c r="B40" s="221"/>
      <c r="C40" s="222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199"/>
      <c r="J40" s="188"/>
      <c r="K40" s="195"/>
    </row>
    <row r="41" spans="1:11" s="15" customFormat="1" ht="19.5" customHeight="1" x14ac:dyDescent="0.25">
      <c r="A41" s="159" t="s">
        <v>31</v>
      </c>
      <c r="B41" s="160"/>
      <c r="C41" s="161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199"/>
      <c r="J41" s="188"/>
      <c r="K41" s="195"/>
    </row>
    <row r="42" spans="1:11" ht="19.5" customHeight="1" thickBot="1" x14ac:dyDescent="0.3">
      <c r="A42" s="223" t="s">
        <v>32</v>
      </c>
      <c r="B42" s="224"/>
      <c r="C42" s="225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226"/>
      <c r="J42" s="180"/>
      <c r="K42" s="196"/>
    </row>
    <row r="43" spans="1:11" s="15" customFormat="1" ht="16.5" customHeight="1" x14ac:dyDescent="0.25">
      <c r="A43" s="38" t="s">
        <v>20</v>
      </c>
      <c r="B43" s="166"/>
      <c r="C43" s="166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65"/>
      <c r="C44" s="165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50" t="s">
        <v>21</v>
      </c>
      <c r="B45" s="150"/>
      <c r="C45" s="150"/>
      <c r="D45" s="38"/>
      <c r="E45" s="38"/>
      <c r="F45" s="40" t="s">
        <v>134</v>
      </c>
      <c r="G45" s="39">
        <f>Page1!G44</f>
        <v>461303700</v>
      </c>
      <c r="H45" s="38"/>
    </row>
    <row r="46" spans="1:11" s="15" customFormat="1" ht="16.5" customHeight="1" x14ac:dyDescent="0.25">
      <c r="A46" s="150" t="s">
        <v>130</v>
      </c>
      <c r="B46" s="150"/>
      <c r="C46" s="150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  <mergeCell ref="A45:C45"/>
    <mergeCell ref="A46:C46"/>
    <mergeCell ref="D7:G7"/>
    <mergeCell ref="A40:C40"/>
    <mergeCell ref="A41:C41"/>
    <mergeCell ref="A42:C42"/>
    <mergeCell ref="A7:C9"/>
    <mergeCell ref="B43:C43"/>
    <mergeCell ref="B44:C44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C1287-1F82-4CFE-BAF3-D19A53BB72A3}">
  <sheetPr>
    <pageSetUpPr fitToPage="1"/>
  </sheetPr>
  <dimension ref="A1:H48"/>
  <sheetViews>
    <sheetView view="pageBreakPreview" zoomScaleNormal="100" zoomScaleSheetLayoutView="100" workbookViewId="0">
      <selection activeCell="B7" sqref="B7"/>
    </sheetView>
  </sheetViews>
  <sheetFormatPr defaultRowHeight="15" x14ac:dyDescent="0.25"/>
  <cols>
    <col min="1" max="2" width="21.42578125" style="94" customWidth="1"/>
    <col min="3" max="5" width="12.85546875" style="94" customWidth="1"/>
    <col min="6" max="6" width="12.140625" style="94" customWidth="1"/>
    <col min="7" max="7" width="5" style="94" customWidth="1"/>
    <col min="8" max="8" width="21.42578125" style="94" customWidth="1"/>
    <col min="9" max="16384" width="9.140625" style="94"/>
  </cols>
  <sheetData>
    <row r="1" spans="1:8" x14ac:dyDescent="0.25">
      <c r="A1" s="288" t="s">
        <v>43</v>
      </c>
      <c r="B1" s="289"/>
      <c r="C1" s="289"/>
      <c r="D1" s="289"/>
      <c r="E1" s="289"/>
      <c r="F1" s="289"/>
      <c r="G1" s="289"/>
      <c r="H1" s="290"/>
    </row>
    <row r="2" spans="1:8" x14ac:dyDescent="0.25">
      <c r="A2" s="95"/>
      <c r="B2" s="96"/>
      <c r="C2" s="96"/>
      <c r="D2" s="96"/>
      <c r="E2" s="96"/>
      <c r="F2" s="96"/>
      <c r="G2" s="96"/>
      <c r="H2" s="97" t="s">
        <v>44</v>
      </c>
    </row>
    <row r="3" spans="1:8" ht="19.5" customHeight="1" x14ac:dyDescent="0.25">
      <c r="A3" s="295" t="s">
        <v>138</v>
      </c>
      <c r="B3" s="296"/>
      <c r="C3" s="296"/>
      <c r="D3" s="296"/>
      <c r="E3" s="296"/>
      <c r="F3" s="296"/>
      <c r="G3" s="296"/>
      <c r="H3" s="297"/>
    </row>
    <row r="4" spans="1:8" ht="19.5" customHeight="1" x14ac:dyDescent="0.25">
      <c r="A4" s="199" t="s">
        <v>45</v>
      </c>
      <c r="B4" s="188"/>
      <c r="C4" s="188"/>
      <c r="D4" s="188"/>
      <c r="E4" s="188"/>
      <c r="F4" s="188"/>
      <c r="G4" s="188"/>
      <c r="H4" s="195"/>
    </row>
    <row r="5" spans="1:8" ht="19.5" customHeight="1" x14ac:dyDescent="0.25">
      <c r="A5" s="291" t="s">
        <v>46</v>
      </c>
      <c r="B5" s="292"/>
      <c r="C5" s="292"/>
      <c r="D5" s="292"/>
      <c r="E5" s="292"/>
      <c r="F5" s="292"/>
      <c r="G5" s="292"/>
      <c r="H5" s="293"/>
    </row>
    <row r="6" spans="1:8" ht="16.5" customHeight="1" x14ac:dyDescent="0.25">
      <c r="A6" s="98" t="s">
        <v>47</v>
      </c>
      <c r="B6" s="99" t="s">
        <v>48</v>
      </c>
      <c r="C6" s="100" t="s">
        <v>5</v>
      </c>
      <c r="D6" s="248">
        <f>Page1!H4</f>
        <v>0</v>
      </c>
      <c r="E6" s="250"/>
      <c r="F6" s="275" t="s">
        <v>49</v>
      </c>
      <c r="G6" s="276"/>
      <c r="H6" s="272">
        <f>Page1!J4</f>
        <v>0</v>
      </c>
    </row>
    <row r="7" spans="1:8" ht="16.5" customHeight="1" x14ac:dyDescent="0.25">
      <c r="A7" s="98" t="s">
        <v>50</v>
      </c>
      <c r="B7" s="102"/>
      <c r="C7" s="100" t="s">
        <v>51</v>
      </c>
      <c r="D7" s="248">
        <f>Page1!F5</f>
        <v>0</v>
      </c>
      <c r="E7" s="250"/>
      <c r="F7" s="298"/>
      <c r="G7" s="247"/>
      <c r="H7" s="294"/>
    </row>
    <row r="8" spans="1:8" ht="37.5" customHeight="1" x14ac:dyDescent="0.25">
      <c r="A8" s="98" t="s">
        <v>52</v>
      </c>
      <c r="B8" s="101">
        <f>Page1!C4</f>
        <v>0</v>
      </c>
      <c r="C8" s="100" t="s">
        <v>53</v>
      </c>
      <c r="D8" s="269">
        <f>Page1!H5</f>
        <v>0</v>
      </c>
      <c r="E8" s="269"/>
      <c r="F8" s="275" t="s">
        <v>9</v>
      </c>
      <c r="G8" s="276"/>
      <c r="H8" s="272">
        <f>Page1!J5</f>
        <v>0</v>
      </c>
    </row>
    <row r="9" spans="1:8" ht="16.5" customHeight="1" x14ac:dyDescent="0.25">
      <c r="A9" s="104" t="s">
        <v>54</v>
      </c>
      <c r="B9" s="103">
        <f>Page1!G44</f>
        <v>461303700</v>
      </c>
      <c r="C9" s="270" t="s">
        <v>55</v>
      </c>
      <c r="D9" s="275" t="s">
        <v>56</v>
      </c>
      <c r="E9" s="276"/>
      <c r="F9" s="299"/>
      <c r="G9" s="300"/>
      <c r="H9" s="273"/>
    </row>
    <row r="10" spans="1:8" ht="15.75" thickBot="1" x14ac:dyDescent="0.3">
      <c r="A10" s="105" t="s">
        <v>57</v>
      </c>
      <c r="B10" s="106">
        <f>Page1!C5</f>
        <v>0</v>
      </c>
      <c r="C10" s="271"/>
      <c r="D10" s="277"/>
      <c r="E10" s="278"/>
      <c r="F10" s="277"/>
      <c r="G10" s="278"/>
      <c r="H10" s="274"/>
    </row>
    <row r="11" spans="1:8" ht="16.5" customHeight="1" x14ac:dyDescent="0.25">
      <c r="A11" s="279" t="s">
        <v>58</v>
      </c>
      <c r="B11" s="281" t="s">
        <v>59</v>
      </c>
      <c r="C11" s="283" t="s">
        <v>18</v>
      </c>
      <c r="D11" s="284"/>
      <c r="E11" s="285"/>
      <c r="F11" s="301" t="s">
        <v>60</v>
      </c>
      <c r="G11" s="302"/>
      <c r="H11" s="286" t="s">
        <v>61</v>
      </c>
    </row>
    <row r="12" spans="1:8" ht="16.5" customHeight="1" thickBot="1" x14ac:dyDescent="0.3">
      <c r="A12" s="280"/>
      <c r="B12" s="282"/>
      <c r="C12" s="107" t="s">
        <v>62</v>
      </c>
      <c r="D12" s="107" t="s">
        <v>63</v>
      </c>
      <c r="E12" s="107" t="s">
        <v>64</v>
      </c>
      <c r="F12" s="303"/>
      <c r="G12" s="304"/>
      <c r="H12" s="287"/>
    </row>
    <row r="13" spans="1:8" ht="16.5" customHeight="1" x14ac:dyDescent="0.25">
      <c r="A13" s="108" t="s">
        <v>65</v>
      </c>
      <c r="B13" s="109" t="s">
        <v>66</v>
      </c>
      <c r="C13" s="110">
        <v>17</v>
      </c>
      <c r="D13" s="110">
        <v>18</v>
      </c>
      <c r="E13" s="110">
        <v>20</v>
      </c>
      <c r="F13" s="305" t="e">
        <f>Page1!D39</f>
        <v>#DIV/0!</v>
      </c>
      <c r="G13" s="306"/>
      <c r="H13" s="91" t="s">
        <v>67</v>
      </c>
    </row>
    <row r="14" spans="1:8" ht="16.5" customHeight="1" x14ac:dyDescent="0.25">
      <c r="A14" s="111" t="s">
        <v>68</v>
      </c>
      <c r="B14" s="112" t="s">
        <v>69</v>
      </c>
      <c r="C14" s="113">
        <v>18</v>
      </c>
      <c r="D14" s="113">
        <v>23</v>
      </c>
      <c r="E14" s="113">
        <v>28</v>
      </c>
      <c r="F14" s="204" t="e">
        <f>Page1!E39</f>
        <v>#DIV/0!</v>
      </c>
      <c r="G14" s="205"/>
      <c r="H14" s="114" t="s">
        <v>70</v>
      </c>
    </row>
    <row r="15" spans="1:8" ht="16.5" customHeight="1" x14ac:dyDescent="0.25">
      <c r="A15" s="111" t="s">
        <v>71</v>
      </c>
      <c r="B15" s="112" t="s">
        <v>72</v>
      </c>
      <c r="C15" s="113">
        <v>300</v>
      </c>
      <c r="D15" s="113" t="s">
        <v>40</v>
      </c>
      <c r="E15" s="113" t="s">
        <v>40</v>
      </c>
      <c r="F15" s="204" t="e">
        <f>Page1!K39</f>
        <v>#DIV/0!</v>
      </c>
      <c r="G15" s="205"/>
      <c r="H15" s="265" t="s">
        <v>73</v>
      </c>
    </row>
    <row r="16" spans="1:8" ht="16.5" customHeight="1" x14ac:dyDescent="0.25">
      <c r="A16" s="111" t="s">
        <v>74</v>
      </c>
      <c r="B16" s="112" t="s">
        <v>72</v>
      </c>
      <c r="C16" s="113">
        <v>300</v>
      </c>
      <c r="D16" s="113" t="s">
        <v>40</v>
      </c>
      <c r="E16" s="113" t="s">
        <v>40</v>
      </c>
      <c r="F16" s="204" t="e">
        <f>Page2!F41</f>
        <v>#DIV/0!</v>
      </c>
      <c r="G16" s="205"/>
      <c r="H16" s="228"/>
    </row>
    <row r="17" spans="1:8" ht="16.5" customHeight="1" x14ac:dyDescent="0.25">
      <c r="A17" s="111" t="s">
        <v>75</v>
      </c>
      <c r="B17" s="112" t="s">
        <v>72</v>
      </c>
      <c r="C17" s="113">
        <v>900</v>
      </c>
      <c r="D17" s="113" t="s">
        <v>40</v>
      </c>
      <c r="E17" s="113">
        <v>1200</v>
      </c>
      <c r="F17" s="204" t="e">
        <f>Page1!I39</f>
        <v>#DIV/0!</v>
      </c>
      <c r="G17" s="205"/>
      <c r="H17" s="228"/>
    </row>
    <row r="18" spans="1:8" ht="16.5" customHeight="1" x14ac:dyDescent="0.25">
      <c r="A18" s="111" t="s">
        <v>76</v>
      </c>
      <c r="B18" s="112" t="s">
        <v>72</v>
      </c>
      <c r="C18" s="113">
        <v>700</v>
      </c>
      <c r="D18" s="113" t="s">
        <v>40</v>
      </c>
      <c r="E18" s="113">
        <v>1000</v>
      </c>
      <c r="F18" s="204" t="e">
        <f>Page2!D41</f>
        <v>#DIV/0!</v>
      </c>
      <c r="G18" s="205"/>
      <c r="H18" s="228"/>
    </row>
    <row r="19" spans="1:8" ht="16.5" customHeight="1" x14ac:dyDescent="0.25">
      <c r="A19" s="111" t="s">
        <v>77</v>
      </c>
      <c r="B19" s="112" t="s">
        <v>78</v>
      </c>
      <c r="C19" s="113">
        <v>350</v>
      </c>
      <c r="D19" s="113" t="s">
        <v>40</v>
      </c>
      <c r="E19" s="113" t="s">
        <v>40</v>
      </c>
      <c r="F19" s="204" t="e">
        <f>Page1!J39</f>
        <v>#DIV/0!</v>
      </c>
      <c r="G19" s="205"/>
      <c r="H19" s="228"/>
    </row>
    <row r="20" spans="1:8" ht="16.5" customHeight="1" x14ac:dyDescent="0.25">
      <c r="A20" s="111" t="s">
        <v>79</v>
      </c>
      <c r="B20" s="112" t="s">
        <v>78</v>
      </c>
      <c r="C20" s="113">
        <v>400</v>
      </c>
      <c r="D20" s="113" t="s">
        <v>40</v>
      </c>
      <c r="E20" s="113" t="s">
        <v>40</v>
      </c>
      <c r="F20" s="204" t="e">
        <f>Page2!E41</f>
        <v>#DIV/0!</v>
      </c>
      <c r="G20" s="205"/>
      <c r="H20" s="228"/>
    </row>
    <row r="21" spans="1:8" ht="16.5" customHeight="1" x14ac:dyDescent="0.25">
      <c r="A21" s="111" t="s">
        <v>80</v>
      </c>
      <c r="B21" s="112" t="s">
        <v>40</v>
      </c>
      <c r="C21" s="33">
        <v>0.3</v>
      </c>
      <c r="D21" s="33">
        <v>0.45</v>
      </c>
      <c r="E21" s="33">
        <v>0.6</v>
      </c>
      <c r="F21" s="204" t="e">
        <f>Page1!G39</f>
        <v>#DIV/0!</v>
      </c>
      <c r="G21" s="205"/>
      <c r="H21" s="228"/>
    </row>
    <row r="22" spans="1:8" ht="16.5" customHeight="1" x14ac:dyDescent="0.25">
      <c r="A22" s="111" t="s">
        <v>81</v>
      </c>
      <c r="B22" s="112" t="s">
        <v>40</v>
      </c>
      <c r="C22" s="33">
        <v>0.6</v>
      </c>
      <c r="D22" s="33">
        <v>0.8</v>
      </c>
      <c r="E22" s="33">
        <v>1.4</v>
      </c>
      <c r="F22" s="204" t="e">
        <f>Page1!H39</f>
        <v>#DIV/0!</v>
      </c>
      <c r="G22" s="205"/>
      <c r="H22" s="145"/>
    </row>
    <row r="23" spans="1:8" ht="16.5" customHeight="1" x14ac:dyDescent="0.25">
      <c r="A23" s="111" t="s">
        <v>82</v>
      </c>
      <c r="B23" s="112" t="s">
        <v>83</v>
      </c>
      <c r="C23" s="61">
        <v>360</v>
      </c>
      <c r="D23" s="61">
        <v>380</v>
      </c>
      <c r="E23" s="61">
        <v>400</v>
      </c>
      <c r="F23" s="204" t="e">
        <f>Page1!F39</f>
        <v>#DIV/0!</v>
      </c>
      <c r="G23" s="205"/>
      <c r="H23" s="114" t="s">
        <v>84</v>
      </c>
    </row>
    <row r="24" spans="1:8" ht="16.5" customHeight="1" x14ac:dyDescent="0.25">
      <c r="A24" s="111" t="s">
        <v>85</v>
      </c>
      <c r="B24" s="112" t="s">
        <v>86</v>
      </c>
      <c r="C24" s="113" t="s">
        <v>40</v>
      </c>
      <c r="D24" s="61">
        <f>Page2!J9</f>
        <v>290</v>
      </c>
      <c r="E24" s="61">
        <f>Page2!J10</f>
        <v>293</v>
      </c>
      <c r="F24" s="204" t="e">
        <f>Page2!I41</f>
        <v>#DIV/0!</v>
      </c>
      <c r="G24" s="205"/>
      <c r="H24" s="114" t="s">
        <v>87</v>
      </c>
    </row>
    <row r="25" spans="1:8" ht="16.5" customHeight="1" x14ac:dyDescent="0.25">
      <c r="A25" s="111" t="s">
        <v>88</v>
      </c>
      <c r="B25" s="112" t="s">
        <v>89</v>
      </c>
      <c r="C25" s="61">
        <v>6000</v>
      </c>
      <c r="D25" s="113" t="s">
        <v>40</v>
      </c>
      <c r="E25" s="113" t="s">
        <v>40</v>
      </c>
      <c r="F25" s="204">
        <v>6000</v>
      </c>
      <c r="G25" s="205"/>
      <c r="H25" s="114" t="s">
        <v>90</v>
      </c>
    </row>
    <row r="26" spans="1:8" ht="16.5" customHeight="1" thickBot="1" x14ac:dyDescent="0.3">
      <c r="A26" s="116" t="s">
        <v>91</v>
      </c>
      <c r="B26" s="117" t="s">
        <v>86</v>
      </c>
      <c r="C26" s="92">
        <v>410</v>
      </c>
      <c r="D26" s="92">
        <v>430</v>
      </c>
      <c r="E26" s="118">
        <v>450</v>
      </c>
      <c r="F26" s="204" t="e">
        <f>Page2!K41</f>
        <v>#DIV/0!</v>
      </c>
      <c r="G26" s="205"/>
      <c r="H26" s="115" t="s">
        <v>87</v>
      </c>
    </row>
    <row r="27" spans="1:8" ht="16.5" customHeight="1" thickBot="1" x14ac:dyDescent="0.3">
      <c r="A27" s="262" t="s">
        <v>92</v>
      </c>
      <c r="B27" s="263"/>
      <c r="C27" s="263"/>
      <c r="D27" s="263"/>
      <c r="E27" s="263"/>
      <c r="F27" s="263"/>
      <c r="G27" s="263"/>
      <c r="H27" s="264"/>
    </row>
    <row r="28" spans="1:8" ht="16.5" customHeight="1" x14ac:dyDescent="0.25">
      <c r="A28" s="246" t="s">
        <v>93</v>
      </c>
      <c r="B28" s="247"/>
      <c r="C28" s="266" t="s">
        <v>94</v>
      </c>
      <c r="D28" s="267"/>
      <c r="E28" s="268"/>
      <c r="F28" s="204" t="s">
        <v>95</v>
      </c>
      <c r="G28" s="205"/>
      <c r="H28" s="91" t="s">
        <v>123</v>
      </c>
    </row>
    <row r="29" spans="1:8" ht="16.5" customHeight="1" x14ac:dyDescent="0.25">
      <c r="A29" s="251" t="s">
        <v>97</v>
      </c>
      <c r="B29" s="250"/>
      <c r="C29" s="256" t="s">
        <v>98</v>
      </c>
      <c r="D29" s="257"/>
      <c r="E29" s="258"/>
      <c r="F29" s="204" t="s">
        <v>95</v>
      </c>
      <c r="G29" s="205"/>
      <c r="H29" s="114" t="s">
        <v>96</v>
      </c>
    </row>
    <row r="30" spans="1:8" ht="16.5" customHeight="1" x14ac:dyDescent="0.25">
      <c r="A30" s="251" t="s">
        <v>99</v>
      </c>
      <c r="B30" s="250"/>
      <c r="C30" s="256" t="s">
        <v>100</v>
      </c>
      <c r="D30" s="257"/>
      <c r="E30" s="258"/>
      <c r="F30" s="204" t="s">
        <v>95</v>
      </c>
      <c r="G30" s="205"/>
      <c r="H30" s="91" t="s">
        <v>123</v>
      </c>
    </row>
    <row r="31" spans="1:8" ht="16.5" customHeight="1" x14ac:dyDescent="0.25">
      <c r="A31" s="251" t="s">
        <v>101</v>
      </c>
      <c r="B31" s="250"/>
      <c r="C31" s="256" t="s">
        <v>102</v>
      </c>
      <c r="D31" s="257"/>
      <c r="E31" s="258"/>
      <c r="F31" s="204" t="s">
        <v>95</v>
      </c>
      <c r="G31" s="205"/>
      <c r="H31" s="114" t="s">
        <v>103</v>
      </c>
    </row>
    <row r="32" spans="1:8" ht="16.5" customHeight="1" x14ac:dyDescent="0.25">
      <c r="A32" s="251" t="s">
        <v>104</v>
      </c>
      <c r="B32" s="250"/>
      <c r="C32" s="256" t="s">
        <v>105</v>
      </c>
      <c r="D32" s="257"/>
      <c r="E32" s="258"/>
      <c r="F32" s="204" t="s">
        <v>95</v>
      </c>
      <c r="G32" s="205"/>
      <c r="H32" s="114" t="s">
        <v>96</v>
      </c>
    </row>
    <row r="33" spans="1:8" ht="16.5" customHeight="1" x14ac:dyDescent="0.25">
      <c r="A33" s="251" t="s">
        <v>106</v>
      </c>
      <c r="B33" s="250"/>
      <c r="C33" s="256" t="s">
        <v>107</v>
      </c>
      <c r="D33" s="257"/>
      <c r="E33" s="258"/>
      <c r="F33" s="204" t="s">
        <v>95</v>
      </c>
      <c r="G33" s="205"/>
      <c r="H33" s="114" t="s">
        <v>124</v>
      </c>
    </row>
    <row r="34" spans="1:8" ht="33" customHeight="1" thickBot="1" x14ac:dyDescent="0.3">
      <c r="A34" s="137" t="s">
        <v>108</v>
      </c>
      <c r="B34" s="138"/>
      <c r="C34" s="259" t="s">
        <v>109</v>
      </c>
      <c r="D34" s="260"/>
      <c r="E34" s="261"/>
      <c r="F34" s="204" t="s">
        <v>95</v>
      </c>
      <c r="G34" s="205"/>
      <c r="H34" s="123" t="s">
        <v>124</v>
      </c>
    </row>
    <row r="35" spans="1:8" ht="16.5" customHeight="1" thickBot="1" x14ac:dyDescent="0.3">
      <c r="A35" s="262" t="s">
        <v>110</v>
      </c>
      <c r="B35" s="263"/>
      <c r="C35" s="263"/>
      <c r="D35" s="263"/>
      <c r="E35" s="263"/>
      <c r="F35" s="263"/>
      <c r="G35" s="263"/>
      <c r="H35" s="264"/>
    </row>
    <row r="36" spans="1:8" ht="16.5" customHeight="1" x14ac:dyDescent="0.25">
      <c r="A36" s="129" t="s">
        <v>111</v>
      </c>
      <c r="B36" s="130"/>
      <c r="C36" s="254" t="s">
        <v>100</v>
      </c>
      <c r="D36" s="255"/>
      <c r="E36" s="130"/>
      <c r="F36" s="204" t="s">
        <v>95</v>
      </c>
      <c r="G36" s="205"/>
      <c r="H36" s="91" t="s">
        <v>123</v>
      </c>
    </row>
    <row r="37" spans="1:8" ht="16.5" customHeight="1" x14ac:dyDescent="0.25">
      <c r="A37" s="246" t="s">
        <v>112</v>
      </c>
      <c r="B37" s="247"/>
      <c r="C37" s="248" t="s">
        <v>113</v>
      </c>
      <c r="D37" s="249"/>
      <c r="E37" s="250"/>
      <c r="F37" s="204" t="s">
        <v>95</v>
      </c>
      <c r="G37" s="205"/>
      <c r="H37" s="114" t="s">
        <v>96</v>
      </c>
    </row>
    <row r="38" spans="1:8" ht="16.5" customHeight="1" x14ac:dyDescent="0.25">
      <c r="A38" s="251" t="s">
        <v>114</v>
      </c>
      <c r="B38" s="250"/>
      <c r="C38" s="248" t="s">
        <v>115</v>
      </c>
      <c r="D38" s="249"/>
      <c r="E38" s="250"/>
      <c r="F38" s="204" t="s">
        <v>95</v>
      </c>
      <c r="G38" s="205"/>
      <c r="H38" s="114" t="s">
        <v>96</v>
      </c>
    </row>
    <row r="39" spans="1:8" ht="16.5" customHeight="1" thickBot="1" x14ac:dyDescent="0.3">
      <c r="A39" s="137" t="s">
        <v>116</v>
      </c>
      <c r="B39" s="138"/>
      <c r="C39" s="252" t="s">
        <v>117</v>
      </c>
      <c r="D39" s="253"/>
      <c r="E39" s="138"/>
      <c r="F39" s="204" t="s">
        <v>95</v>
      </c>
      <c r="G39" s="205"/>
      <c r="H39" s="115" t="s">
        <v>87</v>
      </c>
    </row>
    <row r="40" spans="1:8" ht="16.5" customHeight="1" x14ac:dyDescent="0.25">
      <c r="A40" s="234" t="s">
        <v>118</v>
      </c>
      <c r="B40" s="235"/>
      <c r="C40" s="236" t="s">
        <v>135</v>
      </c>
      <c r="D40" s="237"/>
      <c r="E40" s="238"/>
      <c r="F40" s="236" t="s">
        <v>136</v>
      </c>
      <c r="G40" s="237"/>
      <c r="H40" s="238"/>
    </row>
    <row r="41" spans="1:8" ht="131.25" customHeight="1" x14ac:dyDescent="0.25">
      <c r="A41" s="242"/>
      <c r="B41" s="243"/>
      <c r="C41" s="199"/>
      <c r="D41" s="188"/>
      <c r="E41" s="195"/>
      <c r="F41" s="199"/>
      <c r="G41" s="179"/>
      <c r="H41" s="195"/>
    </row>
    <row r="42" spans="1:8" ht="30" customHeight="1" x14ac:dyDescent="0.25">
      <c r="A42" s="242"/>
      <c r="B42" s="243"/>
      <c r="C42" s="199"/>
      <c r="D42" s="179"/>
      <c r="E42" s="195"/>
      <c r="F42" s="199"/>
      <c r="G42" s="179"/>
      <c r="H42" s="195"/>
    </row>
    <row r="43" spans="1:8" ht="26.25" customHeight="1" thickBot="1" x14ac:dyDescent="0.3">
      <c r="A43" s="244"/>
      <c r="B43" s="245"/>
      <c r="C43" s="239" t="s">
        <v>22</v>
      </c>
      <c r="D43" s="241"/>
      <c r="E43" s="240"/>
      <c r="F43" s="239" t="s">
        <v>137</v>
      </c>
      <c r="G43" s="241"/>
      <c r="H43" s="240"/>
    </row>
    <row r="44" spans="1:8" x14ac:dyDescent="0.25">
      <c r="A44" s="119"/>
      <c r="B44" s="119"/>
      <c r="C44" s="119"/>
      <c r="D44" s="119"/>
      <c r="E44" s="232"/>
      <c r="F44" s="232"/>
      <c r="G44" s="232"/>
      <c r="H44" s="232"/>
    </row>
    <row r="45" spans="1:8" x14ac:dyDescent="0.25">
      <c r="A45" s="39" t="s">
        <v>119</v>
      </c>
      <c r="B45" s="120"/>
      <c r="C45" s="121"/>
      <c r="D45" s="119"/>
      <c r="E45" s="233"/>
      <c r="F45" s="233"/>
      <c r="G45" s="233"/>
      <c r="H45" s="233"/>
    </row>
    <row r="47" spans="1:8" x14ac:dyDescent="0.25">
      <c r="A47" s="231" t="s">
        <v>120</v>
      </c>
      <c r="B47" s="231"/>
    </row>
    <row r="48" spans="1:8" x14ac:dyDescent="0.25">
      <c r="A48" s="231" t="s">
        <v>121</v>
      </c>
      <c r="B48" s="231"/>
    </row>
  </sheetData>
  <mergeCells count="82">
    <mergeCell ref="F37:G37"/>
    <mergeCell ref="F38:G38"/>
    <mergeCell ref="F39:G39"/>
    <mergeCell ref="C42:E42"/>
    <mergeCell ref="F42:H42"/>
    <mergeCell ref="F29:G29"/>
    <mergeCell ref="F30:G30"/>
    <mergeCell ref="F31:G31"/>
    <mergeCell ref="F32:G32"/>
    <mergeCell ref="F33:G33"/>
    <mergeCell ref="F13:G13"/>
    <mergeCell ref="F14:G14"/>
    <mergeCell ref="F15:G15"/>
    <mergeCell ref="F16:G16"/>
    <mergeCell ref="F17:G17"/>
    <mergeCell ref="A1:H1"/>
    <mergeCell ref="A4:H4"/>
    <mergeCell ref="A5:H5"/>
    <mergeCell ref="D6:E6"/>
    <mergeCell ref="H6:H7"/>
    <mergeCell ref="D7:E7"/>
    <mergeCell ref="A3:H3"/>
    <mergeCell ref="F6:G7"/>
    <mergeCell ref="A11:A12"/>
    <mergeCell ref="B11:B12"/>
    <mergeCell ref="C11:E11"/>
    <mergeCell ref="H11:H12"/>
    <mergeCell ref="F11:G12"/>
    <mergeCell ref="D8:E8"/>
    <mergeCell ref="H8:H10"/>
    <mergeCell ref="C9:C10"/>
    <mergeCell ref="D9:E10"/>
    <mergeCell ref="F8:G10"/>
    <mergeCell ref="H15:H22"/>
    <mergeCell ref="A27:H27"/>
    <mergeCell ref="A28:B28"/>
    <mergeCell ref="C28:E28"/>
    <mergeCell ref="A29:B29"/>
    <mergeCell ref="C29:E29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8:G28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H35"/>
    <mergeCell ref="F34:G34"/>
    <mergeCell ref="F36:G36"/>
    <mergeCell ref="A37:B37"/>
    <mergeCell ref="C37:E37"/>
    <mergeCell ref="A38:B38"/>
    <mergeCell ref="C38:E38"/>
    <mergeCell ref="A39:B39"/>
    <mergeCell ref="C39:E39"/>
    <mergeCell ref="A47:B47"/>
    <mergeCell ref="A48:B48"/>
    <mergeCell ref="E44:H44"/>
    <mergeCell ref="E45:H45"/>
    <mergeCell ref="A40:B40"/>
    <mergeCell ref="C40:E40"/>
    <mergeCell ref="F40:H40"/>
    <mergeCell ref="F43:H43"/>
    <mergeCell ref="C43:E43"/>
    <mergeCell ref="A41:B43"/>
    <mergeCell ref="C41:E41"/>
    <mergeCell ref="F41:H41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2026-01-13T17:44:13Z</dcterms:modified>
</cp:coreProperties>
</file>