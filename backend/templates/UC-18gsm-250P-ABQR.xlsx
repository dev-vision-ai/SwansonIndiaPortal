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04A8DCE6-2339-4B2F-A16C-A4C05C3619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D8" i="12"/>
  <c r="D7" i="12"/>
  <c r="B10" i="12"/>
  <c r="B8" i="12"/>
  <c r="F26" i="12"/>
  <c r="F24" i="12"/>
  <c r="E24" i="12"/>
  <c r="D24" i="12"/>
  <c r="F23" i="12"/>
  <c r="F22" i="12"/>
  <c r="F21" i="12"/>
  <c r="F20" i="12"/>
  <c r="F19" i="12"/>
  <c r="F18" i="12"/>
  <c r="F17" i="12"/>
  <c r="F16" i="12"/>
  <c r="F14" i="12"/>
  <c r="B9" i="12"/>
  <c r="G8" i="12"/>
  <c r="G6" i="12"/>
  <c r="J5" i="9"/>
  <c r="H5" i="9"/>
  <c r="F5" i="9"/>
  <c r="C5" i="9"/>
  <c r="J4" i="9"/>
  <c r="H4" i="9"/>
  <c r="F4" i="9"/>
  <c r="C4" i="9"/>
  <c r="J5" i="7"/>
  <c r="J4" i="7"/>
  <c r="H5" i="7"/>
  <c r="H4" i="7"/>
  <c r="F5" i="7"/>
  <c r="F4" i="7"/>
  <c r="C5" i="7"/>
  <c r="C4" i="7"/>
  <c r="G45" i="9"/>
  <c r="G46" i="7"/>
  <c r="F41" i="9"/>
  <c r="K40" i="6"/>
  <c r="C13" i="7"/>
  <c r="C13" i="9"/>
  <c r="D40" i="9"/>
  <c r="H41" i="9"/>
  <c r="E41" i="9"/>
  <c r="A11" i="7"/>
  <c r="A11" i="9" l="1"/>
  <c r="B11" i="9"/>
  <c r="C11" i="9"/>
  <c r="A12" i="9"/>
  <c r="B12" i="9"/>
  <c r="C12" i="9"/>
  <c r="A13" i="9"/>
  <c r="B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B12" i="7"/>
  <c r="C12" i="7"/>
  <c r="A13" i="7"/>
  <c r="B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1" i="7"/>
  <c r="D40" i="6"/>
  <c r="H42" i="9"/>
  <c r="G42" i="9"/>
  <c r="G41" i="9"/>
  <c r="E42" i="9"/>
  <c r="D42" i="9"/>
  <c r="D41" i="9"/>
  <c r="B4" i="7"/>
  <c r="G42" i="7"/>
  <c r="F42" i="7"/>
  <c r="E42" i="7"/>
  <c r="D42" i="7"/>
  <c r="E41" i="7"/>
  <c r="F41" i="7"/>
  <c r="G41" i="7"/>
  <c r="I41" i="7"/>
  <c r="K41" i="7"/>
  <c r="D39" i="6"/>
  <c r="F13" i="12" s="1"/>
  <c r="D41" i="6"/>
  <c r="I42" i="7" l="1"/>
  <c r="I43" i="7"/>
  <c r="B5" i="7" l="1"/>
  <c r="G43" i="7" l="1"/>
  <c r="K43" i="7"/>
  <c r="K42" i="7"/>
  <c r="H40" i="9" l="1"/>
  <c r="G40" i="9"/>
  <c r="E40" i="9"/>
  <c r="J39" i="6" l="1"/>
  <c r="F43" i="7" l="1"/>
  <c r="E43" i="7"/>
  <c r="D43" i="7" l="1"/>
  <c r="E40" i="6" l="1"/>
  <c r="E39" i="6"/>
  <c r="F41" i="6" l="1"/>
  <c r="G41" i="6"/>
  <c r="H41" i="6"/>
  <c r="I41" i="6"/>
  <c r="J41" i="6"/>
  <c r="K41" i="6"/>
  <c r="F40" i="6"/>
  <c r="G40" i="6"/>
  <c r="H40" i="6"/>
  <c r="I40" i="6"/>
  <c r="J40" i="6"/>
  <c r="K39" i="6"/>
  <c r="F15" i="12" s="1"/>
  <c r="F39" i="6"/>
  <c r="G39" i="6"/>
  <c r="H39" i="6"/>
  <c r="I39" i="6"/>
  <c r="E41" i="6"/>
  <c r="F40" i="9"/>
  <c r="F42" i="9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<sst xmlns="http://schemas.openxmlformats.org/spreadsheetml/2006/main" count="234" uniqueCount="142">
  <si>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</si>
  <si>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</si>
  <si>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</si>
  <si>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</si>
  <si>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</si>
  <si>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</si>
  <si>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</si>
  <si>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</si>
  <si>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</si>
  <si>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</si>
  <si>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</si>
  <si>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</si>
  <si>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</si>
  <si>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</si>
  <si>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</si>
  <si>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</si>
  <si>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</si>
  <si>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</si>
  <si>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</si>
  <si>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</si>
  <si>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</si>
  <si>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</si>
  <si>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</si>
  <si>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</si>
  <si>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</si>
  <si>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</si>
  <si>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</si>
  <si>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</si>
  <si>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</si>
  <si>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</si>
  <si>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</si>
  <si>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</si>
  <si>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</si>
  <si>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</si>
  <si>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</si>
  <si>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</si>
  <si>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</si>
  <si>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</si>
  <si>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Delta E
T-0.00  U-4.00</t>
  </si>
  <si>
    <t>Film Weight
(g/m2)
L-17.00 T-18.00 U-20.00</t>
  </si>
  <si>
    <t>-</t>
  </si>
  <si>
    <t>Verified By:</t>
  </si>
  <si>
    <t>Opacity
L-50.0 T-55.0 U-60.0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</si>
  <si>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</si>
  <si>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</si>
  <si>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</si>
  <si>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</si>
  <si>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</si>
  <si>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</si>
  <si>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</si>
  <si>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</si>
  <si>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</si>
  <si>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</si>
  <si>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</si>
  <si>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</si>
  <si>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</si>
  <si>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</si>
  <si>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</si>
  <si>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</si>
  <si>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</si>
  <si>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</si>
  <si>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</si>
  <si>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</si>
  <si>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</si>
  <si>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</si>
  <si>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</si>
  <si>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</si>
  <si>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</si>
  <si>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</si>
  <si>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</si>
  <si>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</si>
  <si>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</si>
  <si>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</si>
  <si>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</si>
  <si>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</si>
  <si>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</si>
  <si>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</si>
  <si>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</si>
  <si>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</si>
  <si>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</si>
  <si>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</si>
  <si>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</si>
  <si>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</si>
  <si>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</si>
  <si>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</si>
  <si>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</si>
  <si>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</si>
  <si>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</si>
  <si>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</si>
  <si>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</si>
  <si>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</si>
  <si>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</si>
  <si>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</si>
  <si>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</si>
  <si>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LSL-50, TGT-55, USL-60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</si>
  <si>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</si>
  <si>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</si>
  <si>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</si>
  <si>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</si>
  <si>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</si>
  <si>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</si>
  <si>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</si>
  <si>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</si>
  <si>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</si>
  <si>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</si>
  <si>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</si>
  <si>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</si>
  <si>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</si>
  <si>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</si>
  <si>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</si>
  <si>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</si>
  <si>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</si>
  <si>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</si>
  <si>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</si>
  <si>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</si>
  <si>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</si>
  <si>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</si>
  <si>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</si>
  <si>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</si>
  <si>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</si>
  <si>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</si>
  <si>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</si>
  <si>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 xml:space="preserve"> Delta E
(Base Film Pink) 
T-0.00   U-4.00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</si>
  <si>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</si>
  <si>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</si>
  <si>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</si>
  <si>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</si>
  <si>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</si>
  <si>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</si>
  <si>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Colour A
L-49.00 T-54.00 U-59.00</t>
  </si>
  <si>
    <t>Retention period: 5 years</t>
  </si>
  <si>
    <t>(mm)</t>
  </si>
  <si>
    <t>Roll Cut Width</t>
  </si>
  <si>
    <t>Testing Equipment Identification Number</t>
  </si>
  <si>
    <t>Reference:</t>
  </si>
  <si>
    <t>Swanson Plastics(India) Pvt. Ltd</t>
  </si>
  <si>
    <t xml:space="preserve">Inspected By
</t>
  </si>
  <si>
    <t xml:space="preserve">Approved By
</t>
  </si>
  <si>
    <t>(QA)</t>
  </si>
  <si>
    <t>NA</t>
  </si>
  <si>
    <t>Colour L
L-54.00 T-59.00 U-63.00</t>
  </si>
  <si>
    <t>Colour B
L-(-11.50) T-(-8.50) U-(-5.50)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</si>
</sst>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4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34" xfId="0" applyFont="1" applyFill="1" applyBorder="1" applyAlignment="1">
      <alignment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60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center" vertical="center" wrapText="1"/>
    </xf>
    <xf numFmtId="49" fontId="1" fillId="2" borderId="25" xfId="0" applyNumberFormat="1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38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49" fontId="1" fillId="2" borderId="50" xfId="0" applyNumberFormat="1" applyFont="1" applyFill="1" applyBorder="1" applyAlignment="1">
      <alignment horizontal="center" vertical="center" wrapText="1"/>
    </xf>
    <xf numFmtId="49" fontId="1" fillId="2" borderId="31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>
      <alignment horizontal="center" vertical="center" wrapText="1"/>
    </xf>
    <xf numFmtId="14" fontId="1" fillId="2" borderId="37" xfId="0" applyNumberFormat="1" applyFont="1" applyFill="1" applyBorder="1" applyAlignment="1">
      <alignment horizontal="center" vertical="center" wrapText="1"/>
    </xf>
    <xf numFmtId="14" fontId="1" fillId="2" borderId="26" xfId="0" applyNumberFormat="1" applyFont="1" applyFill="1" applyBorder="1" applyAlignment="1">
      <alignment horizontal="center" vertical="center" wrapText="1"/>
    </xf>
    <xf numFmtId="14" fontId="1" fillId="2" borderId="47" xfId="0" applyNumberFormat="1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49" fontId="1" fillId="2" borderId="21" xfId="0" applyNumberFormat="1" applyFont="1" applyFill="1" applyBorder="1" applyAlignment="1">
      <alignment horizontal="center" vertical="center" wrapText="1"/>
    </xf>
    <xf numFmtId="49" fontId="1" fillId="2" borderId="22" xfId="0" applyNumberFormat="1" applyFont="1" applyFill="1" applyBorder="1" applyAlignment="1">
      <alignment horizontal="center" vertical="center" wrapText="1"/>
    </xf>
    <xf numFmtId="49" fontId="1" fillId="2" borderId="65" xfId="0" applyNumberFormat="1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6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center" vertical="center" wrapText="1"/>
    </xf>
    <xf numFmtId="49" fontId="1" fillId="2" borderId="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49" fontId="9" fillId="2" borderId="0" xfId="0" applyNumberFormat="1" applyFont="1" applyFill="1" applyAlignment="1">
      <alignment horizontal="center" wrapText="1"/>
    </xf>
    <xf numFmtId="0" fontId="1" fillId="2" borderId="4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3" xfId="0" applyFont="1" applyFill="1" applyBorder="1" applyAlignment="1">
      <alignment horizont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wrapText="1"/>
    </xf>
    <xf numFmtId="0" fontId="1" fillId="2" borderId="0" xfId="0" applyFont="1" applyFill="1" applyBorder="1" applyAlignment="1">
      <alignment horizontal="center" vertical="center" wrapText="1"/>
    </xf>
    <xf numFmtId="165" fontId="1" fillId="2" borderId="5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 wrapText="1"/>
    </xf>
    <xf numFmtId="165" fontId="1" fillId="2" borderId="27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5FB3E47-2DA3-4C8C-B5D7-B1DB781F13F6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9"/>
  <sheetViews>
    <sheetView tabSelected="1" view="pageBreakPreview" zoomScaleNormal="100" zoomScaleSheetLayoutView="100" workbookViewId="0">
      <selection activeCell="A9" sqref="A9"/>
    </sheetView>
  </sheetViews>
  <sheetFormatPr defaultRowHeight="15" x14ac:dyDescent="0.25"/>
  <cols>
    <col min="1" max="3" width="14" style="18" customWidth="1"/>
    <col min="4" max="11" width="21.7109375" style="18" customWidth="1"/>
    <col min="12" max="12" width="10.5703125" style="18" bestFit="1" customWidth="1"/>
    <col min="13" max="13" width="9.140625" style="18"/>
    <col min="14" max="14" width="9.42578125" style="18" bestFit="1" customWidth="1"/>
    <col min="15" max="16384" width="9.140625" style="18"/>
  </cols>
  <sheetData>
    <row r="1" spans="1:13" s="15" customFormat="1" ht="15.75" customHeight="1" x14ac:dyDescent="0.25">
      <c r="A1" s="148" t="s">
        <v>16</v>
      </c>
      <c r="B1" s="148"/>
      <c r="C1" s="148"/>
      <c r="D1" s="148"/>
      <c r="E1" s="148"/>
      <c r="F1" s="148"/>
      <c r="G1" s="148"/>
      <c r="H1" s="148"/>
      <c r="I1" s="148"/>
      <c r="J1" s="148"/>
      <c r="K1" s="14" t="s">
        <v>27</v>
      </c>
    </row>
    <row r="2" spans="1:13" s="15" customFormat="1" ht="15.75" customHeight="1" x14ac:dyDescent="0.25">
      <c r="A2" s="148" t="s">
        <v>19</v>
      </c>
      <c r="B2" s="148"/>
      <c r="C2" s="148"/>
      <c r="D2" s="148"/>
      <c r="E2" s="148"/>
      <c r="F2" s="148"/>
      <c r="G2" s="148"/>
      <c r="H2" s="148"/>
      <c r="I2" s="148"/>
      <c r="J2" s="148"/>
      <c r="K2" s="16" t="s">
        <v>29</v>
      </c>
    </row>
    <row r="3" spans="1:13" s="15" customFormat="1" ht="15.75" customHeight="1" thickBot="1" x14ac:dyDescent="0.3">
      <c r="A3" s="13"/>
      <c r="B3" s="13"/>
      <c r="C3" s="13"/>
      <c r="D3" s="13"/>
      <c r="E3" s="13"/>
      <c r="F3" s="13"/>
      <c r="G3" s="13"/>
      <c r="H3" s="13"/>
      <c r="I3" s="18"/>
      <c r="J3" s="2" t="s">
        <v>30</v>
      </c>
      <c r="K3" s="12"/>
    </row>
    <row r="4" spans="1:13" s="15" customFormat="1" ht="23.25" customHeight="1" x14ac:dyDescent="0.25">
      <c r="A4" s="149" t="s">
        <v>17</v>
      </c>
      <c r="B4" s="150"/>
      <c r="C4" s="157"/>
      <c r="D4" s="158"/>
      <c r="E4" s="3" t="s">
        <v>4</v>
      </c>
      <c r="F4" s="8"/>
      <c r="G4" s="3" t="s">
        <v>5</v>
      </c>
      <c r="H4" s="10"/>
      <c r="I4" s="4" t="s">
        <v>6</v>
      </c>
      <c r="J4" s="164"/>
      <c r="K4" s="165"/>
      <c r="M4" s="15" t="s">
        <v>28</v>
      </c>
    </row>
    <row r="5" spans="1:13" s="15" customFormat="1" ht="23.25" customHeight="1" thickBot="1" x14ac:dyDescent="0.3">
      <c r="A5" s="155" t="s">
        <v>18</v>
      </c>
      <c r="B5" s="156"/>
      <c r="C5" s="159"/>
      <c r="D5" s="160"/>
      <c r="E5" s="5" t="s">
        <v>7</v>
      </c>
      <c r="F5" s="9"/>
      <c r="G5" s="5" t="s">
        <v>8</v>
      </c>
      <c r="H5" s="11"/>
      <c r="I5" s="6" t="s">
        <v>9</v>
      </c>
      <c r="J5" s="166"/>
      <c r="K5" s="167"/>
    </row>
    <row r="6" spans="1:13" s="15" customFormat="1" ht="15.75" customHeight="1" thickBot="1" x14ac:dyDescent="0.3">
      <c r="A6" s="130" t="s">
        <v>133</v>
      </c>
      <c r="B6" s="131"/>
      <c r="C6" s="132"/>
      <c r="D6" s="7"/>
      <c r="E6" s="7"/>
      <c r="F6" s="7" t="s">
        <v>139</v>
      </c>
      <c r="G6" s="153"/>
      <c r="H6" s="154"/>
      <c r="I6" s="153"/>
      <c r="J6" s="161"/>
      <c r="K6" s="162"/>
    </row>
    <row r="7" spans="1:13" ht="15" customHeight="1" x14ac:dyDescent="0.25">
      <c r="A7" s="133" t="s">
        <v>0</v>
      </c>
      <c r="B7" s="134"/>
      <c r="C7" s="134"/>
      <c r="D7" s="134" t="s">
        <v>39</v>
      </c>
      <c r="E7" s="134" t="s">
        <v>15</v>
      </c>
      <c r="F7" s="134" t="s">
        <v>25</v>
      </c>
      <c r="G7" s="151" t="s">
        <v>33</v>
      </c>
      <c r="H7" s="151" t="s">
        <v>126</v>
      </c>
      <c r="I7" s="134" t="s">
        <v>1</v>
      </c>
      <c r="J7" s="134"/>
      <c r="K7" s="163"/>
    </row>
    <row r="8" spans="1:13" ht="48.75" customHeight="1" thickBot="1" x14ac:dyDescent="0.3">
      <c r="A8" s="135"/>
      <c r="B8" s="136"/>
      <c r="C8" s="136"/>
      <c r="D8" s="136"/>
      <c r="E8" s="136" t="s">
        <v>3</v>
      </c>
      <c r="F8" s="136"/>
      <c r="G8" s="152"/>
      <c r="H8" s="152"/>
      <c r="I8" s="1" t="s">
        <v>10</v>
      </c>
      <c r="J8" s="1" t="s">
        <v>11</v>
      </c>
      <c r="K8" s="67" t="s">
        <v>12</v>
      </c>
    </row>
    <row r="9" spans="1:13" s="15" customFormat="1" ht="19.5" customHeight="1" x14ac:dyDescent="0.25">
      <c r="A9" s="68"/>
      <c r="B9" s="69"/>
      <c r="C9" s="70"/>
      <c r="D9" s="22"/>
      <c r="E9" s="52"/>
      <c r="F9" s="55"/>
      <c r="G9" s="26"/>
      <c r="H9" s="26"/>
      <c r="I9" s="55"/>
      <c r="J9" s="71"/>
      <c r="K9" s="72"/>
    </row>
    <row r="10" spans="1:13" s="15" customFormat="1" ht="19.5" customHeight="1" x14ac:dyDescent="0.25">
      <c r="A10" s="73"/>
      <c r="B10" s="74"/>
      <c r="C10" s="75"/>
      <c r="D10" s="26"/>
      <c r="E10" s="55"/>
      <c r="F10" s="52"/>
      <c r="G10" s="26"/>
      <c r="H10" s="26"/>
      <c r="I10" s="55"/>
      <c r="J10" s="71"/>
      <c r="K10" s="72"/>
    </row>
    <row r="11" spans="1:13" s="15" customFormat="1" ht="19.5" customHeight="1" x14ac:dyDescent="0.25">
      <c r="A11" s="73"/>
      <c r="B11" s="74"/>
      <c r="C11" s="70"/>
      <c r="D11" s="26"/>
      <c r="E11" s="55"/>
      <c r="F11" s="55"/>
      <c r="G11" s="26"/>
      <c r="H11" s="26"/>
      <c r="I11" s="55"/>
      <c r="J11" s="71"/>
      <c r="K11" s="72"/>
    </row>
    <row r="12" spans="1:13" s="15" customFormat="1" ht="19.5" customHeight="1" x14ac:dyDescent="0.25">
      <c r="A12" s="73"/>
      <c r="B12" s="76"/>
      <c r="C12" s="70"/>
      <c r="D12" s="26"/>
      <c r="E12" s="55"/>
      <c r="F12" s="52"/>
      <c r="G12" s="26"/>
      <c r="H12" s="26"/>
      <c r="I12" s="55"/>
      <c r="J12" s="71"/>
      <c r="K12" s="72"/>
    </row>
    <row r="13" spans="1:13" s="15" customFormat="1" ht="19.5" customHeight="1" x14ac:dyDescent="0.25">
      <c r="A13" s="73"/>
      <c r="B13" s="74"/>
      <c r="C13" s="75"/>
      <c r="D13" s="26"/>
      <c r="E13" s="55"/>
      <c r="F13" s="55"/>
      <c r="G13" s="26"/>
      <c r="H13" s="26"/>
      <c r="I13" s="55"/>
      <c r="J13" s="71"/>
      <c r="K13" s="72"/>
    </row>
    <row r="14" spans="1:13" s="15" customFormat="1" ht="19.5" customHeight="1" x14ac:dyDescent="0.25">
      <c r="A14" s="73"/>
      <c r="B14" s="74"/>
      <c r="C14" s="75"/>
      <c r="D14" s="26"/>
      <c r="E14" s="55"/>
      <c r="F14" s="52"/>
      <c r="G14" s="22"/>
      <c r="H14" s="22"/>
      <c r="I14" s="52"/>
      <c r="J14" s="77"/>
      <c r="K14" s="78"/>
    </row>
    <row r="15" spans="1:13" s="15" customFormat="1" ht="19.5" customHeight="1" x14ac:dyDescent="0.25">
      <c r="A15" s="73"/>
      <c r="B15" s="74"/>
      <c r="C15" s="75"/>
      <c r="D15" s="26"/>
      <c r="E15" s="55"/>
      <c r="F15" s="55"/>
      <c r="G15" s="26"/>
      <c r="H15" s="26"/>
      <c r="I15" s="55"/>
      <c r="J15" s="71"/>
      <c r="K15" s="72"/>
    </row>
    <row r="16" spans="1:13" s="15" customFormat="1" ht="19.5" customHeight="1" x14ac:dyDescent="0.25">
      <c r="A16" s="73"/>
      <c r="B16" s="74"/>
      <c r="C16" s="75"/>
      <c r="D16" s="26"/>
      <c r="E16" s="55"/>
      <c r="F16" s="52"/>
      <c r="G16" s="26"/>
      <c r="H16" s="26"/>
      <c r="I16" s="55"/>
      <c r="J16" s="71"/>
      <c r="K16" s="72"/>
    </row>
    <row r="17" spans="1:11" s="15" customFormat="1" ht="19.5" customHeight="1" x14ac:dyDescent="0.25">
      <c r="A17" s="73"/>
      <c r="B17" s="69"/>
      <c r="C17" s="75"/>
      <c r="D17" s="26"/>
      <c r="E17" s="55"/>
      <c r="F17" s="52"/>
      <c r="G17" s="26"/>
      <c r="H17" s="26"/>
      <c r="I17" s="55"/>
      <c r="J17" s="71"/>
      <c r="K17" s="72"/>
    </row>
    <row r="18" spans="1:11" s="15" customFormat="1" ht="19.5" customHeight="1" x14ac:dyDescent="0.25">
      <c r="A18" s="73"/>
      <c r="B18" s="74"/>
      <c r="C18" s="75"/>
      <c r="D18" s="26"/>
      <c r="E18" s="55"/>
      <c r="F18" s="52"/>
      <c r="G18" s="26"/>
      <c r="H18" s="26"/>
      <c r="I18" s="55"/>
      <c r="J18" s="71"/>
      <c r="K18" s="72"/>
    </row>
    <row r="19" spans="1:11" s="15" customFormat="1" ht="19.5" customHeight="1" x14ac:dyDescent="0.25">
      <c r="A19" s="68"/>
      <c r="B19" s="69"/>
      <c r="C19" s="70"/>
      <c r="D19" s="26"/>
      <c r="E19" s="55"/>
      <c r="F19" s="52"/>
      <c r="G19" s="26"/>
      <c r="H19" s="26"/>
      <c r="I19" s="55"/>
      <c r="J19" s="71"/>
      <c r="K19" s="72"/>
    </row>
    <row r="20" spans="1:11" s="15" customFormat="1" ht="19.5" customHeight="1" x14ac:dyDescent="0.25">
      <c r="A20" s="73"/>
      <c r="B20" s="74"/>
      <c r="C20" s="75"/>
      <c r="D20" s="26"/>
      <c r="E20" s="55"/>
      <c r="F20" s="52"/>
      <c r="G20" s="26"/>
      <c r="H20" s="26"/>
      <c r="I20" s="55"/>
      <c r="J20" s="71"/>
      <c r="K20" s="72"/>
    </row>
    <row r="21" spans="1:11" s="15" customFormat="1" ht="19.5" customHeight="1" x14ac:dyDescent="0.25">
      <c r="A21" s="73"/>
      <c r="B21" s="74"/>
      <c r="C21" s="70"/>
      <c r="D21" s="26"/>
      <c r="E21" s="55"/>
      <c r="F21" s="52"/>
      <c r="G21" s="26"/>
      <c r="H21" s="26"/>
      <c r="I21" s="55"/>
      <c r="J21" s="71"/>
      <c r="K21" s="72"/>
    </row>
    <row r="22" spans="1:11" s="15" customFormat="1" ht="19.5" customHeight="1" x14ac:dyDescent="0.25">
      <c r="A22" s="73"/>
      <c r="B22" s="76"/>
      <c r="C22" s="70"/>
      <c r="D22" s="26"/>
      <c r="E22" s="55"/>
      <c r="F22" s="52"/>
      <c r="G22" s="26"/>
      <c r="H22" s="26"/>
      <c r="I22" s="55"/>
      <c r="J22" s="71"/>
      <c r="K22" s="72"/>
    </row>
    <row r="23" spans="1:11" s="15" customFormat="1" ht="19.5" customHeight="1" x14ac:dyDescent="0.25">
      <c r="A23" s="73"/>
      <c r="B23" s="74"/>
      <c r="C23" s="75"/>
      <c r="D23" s="26"/>
      <c r="E23" s="55"/>
      <c r="F23" s="52"/>
      <c r="G23" s="26"/>
      <c r="H23" s="26"/>
      <c r="I23" s="55"/>
      <c r="J23" s="71"/>
      <c r="K23" s="72"/>
    </row>
    <row r="24" spans="1:11" s="15" customFormat="1" ht="19.5" customHeight="1" x14ac:dyDescent="0.25">
      <c r="A24" s="73"/>
      <c r="B24" s="74"/>
      <c r="C24" s="75"/>
      <c r="D24" s="26"/>
      <c r="E24" s="55"/>
      <c r="F24" s="52"/>
      <c r="G24" s="26"/>
      <c r="H24" s="26"/>
      <c r="I24" s="55"/>
      <c r="J24" s="71"/>
      <c r="K24" s="72"/>
    </row>
    <row r="25" spans="1:11" s="15" customFormat="1" ht="19.5" customHeight="1" x14ac:dyDescent="0.25">
      <c r="A25" s="73"/>
      <c r="B25" s="74"/>
      <c r="C25" s="75"/>
      <c r="D25" s="26"/>
      <c r="E25" s="55"/>
      <c r="F25" s="52"/>
      <c r="G25" s="26"/>
      <c r="H25" s="26"/>
      <c r="I25" s="55"/>
      <c r="J25" s="71"/>
      <c r="K25" s="72"/>
    </row>
    <row r="26" spans="1:11" s="15" customFormat="1" ht="19.5" customHeight="1" x14ac:dyDescent="0.25">
      <c r="A26" s="73"/>
      <c r="B26" s="74"/>
      <c r="C26" s="75"/>
      <c r="D26" s="26"/>
      <c r="E26" s="55"/>
      <c r="F26" s="52"/>
      <c r="G26" s="26"/>
      <c r="H26" s="26"/>
      <c r="I26" s="55"/>
      <c r="J26" s="71"/>
      <c r="K26" s="72"/>
    </row>
    <row r="27" spans="1:11" s="15" customFormat="1" ht="19.5" customHeight="1" x14ac:dyDescent="0.25">
      <c r="A27" s="73"/>
      <c r="B27" s="69"/>
      <c r="C27" s="75"/>
      <c r="D27" s="26"/>
      <c r="E27" s="55"/>
      <c r="F27" s="52"/>
      <c r="G27" s="26"/>
      <c r="H27" s="26"/>
      <c r="I27" s="55"/>
      <c r="J27" s="71"/>
      <c r="K27" s="72"/>
    </row>
    <row r="28" spans="1:11" s="15" customFormat="1" ht="19.5" customHeight="1" x14ac:dyDescent="0.25">
      <c r="A28" s="73"/>
      <c r="B28" s="74"/>
      <c r="C28" s="75"/>
      <c r="D28" s="26"/>
      <c r="E28" s="55"/>
      <c r="F28" s="52"/>
      <c r="G28" s="26"/>
      <c r="H28" s="26"/>
      <c r="I28" s="55"/>
      <c r="J28" s="71"/>
      <c r="K28" s="72"/>
    </row>
    <row r="29" spans="1:11" s="15" customFormat="1" ht="19.5" customHeight="1" x14ac:dyDescent="0.25">
      <c r="A29" s="68"/>
      <c r="B29" s="69"/>
      <c r="C29" s="70"/>
      <c r="D29" s="26"/>
      <c r="E29" s="55"/>
      <c r="F29" s="52"/>
      <c r="G29" s="26"/>
      <c r="H29" s="26"/>
      <c r="I29" s="55"/>
      <c r="J29" s="71"/>
      <c r="K29" s="72"/>
    </row>
    <row r="30" spans="1:11" s="15" customFormat="1" ht="19.5" customHeight="1" x14ac:dyDescent="0.25">
      <c r="A30" s="73"/>
      <c r="B30" s="74"/>
      <c r="C30" s="75"/>
      <c r="D30" s="26"/>
      <c r="E30" s="55"/>
      <c r="F30" s="52"/>
      <c r="G30" s="26"/>
      <c r="H30" s="26"/>
      <c r="I30" s="55"/>
      <c r="J30" s="71"/>
      <c r="K30" s="72"/>
    </row>
    <row r="31" spans="1:11" s="15" customFormat="1" ht="19.5" customHeight="1" x14ac:dyDescent="0.25">
      <c r="A31" s="73"/>
      <c r="B31" s="74"/>
      <c r="C31" s="70"/>
      <c r="D31" s="26"/>
      <c r="E31" s="55"/>
      <c r="F31" s="52"/>
      <c r="G31" s="26"/>
      <c r="H31" s="26"/>
      <c r="I31" s="55"/>
      <c r="J31" s="71"/>
      <c r="K31" s="72"/>
    </row>
    <row r="32" spans="1:11" s="15" customFormat="1" ht="19.5" customHeight="1" x14ac:dyDescent="0.25">
      <c r="A32" s="73"/>
      <c r="B32" s="76"/>
      <c r="C32" s="70"/>
      <c r="D32" s="26"/>
      <c r="E32" s="55"/>
      <c r="F32" s="52"/>
      <c r="G32" s="26"/>
      <c r="H32" s="26"/>
      <c r="I32" s="55"/>
      <c r="J32" s="71"/>
      <c r="K32" s="72"/>
    </row>
    <row r="33" spans="1:14" s="15" customFormat="1" ht="19.5" customHeight="1" x14ac:dyDescent="0.25">
      <c r="A33" s="73"/>
      <c r="B33" s="74"/>
      <c r="C33" s="75"/>
      <c r="D33" s="26"/>
      <c r="E33" s="55"/>
      <c r="F33" s="52"/>
      <c r="G33" s="26"/>
      <c r="H33" s="26"/>
      <c r="I33" s="55"/>
      <c r="J33" s="71"/>
      <c r="K33" s="72"/>
    </row>
    <row r="34" spans="1:14" s="15" customFormat="1" ht="19.5" customHeight="1" x14ac:dyDescent="0.25">
      <c r="A34" s="73"/>
      <c r="B34" s="74"/>
      <c r="C34" s="75"/>
      <c r="D34" s="26"/>
      <c r="E34" s="55"/>
      <c r="F34" s="52"/>
      <c r="G34" s="26"/>
      <c r="H34" s="26"/>
      <c r="I34" s="55"/>
      <c r="J34" s="71"/>
      <c r="K34" s="72"/>
    </row>
    <row r="35" spans="1:14" s="15" customFormat="1" ht="19.5" customHeight="1" x14ac:dyDescent="0.25">
      <c r="A35" s="73"/>
      <c r="B35" s="74"/>
      <c r="C35" s="75"/>
      <c r="D35" s="26"/>
      <c r="E35" s="55"/>
      <c r="F35" s="52"/>
      <c r="G35" s="26"/>
      <c r="H35" s="26"/>
      <c r="I35" s="55"/>
      <c r="J35" s="71"/>
      <c r="K35" s="72"/>
    </row>
    <row r="36" spans="1:14" s="15" customFormat="1" ht="19.5" customHeight="1" x14ac:dyDescent="0.25">
      <c r="A36" s="73"/>
      <c r="B36" s="74"/>
      <c r="C36" s="75"/>
      <c r="D36" s="26"/>
      <c r="E36" s="55"/>
      <c r="F36" s="52"/>
      <c r="G36" s="26"/>
      <c r="H36" s="26"/>
      <c r="I36" s="55"/>
      <c r="J36" s="71"/>
      <c r="K36" s="72"/>
    </row>
    <row r="37" spans="1:14" s="15" customFormat="1" ht="19.5" customHeight="1" x14ac:dyDescent="0.25">
      <c r="A37" s="73"/>
      <c r="B37" s="74"/>
      <c r="C37" s="75"/>
      <c r="D37" s="26"/>
      <c r="E37" s="55"/>
      <c r="F37" s="52"/>
      <c r="G37" s="26"/>
      <c r="H37" s="26"/>
      <c r="I37" s="55"/>
      <c r="J37" s="71"/>
      <c r="K37" s="72"/>
    </row>
    <row r="38" spans="1:14" s="15" customFormat="1" ht="19.5" customHeight="1" thickBot="1" x14ac:dyDescent="0.3">
      <c r="A38" s="73"/>
      <c r="B38" s="74"/>
      <c r="C38" s="75"/>
      <c r="D38" s="26"/>
      <c r="E38" s="55"/>
      <c r="F38" s="52"/>
      <c r="G38" s="26"/>
      <c r="H38" s="26"/>
      <c r="I38" s="55"/>
      <c r="J38" s="71"/>
      <c r="K38" s="72"/>
    </row>
    <row r="39" spans="1:14" s="15" customFormat="1" ht="19.5" customHeight="1" x14ac:dyDescent="0.25">
      <c r="A39" s="143" t="s">
        <v>26</v>
      </c>
      <c r="B39" s="144"/>
      <c r="C39" s="145"/>
      <c r="D39" s="30" t="e">
        <f t="shared" ref="D39:K39" si="0">AVERAGE(D9:D38)</f>
        <v>#DIV/0!</v>
      </c>
      <c r="E39" s="58" t="e">
        <f t="shared" si="0"/>
        <v>#DIV/0!</v>
      </c>
      <c r="F39" s="58" t="e">
        <f t="shared" si="0"/>
        <v>#DIV/0!</v>
      </c>
      <c r="G39" s="30" t="e">
        <f t="shared" si="0"/>
        <v>#DIV/0!</v>
      </c>
      <c r="H39" s="30" t="e">
        <f t="shared" si="0"/>
        <v>#DIV/0!</v>
      </c>
      <c r="I39" s="58" t="e">
        <f t="shared" si="0"/>
        <v>#DIV/0!</v>
      </c>
      <c r="J39" s="58" t="e">
        <f t="shared" si="0"/>
        <v>#DIV/0!</v>
      </c>
      <c r="K39" s="59" t="e">
        <f t="shared" si="0"/>
        <v>#DIV/0!</v>
      </c>
    </row>
    <row r="40" spans="1:14" s="15" customFormat="1" ht="19.5" customHeight="1" x14ac:dyDescent="0.25">
      <c r="A40" s="140" t="s">
        <v>31</v>
      </c>
      <c r="B40" s="141"/>
      <c r="C40" s="142"/>
      <c r="D40" s="33">
        <f t="shared" ref="D40:K40" si="1">MIN(D9:D38)</f>
        <v>0</v>
      </c>
      <c r="E40" s="61">
        <f t="shared" si="1"/>
        <v>0</v>
      </c>
      <c r="F40" s="61">
        <f t="shared" si="1"/>
        <v>0</v>
      </c>
      <c r="G40" s="33">
        <f t="shared" si="1"/>
        <v>0</v>
      </c>
      <c r="H40" s="33">
        <f t="shared" si="1"/>
        <v>0</v>
      </c>
      <c r="I40" s="61">
        <f t="shared" si="1"/>
        <v>0</v>
      </c>
      <c r="J40" s="61">
        <f t="shared" si="1"/>
        <v>0</v>
      </c>
      <c r="K40" s="62">
        <f t="shared" si="1"/>
        <v>0</v>
      </c>
    </row>
    <row r="41" spans="1:14" s="15" customFormat="1" ht="19.5" customHeight="1" thickBot="1" x14ac:dyDescent="0.3">
      <c r="A41" s="137" t="s">
        <v>32</v>
      </c>
      <c r="B41" s="138"/>
      <c r="C41" s="139"/>
      <c r="D41" s="79">
        <f t="shared" ref="D41:K41" si="2">MAX(D9:D38)</f>
        <v>0</v>
      </c>
      <c r="E41" s="80">
        <f t="shared" si="2"/>
        <v>0</v>
      </c>
      <c r="F41" s="80">
        <f t="shared" si="2"/>
        <v>0</v>
      </c>
      <c r="G41" s="79">
        <f t="shared" si="2"/>
        <v>0</v>
      </c>
      <c r="H41" s="79">
        <f t="shared" si="2"/>
        <v>0</v>
      </c>
      <c r="I41" s="80">
        <f t="shared" si="2"/>
        <v>0</v>
      </c>
      <c r="J41" s="80">
        <f t="shared" si="2"/>
        <v>0</v>
      </c>
      <c r="K41" s="81">
        <f t="shared" si="2"/>
        <v>0</v>
      </c>
      <c r="L41" s="18"/>
      <c r="M41" s="18"/>
      <c r="N41" s="18"/>
    </row>
    <row r="42" spans="1:14" s="15" customFormat="1" ht="16.5" customHeight="1" x14ac:dyDescent="0.25">
      <c r="A42" s="38" t="s">
        <v>20</v>
      </c>
      <c r="B42" s="147"/>
      <c r="C42" s="147"/>
      <c r="D42" s="38" t="s">
        <v>22</v>
      </c>
      <c r="F42" s="39"/>
      <c r="G42" s="40"/>
      <c r="H42" s="2"/>
      <c r="I42" s="2" t="s">
        <v>23</v>
      </c>
      <c r="J42" s="41"/>
      <c r="K42" s="42" t="s">
        <v>24</v>
      </c>
    </row>
    <row r="43" spans="1:14" s="15" customFormat="1" ht="16.5" customHeight="1" x14ac:dyDescent="0.25">
      <c r="A43" s="43"/>
      <c r="B43" s="146"/>
      <c r="C43" s="146"/>
      <c r="D43" s="38"/>
      <c r="F43" s="39"/>
      <c r="G43" s="40"/>
      <c r="H43" s="2"/>
      <c r="I43" s="12"/>
      <c r="J43" s="17"/>
    </row>
    <row r="44" spans="1:14" s="15" customFormat="1" ht="16.5" customHeight="1" x14ac:dyDescent="0.25">
      <c r="A44" s="129" t="s">
        <v>21</v>
      </c>
      <c r="B44" s="129"/>
      <c r="C44" s="129"/>
      <c r="D44" s="38"/>
      <c r="E44" s="38"/>
      <c r="F44" s="40" t="s">
        <v>134</v>
      </c>
      <c r="G44" s="39">
        <v>461303600</v>
      </c>
      <c r="H44" s="38"/>
    </row>
    <row r="45" spans="1:14" s="15" customFormat="1" ht="16.5" customHeight="1" x14ac:dyDescent="0.25">
      <c r="A45" s="129" t="s">
        <v>130</v>
      </c>
      <c r="B45" s="129"/>
      <c r="C45" s="129"/>
      <c r="D45" s="38"/>
      <c r="E45" s="38"/>
      <c r="F45" s="38"/>
      <c r="I45" s="38"/>
      <c r="J45" s="44"/>
      <c r="K45" s="44" t="s">
        <v>35</v>
      </c>
    </row>
    <row r="46" spans="1:14" x14ac:dyDescent="0.25">
      <c r="A46" s="45"/>
      <c r="B46" s="45"/>
      <c r="C46" s="45"/>
      <c r="D46" s="45"/>
      <c r="E46" s="45"/>
      <c r="F46" s="45"/>
      <c r="G46" s="45"/>
      <c r="H46" s="45"/>
      <c r="I46" s="46"/>
      <c r="J46" s="46"/>
      <c r="K46" s="46"/>
    </row>
    <row r="49" spans="11:11" x14ac:dyDescent="0.25">
      <c r="K49" s="12"/>
    </row>
  </sheetData>
  <dataConsolidate/>
  <mergeCells count="25">
    <mergeCell ref="A1:J1"/>
    <mergeCell ref="A2:J2"/>
    <mergeCell ref="A4:B4"/>
    <mergeCell ref="G7:G8"/>
    <mergeCell ref="H7:H8"/>
    <mergeCell ref="E7:E8"/>
    <mergeCell ref="F7:F8"/>
    <mergeCell ref="G6:H6"/>
    <mergeCell ref="A5:B5"/>
    <mergeCell ref="C4:D4"/>
    <mergeCell ref="C5:D5"/>
    <mergeCell ref="I6:K6"/>
    <mergeCell ref="I7:K7"/>
    <mergeCell ref="J4:K4"/>
    <mergeCell ref="J5:K5"/>
    <mergeCell ref="A44:C44"/>
    <mergeCell ref="A45:C45"/>
    <mergeCell ref="A6:C6"/>
    <mergeCell ref="A7:C8"/>
    <mergeCell ref="D7:D8"/>
    <mergeCell ref="A41:C41"/>
    <mergeCell ref="A40:C40"/>
    <mergeCell ref="A39:C39"/>
    <mergeCell ref="B43:C43"/>
    <mergeCell ref="B42:C42"/>
  </mergeCells>
  <conditionalFormatting sqref="D9:D41">
    <cfRule type="cellIs" dxfId="17" priority="19" operator="notBetween">
      <formula>17</formula>
      <formula>20</formula>
    </cfRule>
  </conditionalFormatting>
  <conditionalFormatting sqref="E9:E41">
    <cfRule type="cellIs" dxfId="16" priority="16" operator="notBetween">
      <formula>18</formula>
      <formula>28</formula>
    </cfRule>
  </conditionalFormatting>
  <conditionalFormatting sqref="F9:F41">
    <cfRule type="cellIs" dxfId="15" priority="13" operator="notBetween">
      <formula>360</formula>
      <formula>400</formula>
    </cfRule>
  </conditionalFormatting>
  <conditionalFormatting sqref="G9:G41">
    <cfRule type="cellIs" dxfId="14" priority="11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7" operator="notBetween">
      <formula>900</formula>
      <formula>1200</formula>
    </cfRule>
  </conditionalFormatting>
  <conditionalFormatting sqref="J9:J41">
    <cfRule type="cellIs" dxfId="11" priority="6" operator="lessThan">
      <formula>350</formula>
    </cfRule>
  </conditionalFormatting>
  <conditionalFormatting sqref="K9:K41">
    <cfRule type="cellIs" dxfId="10" priority="5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C17" sqref="C17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48" t="s">
        <v>16</v>
      </c>
      <c r="B1" s="148"/>
      <c r="C1" s="148"/>
      <c r="D1" s="148"/>
      <c r="E1" s="148"/>
      <c r="F1" s="148"/>
      <c r="G1" s="148"/>
      <c r="H1" s="148"/>
      <c r="I1" s="148"/>
      <c r="J1" s="148"/>
      <c r="K1" s="14" t="s">
        <v>27</v>
      </c>
    </row>
    <row r="2" spans="1:11" s="15" customFormat="1" ht="15.75" customHeight="1" x14ac:dyDescent="0.25">
      <c r="A2" s="148" t="s">
        <v>19</v>
      </c>
      <c r="B2" s="148"/>
      <c r="C2" s="148"/>
      <c r="D2" s="148"/>
      <c r="E2" s="148"/>
      <c r="F2" s="148"/>
      <c r="G2" s="148"/>
      <c r="H2" s="148"/>
      <c r="I2" s="148"/>
      <c r="J2" s="148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49" t="s">
        <v>17</v>
      </c>
      <c r="B4" s="150">
        <f>Page1!B4:D4</f>
        <v>0</v>
      </c>
      <c r="C4" s="205">
        <f>Page1!C4</f>
        <v>0</v>
      </c>
      <c r="D4" s="206"/>
      <c r="E4" s="3" t="s">
        <v>4</v>
      </c>
      <c r="F4" s="85">
        <f>Page1!F4</f>
        <v>0</v>
      </c>
      <c r="G4" s="3" t="s">
        <v>5</v>
      </c>
      <c r="H4" s="10">
        <f>Page1!H4</f>
        <v>0</v>
      </c>
      <c r="I4" s="4" t="s">
        <v>6</v>
      </c>
      <c r="J4" s="197">
        <f>Page1!J4</f>
        <v>0</v>
      </c>
      <c r="K4" s="198"/>
    </row>
    <row r="5" spans="1:11" s="15" customFormat="1" ht="23.25" customHeight="1" thickBot="1" x14ac:dyDescent="0.3">
      <c r="A5" s="155" t="s">
        <v>18</v>
      </c>
      <c r="B5" s="156">
        <f>Page1!B5:D5</f>
        <v>0</v>
      </c>
      <c r="C5" s="159">
        <f>Page1!C5</f>
        <v>0</v>
      </c>
      <c r="D5" s="160"/>
      <c r="E5" s="5" t="s">
        <v>7</v>
      </c>
      <c r="F5" s="84">
        <f>Page1!F5</f>
        <v>0</v>
      </c>
      <c r="G5" s="5" t="s">
        <v>8</v>
      </c>
      <c r="H5" s="1">
        <f>Page1!H5</f>
        <v>0</v>
      </c>
      <c r="I5" s="6" t="s">
        <v>9</v>
      </c>
      <c r="J5" s="199">
        <f>Page1!J5</f>
        <v>0</v>
      </c>
      <c r="K5" s="200"/>
    </row>
    <row r="6" spans="1:11" s="15" customFormat="1" ht="15.75" customHeight="1" thickBot="1" x14ac:dyDescent="0.3">
      <c r="A6" s="209" t="s">
        <v>133</v>
      </c>
      <c r="B6" s="210"/>
      <c r="C6" s="210"/>
      <c r="D6" s="192"/>
      <c r="E6" s="192"/>
      <c r="F6" s="191"/>
      <c r="G6" s="190"/>
      <c r="H6" s="191"/>
      <c r="I6" s="188"/>
      <c r="J6" s="189"/>
      <c r="K6" s="20"/>
    </row>
    <row r="7" spans="1:11" x14ac:dyDescent="0.25">
      <c r="A7" s="207" t="s">
        <v>0</v>
      </c>
      <c r="B7" s="192"/>
      <c r="C7" s="191"/>
      <c r="D7" s="224" t="s">
        <v>2</v>
      </c>
      <c r="E7" s="192"/>
      <c r="F7" s="206"/>
      <c r="G7" s="190" t="s">
        <v>42</v>
      </c>
      <c r="H7" s="192"/>
      <c r="I7" s="190" t="s">
        <v>132</v>
      </c>
      <c r="J7" s="191"/>
      <c r="K7" s="202" t="s">
        <v>125</v>
      </c>
    </row>
    <row r="8" spans="1:11" x14ac:dyDescent="0.25">
      <c r="A8" s="208"/>
      <c r="B8" s="298"/>
      <c r="C8" s="201"/>
      <c r="D8" s="298" t="s">
        <v>13</v>
      </c>
      <c r="E8" s="217" t="s">
        <v>14</v>
      </c>
      <c r="F8" s="201" t="s">
        <v>12</v>
      </c>
      <c r="G8" s="193"/>
      <c r="H8" s="194"/>
      <c r="I8" s="193" t="s">
        <v>131</v>
      </c>
      <c r="J8" s="201"/>
      <c r="K8" s="203"/>
    </row>
    <row r="9" spans="1:11" ht="15" customHeight="1" x14ac:dyDescent="0.25">
      <c r="A9" s="208"/>
      <c r="B9" s="298"/>
      <c r="C9" s="201"/>
      <c r="D9" s="298"/>
      <c r="E9" s="151"/>
      <c r="F9" s="201"/>
      <c r="G9" s="193"/>
      <c r="H9" s="194"/>
      <c r="I9" s="47" t="s">
        <v>127</v>
      </c>
      <c r="J9" s="48">
        <v>250</v>
      </c>
      <c r="K9" s="203"/>
    </row>
    <row r="10" spans="1:11" ht="18.75" customHeight="1" thickBot="1" x14ac:dyDescent="0.3">
      <c r="A10" s="208"/>
      <c r="B10" s="298"/>
      <c r="C10" s="201"/>
      <c r="D10" s="196"/>
      <c r="E10" s="152"/>
      <c r="F10" s="218"/>
      <c r="G10" s="195"/>
      <c r="H10" s="196"/>
      <c r="I10" s="49" t="s">
        <v>128</v>
      </c>
      <c r="J10" s="50">
        <v>253</v>
      </c>
      <c r="K10" s="204"/>
    </row>
    <row r="11" spans="1:11" s="15" customFormat="1" ht="19.5" customHeight="1" x14ac:dyDescent="0.25">
      <c r="A11" s="86">
        <f>Page1!A9</f>
        <v>0</v>
      </c>
      <c r="B11" s="87">
        <f>Page1!B9</f>
        <v>0</v>
      </c>
      <c r="C11" s="299">
        <f>Page1!C9</f>
        <v>0</v>
      </c>
      <c r="D11" s="51"/>
      <c r="E11" s="52"/>
      <c r="F11" s="52"/>
      <c r="G11" s="172"/>
      <c r="H11" s="172"/>
      <c r="I11" s="184"/>
      <c r="J11" s="185"/>
      <c r="K11" s="53"/>
    </row>
    <row r="12" spans="1:11" s="15" customFormat="1" ht="19.5" customHeight="1" x14ac:dyDescent="0.25">
      <c r="A12" s="88">
        <f>Page1!A10</f>
        <v>0</v>
      </c>
      <c r="B12" s="89">
        <f>Page1!B10</f>
        <v>0</v>
      </c>
      <c r="C12" s="300">
        <f>Page1!C10</f>
        <v>0</v>
      </c>
      <c r="D12" s="54"/>
      <c r="E12" s="55"/>
      <c r="F12" s="55"/>
      <c r="G12" s="173"/>
      <c r="H12" s="173"/>
      <c r="I12" s="170"/>
      <c r="J12" s="171"/>
      <c r="K12" s="56"/>
    </row>
    <row r="13" spans="1:11" s="15" customFormat="1" ht="19.5" customHeight="1" x14ac:dyDescent="0.25">
      <c r="A13" s="88">
        <f>Page1!A11</f>
        <v>0</v>
      </c>
      <c r="B13" s="89">
        <f>Page1!B11</f>
        <v>0</v>
      </c>
      <c r="C13" s="301">
        <f>Page1!C11</f>
        <v>0</v>
      </c>
      <c r="D13" s="54"/>
      <c r="E13" s="55"/>
      <c r="F13" s="55"/>
      <c r="G13" s="173"/>
      <c r="H13" s="173"/>
      <c r="I13" s="170"/>
      <c r="J13" s="171"/>
      <c r="K13" s="56"/>
    </row>
    <row r="14" spans="1:11" s="15" customFormat="1" ht="19.5" customHeight="1" x14ac:dyDescent="0.25">
      <c r="A14" s="88">
        <f>Page1!A12</f>
        <v>0</v>
      </c>
      <c r="B14" s="90">
        <f>Page1!B12</f>
        <v>0</v>
      </c>
      <c r="C14" s="301">
        <f>Page1!C12</f>
        <v>0</v>
      </c>
      <c r="D14" s="54"/>
      <c r="E14" s="55"/>
      <c r="F14" s="55"/>
      <c r="G14" s="173"/>
      <c r="H14" s="173"/>
      <c r="I14" s="170"/>
      <c r="J14" s="171"/>
      <c r="K14" s="56"/>
    </row>
    <row r="15" spans="1:11" s="15" customFormat="1" ht="19.5" customHeight="1" x14ac:dyDescent="0.25">
      <c r="A15" s="88">
        <f>Page1!A13</f>
        <v>0</v>
      </c>
      <c r="B15" s="89">
        <f>Page1!B13</f>
        <v>0</v>
      </c>
      <c r="C15" s="300">
        <f>Page1!C13</f>
        <v>0</v>
      </c>
      <c r="D15" s="54"/>
      <c r="E15" s="55"/>
      <c r="F15" s="55"/>
      <c r="G15" s="173"/>
      <c r="H15" s="173"/>
      <c r="I15" s="170"/>
      <c r="J15" s="171"/>
      <c r="K15" s="56"/>
    </row>
    <row r="16" spans="1:11" s="15" customFormat="1" ht="19.5" customHeight="1" x14ac:dyDescent="0.25">
      <c r="A16" s="88">
        <f>Page1!A14</f>
        <v>0</v>
      </c>
      <c r="B16" s="89">
        <f>Page1!B14</f>
        <v>0</v>
      </c>
      <c r="C16" s="300">
        <f>Page1!C14</f>
        <v>0</v>
      </c>
      <c r="D16" s="51"/>
      <c r="E16" s="52"/>
      <c r="F16" s="52"/>
      <c r="G16" s="172"/>
      <c r="H16" s="172"/>
      <c r="I16" s="170"/>
      <c r="J16" s="171"/>
      <c r="K16" s="53"/>
    </row>
    <row r="17" spans="1:11" s="15" customFormat="1" ht="19.5" customHeight="1" x14ac:dyDescent="0.25">
      <c r="A17" s="88">
        <f>Page1!A15</f>
        <v>0</v>
      </c>
      <c r="B17" s="89">
        <f>Page1!B15</f>
        <v>0</v>
      </c>
      <c r="C17" s="300">
        <f>Page1!C15</f>
        <v>0</v>
      </c>
      <c r="D17" s="54"/>
      <c r="E17" s="55"/>
      <c r="F17" s="55"/>
      <c r="G17" s="173"/>
      <c r="H17" s="173"/>
      <c r="I17" s="170"/>
      <c r="J17" s="171"/>
      <c r="K17" s="56"/>
    </row>
    <row r="18" spans="1:11" s="15" customFormat="1" ht="19.5" customHeight="1" x14ac:dyDescent="0.25">
      <c r="A18" s="88">
        <f>Page1!A16</f>
        <v>0</v>
      </c>
      <c r="B18" s="89">
        <f>Page1!B16</f>
        <v>0</v>
      </c>
      <c r="C18" s="300">
        <f>Page1!C16</f>
        <v>0</v>
      </c>
      <c r="D18" s="54"/>
      <c r="E18" s="55"/>
      <c r="F18" s="55"/>
      <c r="G18" s="173"/>
      <c r="H18" s="173"/>
      <c r="I18" s="170"/>
      <c r="J18" s="171"/>
      <c r="K18" s="56"/>
    </row>
    <row r="19" spans="1:11" s="15" customFormat="1" ht="19.5" customHeight="1" x14ac:dyDescent="0.25">
      <c r="A19" s="88">
        <f>Page1!A17</f>
        <v>0</v>
      </c>
      <c r="B19" s="91">
        <f>Page1!B17</f>
        <v>0</v>
      </c>
      <c r="C19" s="300">
        <f>Page1!C17</f>
        <v>0</v>
      </c>
      <c r="D19" s="54"/>
      <c r="E19" s="55"/>
      <c r="F19" s="55"/>
      <c r="G19" s="173"/>
      <c r="H19" s="173"/>
      <c r="I19" s="170"/>
      <c r="J19" s="171"/>
      <c r="K19" s="56"/>
    </row>
    <row r="20" spans="1:11" s="15" customFormat="1" ht="19.5" customHeight="1" x14ac:dyDescent="0.25">
      <c r="A20" s="88">
        <f>Page1!A18</f>
        <v>0</v>
      </c>
      <c r="B20" s="89">
        <f>Page1!B18</f>
        <v>0</v>
      </c>
      <c r="C20" s="300">
        <f>Page1!C18</f>
        <v>0</v>
      </c>
      <c r="D20" s="54"/>
      <c r="E20" s="55"/>
      <c r="F20" s="55"/>
      <c r="G20" s="168"/>
      <c r="H20" s="169"/>
      <c r="I20" s="170"/>
      <c r="J20" s="171"/>
      <c r="K20" s="56"/>
    </row>
    <row r="21" spans="1:11" s="15" customFormat="1" ht="19.5" customHeight="1" x14ac:dyDescent="0.25">
      <c r="A21" s="92">
        <f>Page1!A19</f>
        <v>0</v>
      </c>
      <c r="B21" s="91">
        <f>Page1!B19</f>
        <v>0</v>
      </c>
      <c r="C21" s="301">
        <f>Page1!C19</f>
        <v>0</v>
      </c>
      <c r="D21" s="54"/>
      <c r="E21" s="55"/>
      <c r="F21" s="55"/>
      <c r="G21" s="168"/>
      <c r="H21" s="169"/>
      <c r="I21" s="170"/>
      <c r="J21" s="171"/>
      <c r="K21" s="56"/>
    </row>
    <row r="22" spans="1:11" s="15" customFormat="1" ht="19.5" customHeight="1" x14ac:dyDescent="0.25">
      <c r="A22" s="88">
        <f>Page1!A20</f>
        <v>0</v>
      </c>
      <c r="B22" s="89">
        <f>Page1!B20</f>
        <v>0</v>
      </c>
      <c r="C22" s="300">
        <f>Page1!C20</f>
        <v>0</v>
      </c>
      <c r="D22" s="54"/>
      <c r="E22" s="55"/>
      <c r="F22" s="55"/>
      <c r="G22" s="168"/>
      <c r="H22" s="169"/>
      <c r="I22" s="170"/>
      <c r="J22" s="171"/>
      <c r="K22" s="56"/>
    </row>
    <row r="23" spans="1:11" s="15" customFormat="1" ht="19.5" customHeight="1" x14ac:dyDescent="0.25">
      <c r="A23" s="88">
        <f>Page1!A21</f>
        <v>0</v>
      </c>
      <c r="B23" s="89">
        <f>Page1!B21</f>
        <v>0</v>
      </c>
      <c r="C23" s="301">
        <f>Page1!C21</f>
        <v>0</v>
      </c>
      <c r="D23" s="54"/>
      <c r="E23" s="55"/>
      <c r="F23" s="55"/>
      <c r="G23" s="168"/>
      <c r="H23" s="169"/>
      <c r="I23" s="170"/>
      <c r="J23" s="171"/>
      <c r="K23" s="56"/>
    </row>
    <row r="24" spans="1:11" s="15" customFormat="1" ht="19.5" customHeight="1" x14ac:dyDescent="0.25">
      <c r="A24" s="88">
        <f>Page1!A22</f>
        <v>0</v>
      </c>
      <c r="B24" s="90">
        <f>Page1!B22</f>
        <v>0</v>
      </c>
      <c r="C24" s="301">
        <f>Page1!C22</f>
        <v>0</v>
      </c>
      <c r="D24" s="54"/>
      <c r="E24" s="55"/>
      <c r="F24" s="55"/>
      <c r="G24" s="168"/>
      <c r="H24" s="169"/>
      <c r="I24" s="170"/>
      <c r="J24" s="171"/>
      <c r="K24" s="56"/>
    </row>
    <row r="25" spans="1:11" s="15" customFormat="1" ht="19.5" customHeight="1" x14ac:dyDescent="0.25">
      <c r="A25" s="88">
        <f>Page1!A23</f>
        <v>0</v>
      </c>
      <c r="B25" s="89">
        <f>Page1!B23</f>
        <v>0</v>
      </c>
      <c r="C25" s="300">
        <f>Page1!C23</f>
        <v>0</v>
      </c>
      <c r="D25" s="54"/>
      <c r="E25" s="55"/>
      <c r="F25" s="55"/>
      <c r="G25" s="168"/>
      <c r="H25" s="169"/>
      <c r="I25" s="170"/>
      <c r="J25" s="171"/>
      <c r="K25" s="56"/>
    </row>
    <row r="26" spans="1:11" s="15" customFormat="1" ht="19.5" customHeight="1" x14ac:dyDescent="0.25">
      <c r="A26" s="88">
        <f>Page1!A24</f>
        <v>0</v>
      </c>
      <c r="B26" s="89">
        <f>Page1!B24</f>
        <v>0</v>
      </c>
      <c r="C26" s="300">
        <f>Page1!C24</f>
        <v>0</v>
      </c>
      <c r="D26" s="54"/>
      <c r="E26" s="55"/>
      <c r="F26" s="55"/>
      <c r="G26" s="168"/>
      <c r="H26" s="169"/>
      <c r="I26" s="170"/>
      <c r="J26" s="171"/>
      <c r="K26" s="56"/>
    </row>
    <row r="27" spans="1:11" s="15" customFormat="1" ht="19.5" customHeight="1" x14ac:dyDescent="0.25">
      <c r="A27" s="88">
        <f>Page1!A25</f>
        <v>0</v>
      </c>
      <c r="B27" s="89">
        <f>Page1!B25</f>
        <v>0</v>
      </c>
      <c r="C27" s="300">
        <f>Page1!C25</f>
        <v>0</v>
      </c>
      <c r="D27" s="54"/>
      <c r="E27" s="55"/>
      <c r="F27" s="55"/>
      <c r="G27" s="168"/>
      <c r="H27" s="169"/>
      <c r="I27" s="170"/>
      <c r="J27" s="171"/>
      <c r="K27" s="56"/>
    </row>
    <row r="28" spans="1:11" s="15" customFormat="1" ht="19.5" customHeight="1" x14ac:dyDescent="0.25">
      <c r="A28" s="88">
        <f>Page1!A26</f>
        <v>0</v>
      </c>
      <c r="B28" s="89">
        <f>Page1!B26</f>
        <v>0</v>
      </c>
      <c r="C28" s="300">
        <f>Page1!C26</f>
        <v>0</v>
      </c>
      <c r="D28" s="54"/>
      <c r="E28" s="55"/>
      <c r="F28" s="55"/>
      <c r="G28" s="168"/>
      <c r="H28" s="169"/>
      <c r="I28" s="170"/>
      <c r="J28" s="171"/>
      <c r="K28" s="56"/>
    </row>
    <row r="29" spans="1:11" s="15" customFormat="1" ht="19.5" customHeight="1" x14ac:dyDescent="0.25">
      <c r="A29" s="88">
        <f>Page1!A27</f>
        <v>0</v>
      </c>
      <c r="B29" s="91">
        <f>Page1!B27</f>
        <v>0</v>
      </c>
      <c r="C29" s="300">
        <f>Page1!C27</f>
        <v>0</v>
      </c>
      <c r="D29" s="54"/>
      <c r="E29" s="55"/>
      <c r="F29" s="55"/>
      <c r="G29" s="168"/>
      <c r="H29" s="169"/>
      <c r="I29" s="170"/>
      <c r="J29" s="171"/>
      <c r="K29" s="56"/>
    </row>
    <row r="30" spans="1:11" s="15" customFormat="1" ht="19.5" customHeight="1" x14ac:dyDescent="0.25">
      <c r="A30" s="88">
        <f>Page1!A28</f>
        <v>0</v>
      </c>
      <c r="B30" s="89">
        <f>Page1!B28</f>
        <v>0</v>
      </c>
      <c r="C30" s="300">
        <f>Page1!C28</f>
        <v>0</v>
      </c>
      <c r="D30" s="54"/>
      <c r="E30" s="55"/>
      <c r="F30" s="55"/>
      <c r="G30" s="168"/>
      <c r="H30" s="169"/>
      <c r="I30" s="170"/>
      <c r="J30" s="171"/>
      <c r="K30" s="56"/>
    </row>
    <row r="31" spans="1:11" s="15" customFormat="1" ht="19.5" customHeight="1" x14ac:dyDescent="0.25">
      <c r="A31" s="92">
        <f>Page1!A29</f>
        <v>0</v>
      </c>
      <c r="B31" s="91">
        <f>Page1!B29</f>
        <v>0</v>
      </c>
      <c r="C31" s="301">
        <f>Page1!C29</f>
        <v>0</v>
      </c>
      <c r="D31" s="54"/>
      <c r="E31" s="55"/>
      <c r="F31" s="55"/>
      <c r="G31" s="168"/>
      <c r="H31" s="169"/>
      <c r="I31" s="170"/>
      <c r="J31" s="171"/>
      <c r="K31" s="56"/>
    </row>
    <row r="32" spans="1:11" s="15" customFormat="1" ht="19.5" customHeight="1" x14ac:dyDescent="0.25">
      <c r="A32" s="88">
        <f>Page1!A30</f>
        <v>0</v>
      </c>
      <c r="B32" s="89">
        <f>Page1!B30</f>
        <v>0</v>
      </c>
      <c r="C32" s="300">
        <f>Page1!C30</f>
        <v>0</v>
      </c>
      <c r="D32" s="54"/>
      <c r="E32" s="55"/>
      <c r="F32" s="55"/>
      <c r="G32" s="168"/>
      <c r="H32" s="169"/>
      <c r="I32" s="170"/>
      <c r="J32" s="171"/>
      <c r="K32" s="56"/>
    </row>
    <row r="33" spans="1:11" s="15" customFormat="1" ht="19.5" customHeight="1" x14ac:dyDescent="0.25">
      <c r="A33" s="88">
        <f>Page1!A31</f>
        <v>0</v>
      </c>
      <c r="B33" s="89">
        <f>Page1!B31</f>
        <v>0</v>
      </c>
      <c r="C33" s="301">
        <f>Page1!C31</f>
        <v>0</v>
      </c>
      <c r="D33" s="54"/>
      <c r="E33" s="55"/>
      <c r="F33" s="55"/>
      <c r="G33" s="168"/>
      <c r="H33" s="169"/>
      <c r="I33" s="170"/>
      <c r="J33" s="171"/>
      <c r="K33" s="56"/>
    </row>
    <row r="34" spans="1:11" s="15" customFormat="1" ht="19.5" customHeight="1" x14ac:dyDescent="0.25">
      <c r="A34" s="88">
        <f>Page1!A32</f>
        <v>0</v>
      </c>
      <c r="B34" s="90">
        <f>Page1!B32</f>
        <v>0</v>
      </c>
      <c r="C34" s="301">
        <f>Page1!C32</f>
        <v>0</v>
      </c>
      <c r="D34" s="54"/>
      <c r="E34" s="55"/>
      <c r="F34" s="55"/>
      <c r="G34" s="168"/>
      <c r="H34" s="169"/>
      <c r="I34" s="170"/>
      <c r="J34" s="171"/>
      <c r="K34" s="56"/>
    </row>
    <row r="35" spans="1:11" s="15" customFormat="1" ht="19.5" customHeight="1" x14ac:dyDescent="0.25">
      <c r="A35" s="88">
        <f>Page1!A33</f>
        <v>0</v>
      </c>
      <c r="B35" s="89">
        <f>Page1!B33</f>
        <v>0</v>
      </c>
      <c r="C35" s="300">
        <f>Page1!C33</f>
        <v>0</v>
      </c>
      <c r="D35" s="54"/>
      <c r="E35" s="55"/>
      <c r="F35" s="55"/>
      <c r="G35" s="168"/>
      <c r="H35" s="169"/>
      <c r="I35" s="170"/>
      <c r="J35" s="171"/>
      <c r="K35" s="56"/>
    </row>
    <row r="36" spans="1:11" s="15" customFormat="1" ht="19.5" customHeight="1" x14ac:dyDescent="0.25">
      <c r="A36" s="88">
        <f>Page1!A34</f>
        <v>0</v>
      </c>
      <c r="B36" s="89">
        <f>Page1!B34</f>
        <v>0</v>
      </c>
      <c r="C36" s="300">
        <f>Page1!C34</f>
        <v>0</v>
      </c>
      <c r="D36" s="54"/>
      <c r="E36" s="55"/>
      <c r="F36" s="55"/>
      <c r="G36" s="168"/>
      <c r="H36" s="169"/>
      <c r="I36" s="170"/>
      <c r="J36" s="171"/>
      <c r="K36" s="56"/>
    </row>
    <row r="37" spans="1:11" s="15" customFormat="1" ht="19.5" customHeight="1" x14ac:dyDescent="0.25">
      <c r="A37" s="88">
        <f>Page1!A35</f>
        <v>0</v>
      </c>
      <c r="B37" s="89">
        <f>Page1!B35</f>
        <v>0</v>
      </c>
      <c r="C37" s="300">
        <f>Page1!C35</f>
        <v>0</v>
      </c>
      <c r="D37" s="54"/>
      <c r="E37" s="55"/>
      <c r="F37" s="55"/>
      <c r="G37" s="168"/>
      <c r="H37" s="169"/>
      <c r="I37" s="170"/>
      <c r="J37" s="171"/>
      <c r="K37" s="56"/>
    </row>
    <row r="38" spans="1:11" s="15" customFormat="1" ht="19.5" customHeight="1" x14ac:dyDescent="0.25">
      <c r="A38" s="88">
        <f>Page1!A36</f>
        <v>0</v>
      </c>
      <c r="B38" s="89">
        <f>Page1!B36</f>
        <v>0</v>
      </c>
      <c r="C38" s="300">
        <f>Page1!C36</f>
        <v>0</v>
      </c>
      <c r="D38" s="54"/>
      <c r="E38" s="55"/>
      <c r="F38" s="55"/>
      <c r="G38" s="168"/>
      <c r="H38" s="169"/>
      <c r="I38" s="170"/>
      <c r="J38" s="171"/>
      <c r="K38" s="56"/>
    </row>
    <row r="39" spans="1:11" s="15" customFormat="1" ht="19.5" customHeight="1" x14ac:dyDescent="0.25">
      <c r="A39" s="88">
        <f>Page1!A37</f>
        <v>0</v>
      </c>
      <c r="B39" s="89">
        <f>Page1!B37</f>
        <v>0</v>
      </c>
      <c r="C39" s="300">
        <f>Page1!C37</f>
        <v>0</v>
      </c>
      <c r="D39" s="54"/>
      <c r="E39" s="55"/>
      <c r="F39" s="55"/>
      <c r="G39" s="168"/>
      <c r="H39" s="169"/>
      <c r="I39" s="170"/>
      <c r="J39" s="171"/>
      <c r="K39" s="56"/>
    </row>
    <row r="40" spans="1:11" s="15" customFormat="1" ht="19.5" customHeight="1" thickBot="1" x14ac:dyDescent="0.3">
      <c r="A40" s="93">
        <f>Page1!A38</f>
        <v>0</v>
      </c>
      <c r="B40" s="94">
        <f>Page1!B38</f>
        <v>0</v>
      </c>
      <c r="C40" s="302">
        <f>Page1!C38</f>
        <v>0</v>
      </c>
      <c r="D40" s="54"/>
      <c r="E40" s="55"/>
      <c r="F40" s="55"/>
      <c r="G40" s="173"/>
      <c r="H40" s="173"/>
      <c r="I40" s="170"/>
      <c r="J40" s="171"/>
      <c r="K40" s="56"/>
    </row>
    <row r="41" spans="1:11" s="15" customFormat="1" ht="19.5" customHeight="1" x14ac:dyDescent="0.25">
      <c r="A41" s="213" t="s">
        <v>26</v>
      </c>
      <c r="B41" s="214"/>
      <c r="C41" s="214"/>
      <c r="D41" s="57" t="e">
        <f>AVERAGE(D11:D40)</f>
        <v>#DIV/0!</v>
      </c>
      <c r="E41" s="58" t="e">
        <f>AVERAGE(E11:E40)</f>
        <v>#DIV/0!</v>
      </c>
      <c r="F41" s="58" t="e">
        <f>AVERAGE(F11:F40)</f>
        <v>#DIV/0!</v>
      </c>
      <c r="G41" s="176" t="e">
        <f>AVERAGE(G11:H40)</f>
        <v>#DIV/0!</v>
      </c>
      <c r="H41" s="177"/>
      <c r="I41" s="174" t="e">
        <f>AVERAGE(I11:J40)</f>
        <v>#DIV/0!</v>
      </c>
      <c r="J41" s="175"/>
      <c r="K41" s="59" t="e">
        <f>AVERAGE(K11:K40)</f>
        <v>#DIV/0!</v>
      </c>
    </row>
    <row r="42" spans="1:11" s="15" customFormat="1" ht="19.5" customHeight="1" x14ac:dyDescent="0.25">
      <c r="A42" s="215" t="s">
        <v>31</v>
      </c>
      <c r="B42" s="216"/>
      <c r="C42" s="216"/>
      <c r="D42" s="60">
        <f>MIN(D11:D40)</f>
        <v>0</v>
      </c>
      <c r="E42" s="61">
        <f>MIN(E11:E40)</f>
        <v>0</v>
      </c>
      <c r="F42" s="61">
        <f>MIN(F11:F40)</f>
        <v>0</v>
      </c>
      <c r="G42" s="182">
        <f>MIN(G11:H40)</f>
        <v>0</v>
      </c>
      <c r="H42" s="183"/>
      <c r="I42" s="186">
        <f>MIN(I11:J40)</f>
        <v>0</v>
      </c>
      <c r="J42" s="187"/>
      <c r="K42" s="62">
        <f>MIN(K11:K40)</f>
        <v>0</v>
      </c>
    </row>
    <row r="43" spans="1:11" ht="19.5" customHeight="1" thickBot="1" x14ac:dyDescent="0.3">
      <c r="A43" s="211" t="s">
        <v>32</v>
      </c>
      <c r="B43" s="212"/>
      <c r="C43" s="212"/>
      <c r="D43" s="63">
        <f>MAX(D11:D40)</f>
        <v>0</v>
      </c>
      <c r="E43" s="64">
        <f>MAX(E11:E40)</f>
        <v>0</v>
      </c>
      <c r="F43" s="64">
        <f>MAX(F11:F40)</f>
        <v>0</v>
      </c>
      <c r="G43" s="180">
        <f>MAX(G11:H40)</f>
        <v>0</v>
      </c>
      <c r="H43" s="181"/>
      <c r="I43" s="178">
        <f>MAX(I11:J40)</f>
        <v>0</v>
      </c>
      <c r="J43" s="179"/>
      <c r="K43" s="65">
        <f>MAX(K11:K40)</f>
        <v>0</v>
      </c>
    </row>
    <row r="44" spans="1:11" s="15" customFormat="1" ht="16.5" customHeight="1" x14ac:dyDescent="0.25">
      <c r="A44" s="38" t="s">
        <v>20</v>
      </c>
      <c r="B44" s="147"/>
      <c r="C44" s="147"/>
      <c r="D44" s="38" t="s">
        <v>22</v>
      </c>
      <c r="F44" s="39"/>
      <c r="G44" s="40"/>
      <c r="H44" s="2"/>
      <c r="I44" s="2" t="s">
        <v>23</v>
      </c>
      <c r="J44" s="41"/>
      <c r="K44" s="42" t="s">
        <v>24</v>
      </c>
    </row>
    <row r="45" spans="1:11" s="15" customFormat="1" ht="16.5" customHeight="1" x14ac:dyDescent="0.25">
      <c r="A45" s="43"/>
      <c r="B45" s="146"/>
      <c r="C45" s="146"/>
      <c r="D45" s="38"/>
      <c r="F45" s="39"/>
      <c r="G45" s="40"/>
      <c r="H45" s="2"/>
      <c r="I45" s="12"/>
      <c r="J45" s="17"/>
    </row>
    <row r="46" spans="1:11" s="15" customFormat="1" ht="16.5" customHeight="1" x14ac:dyDescent="0.25">
      <c r="A46" s="129" t="s">
        <v>21</v>
      </c>
      <c r="B46" s="129"/>
      <c r="C46" s="129"/>
      <c r="D46" s="38"/>
      <c r="E46" s="38"/>
      <c r="F46" s="40" t="s">
        <v>134</v>
      </c>
      <c r="G46" s="39">
        <f>Page1!G44</f>
        <v>461303600</v>
      </c>
      <c r="H46" s="38"/>
    </row>
    <row r="47" spans="1:11" s="15" customFormat="1" ht="16.5" customHeight="1" x14ac:dyDescent="0.25">
      <c r="A47" s="129" t="s">
        <v>130</v>
      </c>
      <c r="B47" s="129"/>
      <c r="C47" s="129"/>
      <c r="D47" s="38"/>
      <c r="E47" s="38"/>
      <c r="F47" s="38"/>
      <c r="I47" s="38"/>
      <c r="J47" s="44"/>
      <c r="K47" s="44" t="s">
        <v>36</v>
      </c>
    </row>
    <row r="48" spans="1:11" x14ac:dyDescent="0.25">
      <c r="A48" s="45"/>
      <c r="B48" s="45"/>
      <c r="C48" s="45"/>
      <c r="D48" s="45"/>
      <c r="E48" s="45"/>
      <c r="F48" s="45"/>
      <c r="G48" s="45"/>
      <c r="H48" s="45"/>
      <c r="I48" s="45"/>
      <c r="J48" s="46"/>
      <c r="K48" s="46"/>
    </row>
    <row r="51" spans="9:9" x14ac:dyDescent="0.25">
      <c r="I51" s="66"/>
    </row>
    <row r="52" spans="9:9" x14ac:dyDescent="0.25">
      <c r="I52" s="66"/>
    </row>
    <row r="53" spans="9:9" x14ac:dyDescent="0.25">
      <c r="I53" s="66"/>
    </row>
    <row r="54" spans="9:9" x14ac:dyDescent="0.25">
      <c r="I54" s="66"/>
    </row>
    <row r="55" spans="9:9" x14ac:dyDescent="0.25">
      <c r="I55" s="66"/>
    </row>
    <row r="56" spans="9:9" x14ac:dyDescent="0.25">
      <c r="I56" s="66"/>
    </row>
    <row r="57" spans="9:9" x14ac:dyDescent="0.25">
      <c r="I57" s="66"/>
    </row>
    <row r="58" spans="9:9" x14ac:dyDescent="0.25">
      <c r="I58" s="66"/>
    </row>
    <row r="59" spans="9:9" x14ac:dyDescent="0.25">
      <c r="I59" s="66"/>
    </row>
    <row r="60" spans="9:9" x14ac:dyDescent="0.25">
      <c r="I60" s="66"/>
    </row>
  </sheetData>
  <mergeCells count="94">
    <mergeCell ref="A47:C47"/>
    <mergeCell ref="A6:C6"/>
    <mergeCell ref="D6:F6"/>
    <mergeCell ref="A43:C43"/>
    <mergeCell ref="A46:C46"/>
    <mergeCell ref="D7:F7"/>
    <mergeCell ref="A41:C41"/>
    <mergeCell ref="A42:C42"/>
    <mergeCell ref="D8:D10"/>
    <mergeCell ref="E8:E10"/>
    <mergeCell ref="F8:F10"/>
    <mergeCell ref="B44:C44"/>
    <mergeCell ref="B45:C45"/>
    <mergeCell ref="I6:J6"/>
    <mergeCell ref="G6:H6"/>
    <mergeCell ref="G7:H10"/>
    <mergeCell ref="A1:J1"/>
    <mergeCell ref="A2:J2"/>
    <mergeCell ref="J4:K4"/>
    <mergeCell ref="J5:K5"/>
    <mergeCell ref="I8:J8"/>
    <mergeCell ref="K7:K10"/>
    <mergeCell ref="I7:J7"/>
    <mergeCell ref="A4:B4"/>
    <mergeCell ref="C4:D4"/>
    <mergeCell ref="A5:B5"/>
    <mergeCell ref="C5:D5"/>
    <mergeCell ref="A7:C10"/>
    <mergeCell ref="I11:J11"/>
    <mergeCell ref="I12:J12"/>
    <mergeCell ref="I13:J13"/>
    <mergeCell ref="I42:J42"/>
    <mergeCell ref="I14:J14"/>
    <mergeCell ref="I15:J15"/>
    <mergeCell ref="I33:J33"/>
    <mergeCell ref="I34:J34"/>
    <mergeCell ref="I35:J35"/>
    <mergeCell ref="I36:J36"/>
    <mergeCell ref="I37:J37"/>
    <mergeCell ref="I38:J38"/>
    <mergeCell ref="I39:J39"/>
    <mergeCell ref="I43:J43"/>
    <mergeCell ref="G19:H19"/>
    <mergeCell ref="G40:H40"/>
    <mergeCell ref="I19:J19"/>
    <mergeCell ref="I40:J40"/>
    <mergeCell ref="G43:H43"/>
    <mergeCell ref="G42:H42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G16:H16"/>
    <mergeCell ref="G17:H17"/>
    <mergeCell ref="G18:H18"/>
    <mergeCell ref="I41:J41"/>
    <mergeCell ref="G41:H41"/>
    <mergeCell ref="I16:J16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1:H11"/>
    <mergeCell ref="G12:H12"/>
    <mergeCell ref="G13:H13"/>
    <mergeCell ref="G14:H14"/>
    <mergeCell ref="G15:H15"/>
    <mergeCell ref="G37:H37"/>
    <mergeCell ref="G38:H38"/>
    <mergeCell ref="G39:H3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</mergeCells>
  <phoneticPr fontId="10" type="noConversion"/>
  <conditionalFormatting sqref="D11:D43">
    <cfRule type="cellIs" dxfId="9" priority="13" operator="notBetween">
      <formula>700</formula>
      <formula>1000</formula>
    </cfRule>
  </conditionalFormatting>
  <conditionalFormatting sqref="E11:E43">
    <cfRule type="cellIs" dxfId="8" priority="12" operator="lessThan">
      <formula>400</formula>
    </cfRule>
  </conditionalFormatting>
  <conditionalFormatting sqref="F11:F43">
    <cfRule type="cellIs" dxfId="7" priority="11" operator="lessThan">
      <formula>300</formula>
    </cfRule>
  </conditionalFormatting>
  <conditionalFormatting sqref="G11:H19 G20:G39 G40:H43">
    <cfRule type="cellIs" dxfId="6" priority="9" operator="notBetween">
      <formula>50</formula>
      <formula>60</formula>
    </cfRule>
  </conditionalFormatting>
  <conditionalFormatting sqref="I11:J43">
    <cfRule type="cellIs" dxfId="5" priority="1" operator="notBetween">
      <formula>250</formula>
      <formula>253</formula>
    </cfRule>
  </conditionalFormatting>
  <conditionalFormatting sqref="K11:K43">
    <cfRule type="cellIs" dxfId="4" priority="7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B23" sqref="B23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48" t="s">
        <v>16</v>
      </c>
      <c r="B1" s="148"/>
      <c r="C1" s="148"/>
      <c r="D1" s="148"/>
      <c r="E1" s="148"/>
      <c r="F1" s="148"/>
      <c r="G1" s="148"/>
      <c r="H1" s="148"/>
      <c r="I1" s="148"/>
      <c r="J1" s="148"/>
      <c r="K1" s="14" t="s">
        <v>27</v>
      </c>
    </row>
    <row r="2" spans="1:11" s="15" customFormat="1" ht="15.75" customHeight="1" x14ac:dyDescent="0.25">
      <c r="A2" s="148" t="s">
        <v>19</v>
      </c>
      <c r="B2" s="148"/>
      <c r="C2" s="148"/>
      <c r="D2" s="148"/>
      <c r="E2" s="148"/>
      <c r="F2" s="148"/>
      <c r="G2" s="148"/>
      <c r="H2" s="148"/>
      <c r="I2" s="148"/>
      <c r="J2" s="148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49" t="s">
        <v>17</v>
      </c>
      <c r="B4" s="150"/>
      <c r="C4" s="205">
        <f>Page1!C4</f>
        <v>0</v>
      </c>
      <c r="D4" s="206"/>
      <c r="E4" s="3" t="s">
        <v>4</v>
      </c>
      <c r="F4" s="85">
        <f>Page1!F4</f>
        <v>0</v>
      </c>
      <c r="G4" s="3" t="s">
        <v>5</v>
      </c>
      <c r="H4" s="10">
        <f>Page1!H4</f>
        <v>0</v>
      </c>
      <c r="I4" s="4" t="s">
        <v>6</v>
      </c>
      <c r="J4" s="197">
        <f>Page1!J4</f>
        <v>0</v>
      </c>
      <c r="K4" s="198"/>
    </row>
    <row r="5" spans="1:11" s="15" customFormat="1" ht="23.25" customHeight="1" thickBot="1" x14ac:dyDescent="0.3">
      <c r="A5" s="155" t="s">
        <v>18</v>
      </c>
      <c r="B5" s="156"/>
      <c r="C5" s="159">
        <f>Page1!C5</f>
        <v>0</v>
      </c>
      <c r="D5" s="160"/>
      <c r="E5" s="5" t="s">
        <v>7</v>
      </c>
      <c r="F5" s="84">
        <f>Page1!F5</f>
        <v>0</v>
      </c>
      <c r="G5" s="5" t="s">
        <v>8</v>
      </c>
      <c r="H5" s="1">
        <f>Page1!H5</f>
        <v>0</v>
      </c>
      <c r="I5" s="6" t="s">
        <v>9</v>
      </c>
      <c r="J5" s="199">
        <f>Page1!J5</f>
        <v>0</v>
      </c>
      <c r="K5" s="200"/>
    </row>
    <row r="6" spans="1:11" s="15" customFormat="1" ht="15.75" customHeight="1" thickBot="1" x14ac:dyDescent="0.3">
      <c r="A6" s="219" t="s">
        <v>133</v>
      </c>
      <c r="B6" s="220"/>
      <c r="C6" s="220"/>
      <c r="D6" s="161"/>
      <c r="E6" s="161"/>
      <c r="F6" s="161"/>
      <c r="G6" s="154"/>
      <c r="H6" s="19"/>
      <c r="I6" s="207"/>
      <c r="J6" s="192"/>
      <c r="K6" s="202"/>
    </row>
    <row r="7" spans="1:11" ht="15" customHeight="1" x14ac:dyDescent="0.25">
      <c r="A7" s="207" t="s">
        <v>0</v>
      </c>
      <c r="B7" s="192"/>
      <c r="C7" s="191"/>
      <c r="D7" s="224" t="s">
        <v>34</v>
      </c>
      <c r="E7" s="224"/>
      <c r="F7" s="224"/>
      <c r="G7" s="206"/>
      <c r="H7" s="221" t="s">
        <v>122</v>
      </c>
      <c r="I7" s="208"/>
      <c r="J7" s="194"/>
      <c r="K7" s="203"/>
    </row>
    <row r="8" spans="1:11" ht="26.25" customHeight="1" x14ac:dyDescent="0.25">
      <c r="A8" s="208"/>
      <c r="B8" s="298"/>
      <c r="C8" s="201"/>
      <c r="D8" s="303" t="s">
        <v>140</v>
      </c>
      <c r="E8" s="217" t="s">
        <v>129</v>
      </c>
      <c r="F8" s="217" t="s">
        <v>141</v>
      </c>
      <c r="G8" s="217" t="s">
        <v>38</v>
      </c>
      <c r="H8" s="222"/>
      <c r="I8" s="208"/>
      <c r="J8" s="194"/>
      <c r="K8" s="203"/>
    </row>
    <row r="9" spans="1:11" ht="26.25" customHeight="1" thickBot="1" x14ac:dyDescent="0.3">
      <c r="A9" s="208"/>
      <c r="B9" s="298"/>
      <c r="C9" s="201"/>
      <c r="D9" s="218"/>
      <c r="E9" s="152"/>
      <c r="F9" s="152"/>
      <c r="G9" s="152"/>
      <c r="H9" s="223"/>
      <c r="I9" s="208"/>
      <c r="J9" s="194"/>
      <c r="K9" s="203"/>
    </row>
    <row r="10" spans="1:11" s="15" customFormat="1" ht="19.5" customHeight="1" x14ac:dyDescent="0.25">
      <c r="A10" s="86">
        <f>Page1!A9</f>
        <v>0</v>
      </c>
      <c r="B10" s="87">
        <f>Page1!B9</f>
        <v>0</v>
      </c>
      <c r="C10" s="299">
        <f>Page1!C9</f>
        <v>0</v>
      </c>
      <c r="D10" s="21"/>
      <c r="E10" s="22"/>
      <c r="F10" s="22"/>
      <c r="G10" s="23"/>
      <c r="H10" s="24"/>
      <c r="I10" s="208"/>
      <c r="J10" s="194"/>
      <c r="K10" s="203"/>
    </row>
    <row r="11" spans="1:11" s="15" customFormat="1" ht="19.5" customHeight="1" x14ac:dyDescent="0.25">
      <c r="A11" s="88">
        <f>Page1!A10</f>
        <v>0</v>
      </c>
      <c r="B11" s="89">
        <f>Page1!B10</f>
        <v>0</v>
      </c>
      <c r="C11" s="300">
        <f>Page1!C10</f>
        <v>0</v>
      </c>
      <c r="D11" s="25"/>
      <c r="E11" s="26"/>
      <c r="F11" s="26"/>
      <c r="G11" s="27"/>
      <c r="H11" s="28"/>
      <c r="I11" s="208"/>
      <c r="J11" s="194"/>
      <c r="K11" s="203"/>
    </row>
    <row r="12" spans="1:11" s="15" customFormat="1" ht="19.5" customHeight="1" x14ac:dyDescent="0.25">
      <c r="A12" s="88">
        <f>Page1!A11</f>
        <v>0</v>
      </c>
      <c r="B12" s="89">
        <f>Page1!B11</f>
        <v>0</v>
      </c>
      <c r="C12" s="301">
        <f>Page1!C11</f>
        <v>0</v>
      </c>
      <c r="D12" s="25"/>
      <c r="E12" s="26"/>
      <c r="F12" s="26"/>
      <c r="G12" s="27"/>
      <c r="H12" s="28"/>
      <c r="I12" s="208"/>
      <c r="J12" s="194"/>
      <c r="K12" s="203"/>
    </row>
    <row r="13" spans="1:11" s="15" customFormat="1" ht="19.5" customHeight="1" x14ac:dyDescent="0.25">
      <c r="A13" s="88">
        <f>Page1!A12</f>
        <v>0</v>
      </c>
      <c r="B13" s="90">
        <f>Page1!B12</f>
        <v>0</v>
      </c>
      <c r="C13" s="301">
        <f>Page1!C12</f>
        <v>0</v>
      </c>
      <c r="D13" s="21"/>
      <c r="E13" s="22"/>
      <c r="F13" s="22"/>
      <c r="G13" s="23"/>
      <c r="H13" s="28"/>
      <c r="I13" s="208"/>
      <c r="J13" s="194"/>
      <c r="K13" s="203"/>
    </row>
    <row r="14" spans="1:11" s="15" customFormat="1" ht="19.5" customHeight="1" x14ac:dyDescent="0.25">
      <c r="A14" s="88">
        <f>Page1!A13</f>
        <v>0</v>
      </c>
      <c r="B14" s="89">
        <f>Page1!B13</f>
        <v>0</v>
      </c>
      <c r="C14" s="300">
        <f>Page1!C13</f>
        <v>0</v>
      </c>
      <c r="D14" s="25"/>
      <c r="E14" s="26"/>
      <c r="F14" s="26"/>
      <c r="G14" s="27"/>
      <c r="H14" s="28"/>
      <c r="I14" s="208"/>
      <c r="J14" s="194"/>
      <c r="K14" s="203"/>
    </row>
    <row r="15" spans="1:11" s="15" customFormat="1" ht="19.5" customHeight="1" x14ac:dyDescent="0.25">
      <c r="A15" s="88">
        <f>Page1!A14</f>
        <v>0</v>
      </c>
      <c r="B15" s="89">
        <f>Page1!B14</f>
        <v>0</v>
      </c>
      <c r="C15" s="300">
        <f>Page1!C14</f>
        <v>0</v>
      </c>
      <c r="D15" s="25"/>
      <c r="E15" s="26"/>
      <c r="F15" s="26"/>
      <c r="G15" s="27"/>
      <c r="H15" s="28"/>
      <c r="I15" s="208"/>
      <c r="J15" s="194"/>
      <c r="K15" s="203"/>
    </row>
    <row r="16" spans="1:11" s="15" customFormat="1" ht="19.5" customHeight="1" x14ac:dyDescent="0.25">
      <c r="A16" s="88">
        <f>Page1!A15</f>
        <v>0</v>
      </c>
      <c r="B16" s="89">
        <f>Page1!B15</f>
        <v>0</v>
      </c>
      <c r="C16" s="300">
        <f>Page1!C15</f>
        <v>0</v>
      </c>
      <c r="D16" s="25"/>
      <c r="E16" s="26"/>
      <c r="F16" s="26"/>
      <c r="G16" s="27"/>
      <c r="H16" s="28"/>
      <c r="I16" s="208"/>
      <c r="J16" s="194"/>
      <c r="K16" s="203"/>
    </row>
    <row r="17" spans="1:11" s="15" customFormat="1" ht="19.5" customHeight="1" x14ac:dyDescent="0.25">
      <c r="A17" s="88">
        <f>Page1!A16</f>
        <v>0</v>
      </c>
      <c r="B17" s="89">
        <f>Page1!B16</f>
        <v>0</v>
      </c>
      <c r="C17" s="300">
        <f>Page1!C16</f>
        <v>0</v>
      </c>
      <c r="D17" s="25"/>
      <c r="E17" s="26"/>
      <c r="F17" s="26"/>
      <c r="G17" s="27"/>
      <c r="H17" s="28"/>
      <c r="I17" s="208"/>
      <c r="J17" s="194"/>
      <c r="K17" s="203"/>
    </row>
    <row r="18" spans="1:11" s="15" customFormat="1" ht="19.5" customHeight="1" x14ac:dyDescent="0.25">
      <c r="A18" s="88">
        <f>Page1!A17</f>
        <v>0</v>
      </c>
      <c r="B18" s="91">
        <f>Page1!B17</f>
        <v>0</v>
      </c>
      <c r="C18" s="300">
        <f>Page1!C17</f>
        <v>0</v>
      </c>
      <c r="D18" s="25"/>
      <c r="E18" s="26"/>
      <c r="F18" s="26"/>
      <c r="G18" s="27"/>
      <c r="H18" s="28"/>
      <c r="I18" s="208"/>
      <c r="J18" s="194"/>
      <c r="K18" s="203"/>
    </row>
    <row r="19" spans="1:11" s="15" customFormat="1" ht="19.5" customHeight="1" x14ac:dyDescent="0.25">
      <c r="A19" s="88">
        <f>Page1!A18</f>
        <v>0</v>
      </c>
      <c r="B19" s="89">
        <f>Page1!B18</f>
        <v>0</v>
      </c>
      <c r="C19" s="300">
        <f>Page1!C18</f>
        <v>0</v>
      </c>
      <c r="D19" s="25"/>
      <c r="E19" s="26"/>
      <c r="F19" s="26"/>
      <c r="G19" s="27"/>
      <c r="H19" s="28"/>
      <c r="I19" s="208"/>
      <c r="J19" s="194"/>
      <c r="K19" s="203"/>
    </row>
    <row r="20" spans="1:11" s="15" customFormat="1" ht="19.5" customHeight="1" x14ac:dyDescent="0.25">
      <c r="A20" s="92">
        <f>Page1!A19</f>
        <v>0</v>
      </c>
      <c r="B20" s="91">
        <f>Page1!B19</f>
        <v>0</v>
      </c>
      <c r="C20" s="301">
        <f>Page1!C19</f>
        <v>0</v>
      </c>
      <c r="D20" s="25"/>
      <c r="E20" s="26"/>
      <c r="F20" s="26"/>
      <c r="G20" s="27"/>
      <c r="H20" s="28"/>
      <c r="I20" s="208"/>
      <c r="J20" s="194"/>
      <c r="K20" s="203"/>
    </row>
    <row r="21" spans="1:11" s="15" customFormat="1" ht="19.5" customHeight="1" x14ac:dyDescent="0.25">
      <c r="A21" s="88">
        <f>Page1!A20</f>
        <v>0</v>
      </c>
      <c r="B21" s="89">
        <f>Page1!B20</f>
        <v>0</v>
      </c>
      <c r="C21" s="300">
        <f>Page1!C20</f>
        <v>0</v>
      </c>
      <c r="D21" s="25"/>
      <c r="E21" s="26"/>
      <c r="F21" s="26"/>
      <c r="G21" s="27"/>
      <c r="H21" s="28"/>
      <c r="I21" s="208"/>
      <c r="J21" s="194"/>
      <c r="K21" s="203"/>
    </row>
    <row r="22" spans="1:11" s="15" customFormat="1" ht="19.5" customHeight="1" x14ac:dyDescent="0.25">
      <c r="A22" s="88">
        <f>Page1!A21</f>
        <v>0</v>
      </c>
      <c r="B22" s="89">
        <f>Page1!B21</f>
        <v>0</v>
      </c>
      <c r="C22" s="301">
        <f>Page1!C21</f>
        <v>0</v>
      </c>
      <c r="D22" s="25"/>
      <c r="E22" s="26"/>
      <c r="F22" s="26"/>
      <c r="G22" s="27"/>
      <c r="H22" s="28"/>
      <c r="I22" s="208"/>
      <c r="J22" s="194"/>
      <c r="K22" s="203"/>
    </row>
    <row r="23" spans="1:11" s="15" customFormat="1" ht="19.5" customHeight="1" x14ac:dyDescent="0.25">
      <c r="A23" s="88">
        <f>Page1!A22</f>
        <v>0</v>
      </c>
      <c r="B23" s="90">
        <f>Page1!B22</f>
        <v>0</v>
      </c>
      <c r="C23" s="301">
        <f>Page1!C22</f>
        <v>0</v>
      </c>
      <c r="D23" s="25"/>
      <c r="E23" s="26"/>
      <c r="F23" s="26"/>
      <c r="G23" s="27"/>
      <c r="H23" s="28"/>
      <c r="I23" s="208"/>
      <c r="J23" s="194"/>
      <c r="K23" s="203"/>
    </row>
    <row r="24" spans="1:11" s="15" customFormat="1" ht="19.5" customHeight="1" x14ac:dyDescent="0.25">
      <c r="A24" s="88">
        <f>Page1!A23</f>
        <v>0</v>
      </c>
      <c r="B24" s="89">
        <f>Page1!B23</f>
        <v>0</v>
      </c>
      <c r="C24" s="300">
        <f>Page1!C23</f>
        <v>0</v>
      </c>
      <c r="D24" s="25"/>
      <c r="E24" s="26"/>
      <c r="F24" s="26"/>
      <c r="G24" s="27"/>
      <c r="H24" s="28"/>
      <c r="I24" s="208"/>
      <c r="J24" s="194"/>
      <c r="K24" s="203"/>
    </row>
    <row r="25" spans="1:11" s="15" customFormat="1" ht="19.5" customHeight="1" x14ac:dyDescent="0.25">
      <c r="A25" s="88">
        <f>Page1!A24</f>
        <v>0</v>
      </c>
      <c r="B25" s="89">
        <f>Page1!B24</f>
        <v>0</v>
      </c>
      <c r="C25" s="300">
        <f>Page1!C24</f>
        <v>0</v>
      </c>
      <c r="D25" s="25"/>
      <c r="E25" s="26"/>
      <c r="F25" s="26"/>
      <c r="G25" s="27"/>
      <c r="H25" s="28"/>
      <c r="I25" s="208"/>
      <c r="J25" s="194"/>
      <c r="K25" s="203"/>
    </row>
    <row r="26" spans="1:11" s="15" customFormat="1" ht="19.5" customHeight="1" x14ac:dyDescent="0.25">
      <c r="A26" s="88">
        <f>Page1!A25</f>
        <v>0</v>
      </c>
      <c r="B26" s="89">
        <f>Page1!B25</f>
        <v>0</v>
      </c>
      <c r="C26" s="300">
        <f>Page1!C25</f>
        <v>0</v>
      </c>
      <c r="D26" s="25"/>
      <c r="E26" s="26"/>
      <c r="F26" s="26"/>
      <c r="G26" s="27"/>
      <c r="H26" s="28"/>
      <c r="I26" s="208"/>
      <c r="J26" s="194"/>
      <c r="K26" s="203"/>
    </row>
    <row r="27" spans="1:11" s="15" customFormat="1" ht="19.5" customHeight="1" x14ac:dyDescent="0.25">
      <c r="A27" s="88">
        <f>Page1!A26</f>
        <v>0</v>
      </c>
      <c r="B27" s="89">
        <f>Page1!B26</f>
        <v>0</v>
      </c>
      <c r="C27" s="300">
        <f>Page1!C26</f>
        <v>0</v>
      </c>
      <c r="D27" s="25"/>
      <c r="E27" s="26"/>
      <c r="F27" s="26"/>
      <c r="G27" s="27"/>
      <c r="H27" s="28"/>
      <c r="I27" s="208"/>
      <c r="J27" s="194"/>
      <c r="K27" s="203"/>
    </row>
    <row r="28" spans="1:11" s="15" customFormat="1" ht="19.5" customHeight="1" x14ac:dyDescent="0.25">
      <c r="A28" s="88">
        <f>Page1!A27</f>
        <v>0</v>
      </c>
      <c r="B28" s="91">
        <f>Page1!B27</f>
        <v>0</v>
      </c>
      <c r="C28" s="300">
        <f>Page1!C27</f>
        <v>0</v>
      </c>
      <c r="D28" s="25"/>
      <c r="E28" s="26"/>
      <c r="F28" s="26"/>
      <c r="G28" s="27"/>
      <c r="H28" s="28"/>
      <c r="I28" s="208"/>
      <c r="J28" s="194"/>
      <c r="K28" s="203"/>
    </row>
    <row r="29" spans="1:11" s="15" customFormat="1" ht="19.5" customHeight="1" x14ac:dyDescent="0.25">
      <c r="A29" s="88">
        <f>Page1!A28</f>
        <v>0</v>
      </c>
      <c r="B29" s="89">
        <f>Page1!B28</f>
        <v>0</v>
      </c>
      <c r="C29" s="300">
        <f>Page1!C28</f>
        <v>0</v>
      </c>
      <c r="D29" s="25"/>
      <c r="E29" s="26"/>
      <c r="F29" s="26"/>
      <c r="G29" s="27"/>
      <c r="H29" s="28"/>
      <c r="I29" s="208"/>
      <c r="J29" s="194"/>
      <c r="K29" s="203"/>
    </row>
    <row r="30" spans="1:11" s="15" customFormat="1" ht="19.5" customHeight="1" x14ac:dyDescent="0.25">
      <c r="A30" s="92">
        <f>Page1!A29</f>
        <v>0</v>
      </c>
      <c r="B30" s="91">
        <f>Page1!B29</f>
        <v>0</v>
      </c>
      <c r="C30" s="301">
        <f>Page1!C29</f>
        <v>0</v>
      </c>
      <c r="D30" s="25"/>
      <c r="E30" s="26"/>
      <c r="F30" s="26"/>
      <c r="G30" s="27"/>
      <c r="H30" s="28"/>
      <c r="I30" s="208"/>
      <c r="J30" s="194"/>
      <c r="K30" s="203"/>
    </row>
    <row r="31" spans="1:11" s="15" customFormat="1" ht="19.5" customHeight="1" x14ac:dyDescent="0.25">
      <c r="A31" s="88">
        <f>Page1!A30</f>
        <v>0</v>
      </c>
      <c r="B31" s="89">
        <f>Page1!B30</f>
        <v>0</v>
      </c>
      <c r="C31" s="300">
        <f>Page1!C30</f>
        <v>0</v>
      </c>
      <c r="D31" s="25"/>
      <c r="E31" s="26"/>
      <c r="F31" s="26"/>
      <c r="G31" s="27"/>
      <c r="H31" s="28"/>
      <c r="I31" s="208"/>
      <c r="J31" s="194"/>
      <c r="K31" s="203"/>
    </row>
    <row r="32" spans="1:11" s="15" customFormat="1" ht="19.5" customHeight="1" x14ac:dyDescent="0.25">
      <c r="A32" s="88">
        <f>Page1!A31</f>
        <v>0</v>
      </c>
      <c r="B32" s="89">
        <f>Page1!B31</f>
        <v>0</v>
      </c>
      <c r="C32" s="301">
        <f>Page1!C31</f>
        <v>0</v>
      </c>
      <c r="D32" s="25"/>
      <c r="E32" s="26"/>
      <c r="F32" s="26"/>
      <c r="G32" s="27"/>
      <c r="H32" s="28"/>
      <c r="I32" s="208"/>
      <c r="J32" s="194"/>
      <c r="K32" s="203"/>
    </row>
    <row r="33" spans="1:11" s="15" customFormat="1" ht="19.5" customHeight="1" x14ac:dyDescent="0.25">
      <c r="A33" s="88">
        <f>Page1!A32</f>
        <v>0</v>
      </c>
      <c r="B33" s="90">
        <f>Page1!B32</f>
        <v>0</v>
      </c>
      <c r="C33" s="301">
        <f>Page1!C32</f>
        <v>0</v>
      </c>
      <c r="D33" s="25"/>
      <c r="E33" s="26"/>
      <c r="F33" s="26"/>
      <c r="G33" s="27"/>
      <c r="H33" s="28"/>
      <c r="I33" s="208"/>
      <c r="J33" s="194"/>
      <c r="K33" s="203"/>
    </row>
    <row r="34" spans="1:11" s="15" customFormat="1" ht="19.5" customHeight="1" x14ac:dyDescent="0.25">
      <c r="A34" s="88">
        <f>Page1!A33</f>
        <v>0</v>
      </c>
      <c r="B34" s="89">
        <f>Page1!B33</f>
        <v>0</v>
      </c>
      <c r="C34" s="300">
        <f>Page1!C33</f>
        <v>0</v>
      </c>
      <c r="D34" s="25"/>
      <c r="E34" s="26"/>
      <c r="F34" s="26"/>
      <c r="G34" s="27"/>
      <c r="H34" s="28"/>
      <c r="I34" s="208"/>
      <c r="J34" s="194"/>
      <c r="K34" s="203"/>
    </row>
    <row r="35" spans="1:11" s="15" customFormat="1" ht="19.5" customHeight="1" x14ac:dyDescent="0.25">
      <c r="A35" s="88">
        <f>Page1!A34</f>
        <v>0</v>
      </c>
      <c r="B35" s="89">
        <f>Page1!B34</f>
        <v>0</v>
      </c>
      <c r="C35" s="300">
        <f>Page1!C34</f>
        <v>0</v>
      </c>
      <c r="D35" s="25"/>
      <c r="E35" s="26"/>
      <c r="F35" s="26"/>
      <c r="G35" s="27"/>
      <c r="H35" s="28"/>
      <c r="I35" s="208"/>
      <c r="J35" s="194"/>
      <c r="K35" s="203"/>
    </row>
    <row r="36" spans="1:11" s="15" customFormat="1" ht="19.5" customHeight="1" x14ac:dyDescent="0.25">
      <c r="A36" s="88">
        <f>Page1!A35</f>
        <v>0</v>
      </c>
      <c r="B36" s="89">
        <f>Page1!B35</f>
        <v>0</v>
      </c>
      <c r="C36" s="300">
        <f>Page1!C35</f>
        <v>0</v>
      </c>
      <c r="D36" s="25"/>
      <c r="E36" s="26"/>
      <c r="F36" s="26"/>
      <c r="G36" s="27"/>
      <c r="H36" s="28"/>
      <c r="I36" s="208"/>
      <c r="J36" s="194"/>
      <c r="K36" s="203"/>
    </row>
    <row r="37" spans="1:11" s="15" customFormat="1" ht="19.5" customHeight="1" x14ac:dyDescent="0.25">
      <c r="A37" s="88">
        <f>Page1!A36</f>
        <v>0</v>
      </c>
      <c r="B37" s="89">
        <f>Page1!B36</f>
        <v>0</v>
      </c>
      <c r="C37" s="300">
        <f>Page1!C36</f>
        <v>0</v>
      </c>
      <c r="D37" s="25"/>
      <c r="E37" s="26"/>
      <c r="F37" s="26"/>
      <c r="G37" s="27"/>
      <c r="H37" s="28"/>
      <c r="I37" s="208"/>
      <c r="J37" s="194"/>
      <c r="K37" s="203"/>
    </row>
    <row r="38" spans="1:11" s="15" customFormat="1" ht="19.5" customHeight="1" x14ac:dyDescent="0.25">
      <c r="A38" s="88">
        <f>Page1!A37</f>
        <v>0</v>
      </c>
      <c r="B38" s="89">
        <f>Page1!B37</f>
        <v>0</v>
      </c>
      <c r="C38" s="300">
        <f>Page1!C37</f>
        <v>0</v>
      </c>
      <c r="D38" s="25"/>
      <c r="E38" s="26"/>
      <c r="F38" s="26"/>
      <c r="G38" s="27"/>
      <c r="H38" s="28"/>
      <c r="I38" s="208"/>
      <c r="J38" s="194"/>
      <c r="K38" s="203"/>
    </row>
    <row r="39" spans="1:11" s="15" customFormat="1" ht="19.5" customHeight="1" thickBot="1" x14ac:dyDescent="0.3">
      <c r="A39" s="93">
        <f>Page1!A38</f>
        <v>0</v>
      </c>
      <c r="B39" s="94">
        <f>Page1!B38</f>
        <v>0</v>
      </c>
      <c r="C39" s="302">
        <f>Page1!C38</f>
        <v>0</v>
      </c>
      <c r="D39" s="25"/>
      <c r="E39" s="26"/>
      <c r="F39" s="26"/>
      <c r="G39" s="27"/>
      <c r="H39" s="28"/>
      <c r="I39" s="208"/>
      <c r="J39" s="194"/>
      <c r="K39" s="203"/>
    </row>
    <row r="40" spans="1:11" s="15" customFormat="1" ht="19.5" customHeight="1" x14ac:dyDescent="0.25">
      <c r="A40" s="225" t="s">
        <v>26</v>
      </c>
      <c r="B40" s="226"/>
      <c r="C40" s="226"/>
      <c r="D40" s="29" t="e">
        <f>AVERAGE(D10:D39)</f>
        <v>#DIV/0!</v>
      </c>
      <c r="E40" s="30" t="e">
        <f>AVERAGE(E10:E39)</f>
        <v>#DIV/0!</v>
      </c>
      <c r="F40" s="30" t="e">
        <f>AVERAGE(F10:F39)</f>
        <v>#DIV/0!</v>
      </c>
      <c r="G40" s="30" t="e">
        <f>AVERAGE(G10:G39)</f>
        <v>#DIV/0!</v>
      </c>
      <c r="H40" s="31" t="e">
        <f>AVERAGE(H10:H39)</f>
        <v>#DIV/0!</v>
      </c>
      <c r="I40" s="194"/>
      <c r="J40" s="194"/>
      <c r="K40" s="203"/>
    </row>
    <row r="41" spans="1:11" s="15" customFormat="1" ht="19.5" customHeight="1" x14ac:dyDescent="0.25">
      <c r="A41" s="215" t="s">
        <v>31</v>
      </c>
      <c r="B41" s="216"/>
      <c r="C41" s="216"/>
      <c r="D41" s="32">
        <f>MIN(D10:D39)</f>
        <v>0</v>
      </c>
      <c r="E41" s="33">
        <f>MIN(E10:E39)</f>
        <v>0</v>
      </c>
      <c r="F41" s="33">
        <f>MIN(F10:F39)</f>
        <v>0</v>
      </c>
      <c r="G41" s="33">
        <f>MIN(G10:G39)</f>
        <v>0</v>
      </c>
      <c r="H41" s="34">
        <f>MIN(H10:H39)</f>
        <v>0</v>
      </c>
      <c r="I41" s="194"/>
      <c r="J41" s="194"/>
      <c r="K41" s="203"/>
    </row>
    <row r="42" spans="1:11" ht="19.5" customHeight="1" thickBot="1" x14ac:dyDescent="0.3">
      <c r="A42" s="211" t="s">
        <v>32</v>
      </c>
      <c r="B42" s="212"/>
      <c r="C42" s="212"/>
      <c r="D42" s="35">
        <f>MAX(D10:D39)</f>
        <v>0</v>
      </c>
      <c r="E42" s="36">
        <f>MAX(E10:E39)</f>
        <v>0</v>
      </c>
      <c r="F42" s="36">
        <f>MAX(F10:F39)</f>
        <v>0</v>
      </c>
      <c r="G42" s="36">
        <f>MAX(G10:G39)</f>
        <v>0</v>
      </c>
      <c r="H42" s="37">
        <f>MAX(H10:H39)</f>
        <v>0</v>
      </c>
      <c r="I42" s="196"/>
      <c r="J42" s="196"/>
      <c r="K42" s="204"/>
    </row>
    <row r="43" spans="1:11" s="15" customFormat="1" ht="16.5" customHeight="1" x14ac:dyDescent="0.25">
      <c r="A43" s="38" t="s">
        <v>20</v>
      </c>
      <c r="B43" s="147"/>
      <c r="C43" s="147"/>
      <c r="D43" s="38" t="s">
        <v>22</v>
      </c>
      <c r="F43" s="39"/>
      <c r="G43" s="40"/>
      <c r="H43" s="2"/>
      <c r="I43" s="2" t="s">
        <v>41</v>
      </c>
      <c r="J43" s="41"/>
      <c r="K43" s="42" t="s">
        <v>24</v>
      </c>
    </row>
    <row r="44" spans="1:11" s="15" customFormat="1" ht="16.5" customHeight="1" x14ac:dyDescent="0.25">
      <c r="A44" s="43"/>
      <c r="B44" s="146"/>
      <c r="C44" s="146"/>
      <c r="D44" s="38"/>
      <c r="F44" s="39"/>
      <c r="G44" s="40"/>
      <c r="H44" s="2"/>
      <c r="I44" s="12"/>
      <c r="J44" s="17"/>
    </row>
    <row r="45" spans="1:11" s="15" customFormat="1" ht="16.5" customHeight="1" x14ac:dyDescent="0.25">
      <c r="A45" s="129" t="s">
        <v>21</v>
      </c>
      <c r="B45" s="129"/>
      <c r="C45" s="129"/>
      <c r="D45" s="38"/>
      <c r="E45" s="38"/>
      <c r="F45" s="40" t="s">
        <v>134</v>
      </c>
      <c r="G45" s="39">
        <f>Page1!G44</f>
        <v>461303600</v>
      </c>
      <c r="H45" s="38"/>
    </row>
    <row r="46" spans="1:11" s="15" customFormat="1" ht="16.5" customHeight="1" x14ac:dyDescent="0.25">
      <c r="A46" s="129" t="s">
        <v>130</v>
      </c>
      <c r="B46" s="129"/>
      <c r="C46" s="129"/>
      <c r="D46" s="38"/>
      <c r="E46" s="38"/>
      <c r="F46" s="38"/>
      <c r="I46" s="38"/>
      <c r="J46" s="44"/>
      <c r="K46" s="44" t="s">
        <v>37</v>
      </c>
    </row>
    <row r="47" spans="1:11" x14ac:dyDescent="0.25">
      <c r="A47" s="45"/>
      <c r="B47" s="45"/>
      <c r="C47" s="45"/>
      <c r="D47" s="45"/>
      <c r="E47" s="45"/>
      <c r="F47" s="45"/>
      <c r="G47" s="45"/>
      <c r="H47" s="45"/>
      <c r="I47" s="46"/>
      <c r="J47" s="46"/>
      <c r="K47" s="46"/>
    </row>
  </sheetData>
  <mergeCells count="25">
    <mergeCell ref="A45:C45"/>
    <mergeCell ref="A46:C46"/>
    <mergeCell ref="D7:G7"/>
    <mergeCell ref="A40:C40"/>
    <mergeCell ref="A41:C41"/>
    <mergeCell ref="A42:C42"/>
    <mergeCell ref="A7:C9"/>
    <mergeCell ref="B43:C43"/>
    <mergeCell ref="B44:C44"/>
    <mergeCell ref="A6:C6"/>
    <mergeCell ref="D6:G6"/>
    <mergeCell ref="A1:J1"/>
    <mergeCell ref="A2:J2"/>
    <mergeCell ref="A4:B4"/>
    <mergeCell ref="C4:D4"/>
    <mergeCell ref="J4:K4"/>
    <mergeCell ref="A5:B5"/>
    <mergeCell ref="C5:D5"/>
    <mergeCell ref="J5:K5"/>
    <mergeCell ref="I6:K42"/>
    <mergeCell ref="H7:H9"/>
    <mergeCell ref="D8:D9"/>
    <mergeCell ref="E8:E9"/>
    <mergeCell ref="F8:F9"/>
    <mergeCell ref="G8:G9"/>
  </mergeCells>
  <conditionalFormatting sqref="D10:D42">
    <cfRule type="cellIs" dxfId="3" priority="5" operator="notBetween">
      <formula>54</formula>
      <formula>63</formula>
    </cfRule>
  </conditionalFormatting>
  <conditionalFormatting sqref="E10:E42">
    <cfRule type="cellIs" dxfId="2" priority="4" operator="notBetween">
      <formula>49</formula>
      <formula>59</formula>
    </cfRule>
  </conditionalFormatting>
  <conditionalFormatting sqref="F10:F42">
    <cfRule type="cellIs" dxfId="1" priority="3" operator="notBetween">
      <formula>-11.5</formula>
      <formula>-5.5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496C0-7FB2-42AD-84BE-A835602047BB}">
  <sheetPr>
    <pageSetUpPr fitToPage="1"/>
  </sheetPr>
  <dimension ref="A1:G47"/>
  <sheetViews>
    <sheetView view="pageBreakPreview" zoomScaleNormal="100" zoomScaleSheetLayoutView="100" workbookViewId="0">
      <selection activeCell="B6" sqref="B6"/>
    </sheetView>
  </sheetViews>
  <sheetFormatPr defaultRowHeight="15" x14ac:dyDescent="0.25"/>
  <cols>
    <col min="1" max="2" width="21.42578125" style="95" customWidth="1"/>
    <col min="3" max="5" width="12.85546875" style="95" customWidth="1"/>
    <col min="6" max="6" width="17.140625" style="95" customWidth="1"/>
    <col min="7" max="7" width="21.42578125" style="95" customWidth="1"/>
    <col min="8" max="16384" width="9.140625" style="126"/>
  </cols>
  <sheetData>
    <row r="1" spans="1:7" s="95" customFormat="1" x14ac:dyDescent="0.25">
      <c r="A1" s="231" t="s">
        <v>43</v>
      </c>
      <c r="B1" s="232"/>
      <c r="C1" s="232"/>
      <c r="D1" s="232"/>
      <c r="E1" s="232"/>
      <c r="F1" s="232"/>
      <c r="G1" s="233"/>
    </row>
    <row r="2" spans="1:7" s="95" customFormat="1" x14ac:dyDescent="0.25">
      <c r="A2" s="96"/>
      <c r="B2" s="97"/>
      <c r="C2" s="97"/>
      <c r="D2" s="97"/>
      <c r="E2" s="97"/>
      <c r="F2" s="97"/>
      <c r="G2" s="98" t="s">
        <v>44</v>
      </c>
    </row>
    <row r="3" spans="1:7" s="95" customFormat="1" ht="19.5" customHeight="1" x14ac:dyDescent="0.25">
      <c r="A3" s="277" t="s">
        <v>135</v>
      </c>
      <c r="B3" s="278"/>
      <c r="C3" s="278"/>
      <c r="D3" s="278"/>
      <c r="E3" s="278"/>
      <c r="F3" s="278"/>
      <c r="G3" s="279"/>
    </row>
    <row r="4" spans="1:7" s="95" customFormat="1" ht="19.5" customHeight="1" x14ac:dyDescent="0.25">
      <c r="A4" s="208" t="s">
        <v>45</v>
      </c>
      <c r="B4" s="194"/>
      <c r="C4" s="194"/>
      <c r="D4" s="194"/>
      <c r="E4" s="194"/>
      <c r="F4" s="194"/>
      <c r="G4" s="203"/>
    </row>
    <row r="5" spans="1:7" s="95" customFormat="1" ht="19.5" customHeight="1" x14ac:dyDescent="0.25">
      <c r="A5" s="274" t="s">
        <v>46</v>
      </c>
      <c r="B5" s="275"/>
      <c r="C5" s="275"/>
      <c r="D5" s="275"/>
      <c r="E5" s="275"/>
      <c r="F5" s="275"/>
      <c r="G5" s="276"/>
    </row>
    <row r="6" spans="1:7" s="95" customFormat="1" ht="16.5" customHeight="1" x14ac:dyDescent="0.25">
      <c r="A6" s="99" t="s">
        <v>47</v>
      </c>
      <c r="B6" s="100" t="s">
        <v>48</v>
      </c>
      <c r="C6" s="101" t="s">
        <v>5</v>
      </c>
      <c r="D6" s="234">
        <f>Page1!H4</f>
        <v>0</v>
      </c>
      <c r="E6" s="235"/>
      <c r="F6" s="227" t="s">
        <v>49</v>
      </c>
      <c r="G6" s="236">
        <f>Page1!J4</f>
        <v>0</v>
      </c>
    </row>
    <row r="7" spans="1:7" s="95" customFormat="1" ht="16.5" customHeight="1" x14ac:dyDescent="0.25">
      <c r="A7" s="99" t="s">
        <v>50</v>
      </c>
      <c r="B7" s="103"/>
      <c r="C7" s="101" t="s">
        <v>51</v>
      </c>
      <c r="D7" s="234">
        <f>Page1!F5</f>
        <v>0</v>
      </c>
      <c r="E7" s="235"/>
      <c r="F7" s="227"/>
      <c r="G7" s="237"/>
    </row>
    <row r="8" spans="1:7" s="95" customFormat="1" ht="37.5" customHeight="1" x14ac:dyDescent="0.25">
      <c r="A8" s="99" t="s">
        <v>52</v>
      </c>
      <c r="B8" s="102">
        <f>Page1!C4</f>
        <v>0</v>
      </c>
      <c r="C8" s="101" t="s">
        <v>53</v>
      </c>
      <c r="D8" s="227">
        <f>Page1!H5</f>
        <v>0</v>
      </c>
      <c r="E8" s="227"/>
      <c r="F8" s="228" t="s">
        <v>9</v>
      </c>
      <c r="G8" s="236">
        <f>Page1!J5</f>
        <v>0</v>
      </c>
    </row>
    <row r="9" spans="1:7" s="95" customFormat="1" ht="16.5" customHeight="1" x14ac:dyDescent="0.25">
      <c r="A9" s="105" t="s">
        <v>54</v>
      </c>
      <c r="B9" s="104">
        <f>Page1!G44</f>
        <v>461303600</v>
      </c>
      <c r="C9" s="228" t="s">
        <v>55</v>
      </c>
      <c r="D9" s="284" t="s">
        <v>56</v>
      </c>
      <c r="E9" s="285"/>
      <c r="F9" s="229"/>
      <c r="G9" s="282"/>
    </row>
    <row r="10" spans="1:7" s="95" customFormat="1" ht="15.75" thickBot="1" x14ac:dyDescent="0.3">
      <c r="A10" s="106" t="s">
        <v>57</v>
      </c>
      <c r="B10" s="107">
        <f>Page1!C5</f>
        <v>0</v>
      </c>
      <c r="C10" s="230"/>
      <c r="D10" s="286"/>
      <c r="E10" s="287"/>
      <c r="F10" s="230"/>
      <c r="G10" s="283"/>
    </row>
    <row r="11" spans="1:7" s="95" customFormat="1" ht="16.5" customHeight="1" x14ac:dyDescent="0.25">
      <c r="A11" s="288" t="s">
        <v>58</v>
      </c>
      <c r="B11" s="290" t="s">
        <v>59</v>
      </c>
      <c r="C11" s="292" t="s">
        <v>18</v>
      </c>
      <c r="D11" s="293"/>
      <c r="E11" s="294"/>
      <c r="F11" s="290" t="s">
        <v>60</v>
      </c>
      <c r="G11" s="295" t="s">
        <v>61</v>
      </c>
    </row>
    <row r="12" spans="1:7" s="95" customFormat="1" ht="16.5" customHeight="1" thickBot="1" x14ac:dyDescent="0.3">
      <c r="A12" s="289"/>
      <c r="B12" s="291"/>
      <c r="C12" s="108" t="s">
        <v>62</v>
      </c>
      <c r="D12" s="108" t="s">
        <v>63</v>
      </c>
      <c r="E12" s="108" t="s">
        <v>64</v>
      </c>
      <c r="F12" s="291"/>
      <c r="G12" s="296"/>
    </row>
    <row r="13" spans="1:7" s="95" customFormat="1" ht="16.5" customHeight="1" x14ac:dyDescent="0.25">
      <c r="A13" s="109" t="s">
        <v>65</v>
      </c>
      <c r="B13" s="110" t="s">
        <v>66</v>
      </c>
      <c r="C13" s="111">
        <v>17</v>
      </c>
      <c r="D13" s="111">
        <v>18</v>
      </c>
      <c r="E13" s="111">
        <v>20</v>
      </c>
      <c r="F13" s="112" t="e">
        <f>Page1!D39</f>
        <v>#DIV/0!</v>
      </c>
      <c r="G13" s="82" t="s">
        <v>67</v>
      </c>
    </row>
    <row r="14" spans="1:7" s="95" customFormat="1" ht="16.5" customHeight="1" x14ac:dyDescent="0.25">
      <c r="A14" s="113" t="s">
        <v>68</v>
      </c>
      <c r="B14" s="114" t="s">
        <v>69</v>
      </c>
      <c r="C14" s="115">
        <v>18</v>
      </c>
      <c r="D14" s="115">
        <v>23</v>
      </c>
      <c r="E14" s="115">
        <v>28</v>
      </c>
      <c r="F14" s="116" t="e">
        <f>Page1!E39</f>
        <v>#DIV/0!</v>
      </c>
      <c r="G14" s="117" t="s">
        <v>70</v>
      </c>
    </row>
    <row r="15" spans="1:7" s="95" customFormat="1" ht="16.5" customHeight="1" x14ac:dyDescent="0.25">
      <c r="A15" s="113" t="s">
        <v>71</v>
      </c>
      <c r="B15" s="114" t="s">
        <v>72</v>
      </c>
      <c r="C15" s="115">
        <v>300</v>
      </c>
      <c r="D15" s="115" t="s">
        <v>40</v>
      </c>
      <c r="E15" s="115" t="s">
        <v>40</v>
      </c>
      <c r="F15" s="61" t="e">
        <f>Page1!K39</f>
        <v>#DIV/0!</v>
      </c>
      <c r="G15" s="238" t="s">
        <v>73</v>
      </c>
    </row>
    <row r="16" spans="1:7" s="95" customFormat="1" ht="16.5" customHeight="1" x14ac:dyDescent="0.25">
      <c r="A16" s="113" t="s">
        <v>74</v>
      </c>
      <c r="B16" s="114" t="s">
        <v>72</v>
      </c>
      <c r="C16" s="115">
        <v>300</v>
      </c>
      <c r="D16" s="115" t="s">
        <v>40</v>
      </c>
      <c r="E16" s="115" t="s">
        <v>40</v>
      </c>
      <c r="F16" s="61" t="e">
        <f>Page2!F41</f>
        <v>#DIV/0!</v>
      </c>
      <c r="G16" s="222"/>
    </row>
    <row r="17" spans="1:7" s="95" customFormat="1" ht="16.5" customHeight="1" x14ac:dyDescent="0.25">
      <c r="A17" s="113" t="s">
        <v>75</v>
      </c>
      <c r="B17" s="114" t="s">
        <v>72</v>
      </c>
      <c r="C17" s="115">
        <v>900</v>
      </c>
      <c r="D17" s="115" t="s">
        <v>40</v>
      </c>
      <c r="E17" s="115">
        <v>1200</v>
      </c>
      <c r="F17" s="61" t="e">
        <f>Page1!I39</f>
        <v>#DIV/0!</v>
      </c>
      <c r="G17" s="222"/>
    </row>
    <row r="18" spans="1:7" s="95" customFormat="1" ht="16.5" customHeight="1" x14ac:dyDescent="0.25">
      <c r="A18" s="113" t="s">
        <v>76</v>
      </c>
      <c r="B18" s="114" t="s">
        <v>72</v>
      </c>
      <c r="C18" s="115">
        <v>700</v>
      </c>
      <c r="D18" s="115" t="s">
        <v>40</v>
      </c>
      <c r="E18" s="115">
        <v>1000</v>
      </c>
      <c r="F18" s="61" t="e">
        <f>Page2!D41</f>
        <v>#DIV/0!</v>
      </c>
      <c r="G18" s="222"/>
    </row>
    <row r="19" spans="1:7" s="95" customFormat="1" ht="16.5" customHeight="1" x14ac:dyDescent="0.25">
      <c r="A19" s="113" t="s">
        <v>77</v>
      </c>
      <c r="B19" s="114" t="s">
        <v>78</v>
      </c>
      <c r="C19" s="115">
        <v>350</v>
      </c>
      <c r="D19" s="115" t="s">
        <v>40</v>
      </c>
      <c r="E19" s="115" t="s">
        <v>40</v>
      </c>
      <c r="F19" s="61" t="e">
        <f>Page1!J39</f>
        <v>#DIV/0!</v>
      </c>
      <c r="G19" s="222"/>
    </row>
    <row r="20" spans="1:7" s="95" customFormat="1" ht="16.5" customHeight="1" x14ac:dyDescent="0.25">
      <c r="A20" s="113" t="s">
        <v>79</v>
      </c>
      <c r="B20" s="114" t="s">
        <v>78</v>
      </c>
      <c r="C20" s="115">
        <v>400</v>
      </c>
      <c r="D20" s="115" t="s">
        <v>40</v>
      </c>
      <c r="E20" s="115" t="s">
        <v>40</v>
      </c>
      <c r="F20" s="61" t="e">
        <f>Page2!E41</f>
        <v>#DIV/0!</v>
      </c>
      <c r="G20" s="222"/>
    </row>
    <row r="21" spans="1:7" s="95" customFormat="1" ht="16.5" customHeight="1" x14ac:dyDescent="0.25">
      <c r="A21" s="113" t="s">
        <v>80</v>
      </c>
      <c r="B21" s="114" t="s">
        <v>40</v>
      </c>
      <c r="C21" s="33">
        <v>0.3</v>
      </c>
      <c r="D21" s="33">
        <v>0.45</v>
      </c>
      <c r="E21" s="33">
        <v>0.6</v>
      </c>
      <c r="F21" s="33" t="e">
        <f>Page1!G39</f>
        <v>#DIV/0!</v>
      </c>
      <c r="G21" s="222"/>
    </row>
    <row r="22" spans="1:7" s="95" customFormat="1" ht="16.5" customHeight="1" x14ac:dyDescent="0.25">
      <c r="A22" s="113" t="s">
        <v>81</v>
      </c>
      <c r="B22" s="114" t="s">
        <v>40</v>
      </c>
      <c r="C22" s="33">
        <v>0.6</v>
      </c>
      <c r="D22" s="33">
        <v>0.8</v>
      </c>
      <c r="E22" s="33">
        <v>1.4</v>
      </c>
      <c r="F22" s="33" t="e">
        <f>Page1!H39</f>
        <v>#DIV/0!</v>
      </c>
      <c r="G22" s="163"/>
    </row>
    <row r="23" spans="1:7" s="95" customFormat="1" ht="16.5" customHeight="1" x14ac:dyDescent="0.25">
      <c r="A23" s="113" t="s">
        <v>82</v>
      </c>
      <c r="B23" s="114" t="s">
        <v>83</v>
      </c>
      <c r="C23" s="61">
        <v>360</v>
      </c>
      <c r="D23" s="61">
        <v>380</v>
      </c>
      <c r="E23" s="61">
        <v>400</v>
      </c>
      <c r="F23" s="61" t="e">
        <f>Page1!F39</f>
        <v>#DIV/0!</v>
      </c>
      <c r="G23" s="117" t="s">
        <v>84</v>
      </c>
    </row>
    <row r="24" spans="1:7" s="95" customFormat="1" ht="16.5" customHeight="1" x14ac:dyDescent="0.25">
      <c r="A24" s="113" t="s">
        <v>85</v>
      </c>
      <c r="B24" s="114" t="s">
        <v>86</v>
      </c>
      <c r="C24" s="115" t="s">
        <v>40</v>
      </c>
      <c r="D24" s="61">
        <f>Page2!J9</f>
        <v>250</v>
      </c>
      <c r="E24" s="61">
        <f>Page2!J10</f>
        <v>253</v>
      </c>
      <c r="F24" s="61" t="e">
        <f>Page2!I41</f>
        <v>#DIV/0!</v>
      </c>
      <c r="G24" s="117" t="s">
        <v>87</v>
      </c>
    </row>
    <row r="25" spans="1:7" s="95" customFormat="1" ht="16.5" customHeight="1" x14ac:dyDescent="0.25">
      <c r="A25" s="113" t="s">
        <v>88</v>
      </c>
      <c r="B25" s="114" t="s">
        <v>89</v>
      </c>
      <c r="C25" s="61">
        <v>6000</v>
      </c>
      <c r="D25" s="115" t="s">
        <v>40</v>
      </c>
      <c r="E25" s="115" t="s">
        <v>40</v>
      </c>
      <c r="F25" s="61">
        <v>6000</v>
      </c>
      <c r="G25" s="117" t="s">
        <v>90</v>
      </c>
    </row>
    <row r="26" spans="1:7" s="95" customFormat="1" ht="16.5" customHeight="1" thickBot="1" x14ac:dyDescent="0.3">
      <c r="A26" s="119" t="s">
        <v>91</v>
      </c>
      <c r="B26" s="120" t="s">
        <v>86</v>
      </c>
      <c r="C26" s="83">
        <v>410</v>
      </c>
      <c r="D26" s="83">
        <v>430</v>
      </c>
      <c r="E26" s="121">
        <v>450</v>
      </c>
      <c r="F26" s="121" t="e">
        <f>Page2!K41</f>
        <v>#DIV/0!</v>
      </c>
      <c r="G26" s="118" t="s">
        <v>87</v>
      </c>
    </row>
    <row r="27" spans="1:7" s="95" customFormat="1" ht="16.5" customHeight="1" thickBot="1" x14ac:dyDescent="0.3">
      <c r="A27" s="239" t="s">
        <v>92</v>
      </c>
      <c r="B27" s="240"/>
      <c r="C27" s="240"/>
      <c r="D27" s="240"/>
      <c r="E27" s="240"/>
      <c r="F27" s="240"/>
      <c r="G27" s="241"/>
    </row>
    <row r="28" spans="1:7" s="95" customFormat="1" ht="16.5" customHeight="1" x14ac:dyDescent="0.25">
      <c r="A28" s="242" t="s">
        <v>93</v>
      </c>
      <c r="B28" s="243"/>
      <c r="C28" s="244" t="s">
        <v>94</v>
      </c>
      <c r="D28" s="245"/>
      <c r="E28" s="246"/>
      <c r="F28" s="122" t="s">
        <v>95</v>
      </c>
      <c r="G28" s="82" t="s">
        <v>123</v>
      </c>
    </row>
    <row r="29" spans="1:7" s="95" customFormat="1" ht="16.5" customHeight="1" x14ac:dyDescent="0.25">
      <c r="A29" s="247" t="s">
        <v>97</v>
      </c>
      <c r="B29" s="235"/>
      <c r="C29" s="248" t="s">
        <v>98</v>
      </c>
      <c r="D29" s="249"/>
      <c r="E29" s="250"/>
      <c r="F29" s="60" t="s">
        <v>95</v>
      </c>
      <c r="G29" s="117" t="s">
        <v>96</v>
      </c>
    </row>
    <row r="30" spans="1:7" s="95" customFormat="1" ht="16.5" customHeight="1" x14ac:dyDescent="0.25">
      <c r="A30" s="247" t="s">
        <v>99</v>
      </c>
      <c r="B30" s="235"/>
      <c r="C30" s="248" t="s">
        <v>100</v>
      </c>
      <c r="D30" s="249"/>
      <c r="E30" s="250"/>
      <c r="F30" s="60" t="s">
        <v>95</v>
      </c>
      <c r="G30" s="82" t="s">
        <v>123</v>
      </c>
    </row>
    <row r="31" spans="1:7" s="95" customFormat="1" ht="16.5" customHeight="1" x14ac:dyDescent="0.25">
      <c r="A31" s="247" t="s">
        <v>101</v>
      </c>
      <c r="B31" s="235"/>
      <c r="C31" s="248" t="s">
        <v>102</v>
      </c>
      <c r="D31" s="249"/>
      <c r="E31" s="250"/>
      <c r="F31" s="60" t="s">
        <v>95</v>
      </c>
      <c r="G31" s="117" t="s">
        <v>103</v>
      </c>
    </row>
    <row r="32" spans="1:7" s="95" customFormat="1" ht="16.5" customHeight="1" x14ac:dyDescent="0.25">
      <c r="A32" s="247" t="s">
        <v>104</v>
      </c>
      <c r="B32" s="235"/>
      <c r="C32" s="248" t="s">
        <v>105</v>
      </c>
      <c r="D32" s="249"/>
      <c r="E32" s="250"/>
      <c r="F32" s="60" t="s">
        <v>95</v>
      </c>
      <c r="G32" s="117" t="s">
        <v>96</v>
      </c>
    </row>
    <row r="33" spans="1:7" s="95" customFormat="1" ht="16.5" customHeight="1" x14ac:dyDescent="0.25">
      <c r="A33" s="247" t="s">
        <v>106</v>
      </c>
      <c r="B33" s="235"/>
      <c r="C33" s="248" t="s">
        <v>107</v>
      </c>
      <c r="D33" s="249"/>
      <c r="E33" s="250"/>
      <c r="F33" s="60" t="s">
        <v>95</v>
      </c>
      <c r="G33" s="117" t="s">
        <v>124</v>
      </c>
    </row>
    <row r="34" spans="1:7" s="95" customFormat="1" ht="33" customHeight="1" thickBot="1" x14ac:dyDescent="0.3">
      <c r="A34" s="155" t="s">
        <v>108</v>
      </c>
      <c r="B34" s="156"/>
      <c r="C34" s="253" t="s">
        <v>109</v>
      </c>
      <c r="D34" s="254"/>
      <c r="E34" s="255"/>
      <c r="F34" s="123" t="s">
        <v>95</v>
      </c>
      <c r="G34" s="128" t="s">
        <v>124</v>
      </c>
    </row>
    <row r="35" spans="1:7" s="95" customFormat="1" ht="16.5" customHeight="1" thickBot="1" x14ac:dyDescent="0.3">
      <c r="A35" s="239" t="s">
        <v>110</v>
      </c>
      <c r="B35" s="240"/>
      <c r="C35" s="240"/>
      <c r="D35" s="240"/>
      <c r="E35" s="240"/>
      <c r="F35" s="240"/>
      <c r="G35" s="241"/>
    </row>
    <row r="36" spans="1:7" s="95" customFormat="1" ht="16.5" customHeight="1" x14ac:dyDescent="0.25">
      <c r="A36" s="149" t="s">
        <v>111</v>
      </c>
      <c r="B36" s="150"/>
      <c r="C36" s="251" t="s">
        <v>100</v>
      </c>
      <c r="D36" s="252"/>
      <c r="E36" s="150"/>
      <c r="F36" s="10" t="s">
        <v>95</v>
      </c>
      <c r="G36" s="82" t="s">
        <v>123</v>
      </c>
    </row>
    <row r="37" spans="1:7" s="95" customFormat="1" ht="16.5" customHeight="1" x14ac:dyDescent="0.25">
      <c r="A37" s="242" t="s">
        <v>112</v>
      </c>
      <c r="B37" s="243"/>
      <c r="C37" s="234" t="s">
        <v>113</v>
      </c>
      <c r="D37" s="257"/>
      <c r="E37" s="235"/>
      <c r="F37" s="115" t="s">
        <v>95</v>
      </c>
      <c r="G37" s="117" t="s">
        <v>96</v>
      </c>
    </row>
    <row r="38" spans="1:7" s="95" customFormat="1" ht="16.5" customHeight="1" x14ac:dyDescent="0.25">
      <c r="A38" s="247" t="s">
        <v>114</v>
      </c>
      <c r="B38" s="235"/>
      <c r="C38" s="234" t="s">
        <v>115</v>
      </c>
      <c r="D38" s="257"/>
      <c r="E38" s="235"/>
      <c r="F38" s="115" t="s">
        <v>95</v>
      </c>
      <c r="G38" s="117" t="s">
        <v>96</v>
      </c>
    </row>
    <row r="39" spans="1:7" s="95" customFormat="1" ht="16.5" customHeight="1" thickBot="1" x14ac:dyDescent="0.3">
      <c r="A39" s="155" t="s">
        <v>116</v>
      </c>
      <c r="B39" s="156"/>
      <c r="C39" s="280" t="s">
        <v>117</v>
      </c>
      <c r="D39" s="281"/>
      <c r="E39" s="156"/>
      <c r="F39" s="1" t="s">
        <v>95</v>
      </c>
      <c r="G39" s="118" t="s">
        <v>87</v>
      </c>
    </row>
    <row r="40" spans="1:7" s="95" customFormat="1" ht="16.5" customHeight="1" x14ac:dyDescent="0.25">
      <c r="A40" s="258" t="s">
        <v>118</v>
      </c>
      <c r="B40" s="259"/>
      <c r="C40" s="260" t="s">
        <v>136</v>
      </c>
      <c r="D40" s="261"/>
      <c r="E40" s="262"/>
      <c r="F40" s="260" t="s">
        <v>137</v>
      </c>
      <c r="G40" s="262"/>
    </row>
    <row r="41" spans="1:7" s="95" customFormat="1" ht="101.25" customHeight="1" x14ac:dyDescent="0.25">
      <c r="A41" s="263"/>
      <c r="B41" s="264"/>
      <c r="C41" s="267"/>
      <c r="D41" s="268"/>
      <c r="E41" s="269"/>
      <c r="F41" s="267"/>
      <c r="G41" s="269"/>
    </row>
    <row r="42" spans="1:7" s="95" customFormat="1" ht="26.25" customHeight="1" thickBot="1" x14ac:dyDescent="0.3">
      <c r="A42" s="265"/>
      <c r="B42" s="266"/>
      <c r="C42" s="270" t="s">
        <v>22</v>
      </c>
      <c r="D42" s="271"/>
      <c r="E42" s="272"/>
      <c r="F42" s="270" t="s">
        <v>138</v>
      </c>
      <c r="G42" s="272"/>
    </row>
    <row r="43" spans="1:7" x14ac:dyDescent="0.25">
      <c r="A43" s="124"/>
      <c r="B43" s="124"/>
      <c r="C43" s="124"/>
      <c r="D43" s="124"/>
      <c r="E43" s="297"/>
      <c r="F43" s="297"/>
      <c r="G43" s="297"/>
    </row>
    <row r="44" spans="1:7" x14ac:dyDescent="0.25">
      <c r="A44" s="39" t="s">
        <v>119</v>
      </c>
      <c r="B44" s="125"/>
      <c r="C44" s="127"/>
      <c r="D44" s="124"/>
      <c r="E44" s="256"/>
      <c r="F44" s="256"/>
      <c r="G44" s="256"/>
    </row>
    <row r="46" spans="1:7" x14ac:dyDescent="0.25">
      <c r="A46" s="273" t="s">
        <v>120</v>
      </c>
      <c r="B46" s="273"/>
    </row>
    <row r="47" spans="1:7" x14ac:dyDescent="0.25">
      <c r="A47" s="273" t="s">
        <v>121</v>
      </c>
      <c r="B47" s="273"/>
    </row>
  </sheetData>
  <mergeCells count="55">
    <mergeCell ref="A46:B46"/>
    <mergeCell ref="A47:B47"/>
    <mergeCell ref="A4:G4"/>
    <mergeCell ref="A5:G5"/>
    <mergeCell ref="A3:G3"/>
    <mergeCell ref="A39:B39"/>
    <mergeCell ref="C39:E39"/>
    <mergeCell ref="G8:G10"/>
    <mergeCell ref="C9:C10"/>
    <mergeCell ref="D9:E10"/>
    <mergeCell ref="A11:A12"/>
    <mergeCell ref="B11:B12"/>
    <mergeCell ref="C11:E11"/>
    <mergeCell ref="F11:F12"/>
    <mergeCell ref="G11:G12"/>
    <mergeCell ref="E43:G43"/>
    <mergeCell ref="E44:G44"/>
    <mergeCell ref="A37:B37"/>
    <mergeCell ref="C37:E37"/>
    <mergeCell ref="A38:B38"/>
    <mergeCell ref="C38:E38"/>
    <mergeCell ref="A40:B40"/>
    <mergeCell ref="C40:E40"/>
    <mergeCell ref="F40:G40"/>
    <mergeCell ref="A41:B42"/>
    <mergeCell ref="C41:E41"/>
    <mergeCell ref="F41:G41"/>
    <mergeCell ref="C42:E42"/>
    <mergeCell ref="F42:G42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G15:G22"/>
    <mergeCell ref="A27:G27"/>
    <mergeCell ref="A28:B28"/>
    <mergeCell ref="C28:E28"/>
    <mergeCell ref="A29:B29"/>
    <mergeCell ref="C29:E29"/>
    <mergeCell ref="D8:E8"/>
    <mergeCell ref="F8:F10"/>
    <mergeCell ref="A1:G1"/>
    <mergeCell ref="D6:E6"/>
    <mergeCell ref="F6:F7"/>
    <mergeCell ref="G6:G7"/>
    <mergeCell ref="D7:E7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2026-01-09T16:35:23Z</dcterms:modified>
</cp:coreProperties>
</file>