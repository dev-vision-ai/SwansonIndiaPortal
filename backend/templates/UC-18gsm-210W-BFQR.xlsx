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5AC999A6-C07F-43C6-867A-BC228902F6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4" i="10" l="1"/>
  <c r="D24" i="10"/>
  <c r="J5" i="9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G8" i="10"/>
  <c r="G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<sst xmlns="http://schemas.openxmlformats.org/spreadsheetml/2006/main" count="235" uniqueCount="143">
  <si>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</si>
  <si>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</si>
  <si>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</si>
  <si>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</si>
  <si>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</si>
  <si>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</si>
  <si>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</si>
  <si>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</si>
  <si>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</si>
  <si>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</si>
  <si>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</si>
  <si>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</si>
  <si>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</si>
  <si>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</si>
  <si>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</si>
  <si>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</si>
  <si>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</si>
  <si>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</si>
  <si>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</si>
  <si>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</si>
  <si>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</si>
  <si>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</si>
  <si>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</si>
  <si>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</si>
  <si>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</si>
  <si>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</si>
  <si>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</si>
  <si>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</si>
  <si>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</si>
  <si>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</si>
  <si>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</si>
  <si>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</si>
  <si>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</si>
  <si>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</si>
  <si>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</si>
  <si>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</si>
  <si>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</si>
  <si>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</si>
  <si>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</si>
  <si>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</si>
  <si>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</si>
  <si>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</si>
  <si>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</si>
  <si>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</si>
  <si>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</si>
  <si>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</si>
  <si>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</si>
  <si>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</si>
  <si>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</si>
  <si>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</si>
  <si>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</si>
  <si>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</si>
  <si>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</si>
  <si>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</si>
  <si>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</si>
  <si>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</si>
  <si>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</si>
  <si>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</si>
  <si>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</si>
  <si>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</si>
  <si>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</si>
  <si>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</si>
  <si>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</si>
  <si>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</si>
  <si>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</si>
  <si>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</si>
  <si>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</si>
  <si>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</si>
  <si>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</si>
  <si>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</si>
  <si>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</si>
  <si>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</si>
  <si>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</si>
  <si>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</si>
  <si>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</si>
  <si>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</si>
  <si>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</si>
  <si>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</si>
  <si>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</si>
  <si>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</si>
  <si>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</si>
  <si>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</si>
  <si>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</si>
  <si>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</si>
  <si>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</si>
  <si>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</si>
  <si>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</si>
  <si>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</si>
  <si>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</si>
  <si>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</si>
  <si>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</si>
  <si>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</si>
  <si>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</si>
  <si>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</si>
  <si>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</si>
  <si>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</si>
  <si>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</si>
  <si>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</si>
  <si>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</si>
  <si>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</si>
  <si>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</si>
  <si>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</si>
  <si>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</si>
  <si>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</si>
  <si>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</si>
  <si>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</si>
  <si>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</si>
  <si>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</si>
  <si>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</si>
  <si>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</si>
  <si>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</si>
  <si>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</si>
  <si>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</si>
  <si>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</si>
  <si>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</si>
  <si>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</si>
  <si>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</si>
  <si>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</si>
  <si>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</si>
  <si>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</si>
  <si>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</si>
  <si>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</si>
  <si>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</si>
  <si>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</si>
  <si>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</si>
  <si>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</si>
  <si>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</si>
  <si>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</si>
  <si>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</si>
  <si>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Colour L
L-55.00 T-60.00 U-65.00</t>
  </si>
  <si>
    <t>Colour A
L-45.00 T-50.00 U-55.00</t>
  </si>
  <si>
    <t>Colour B
L-(-16.00) T-(-11.00) U-(-6.00)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</si>
  <si>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</si>
  <si>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</si>
  <si>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</si>
  <si>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</si>
  <si>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</si>
  <si>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</si>
  <si>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</si>
  <si>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</si>
  <si>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</si>
  <si>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#02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</si>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</sst>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5" xfId="0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165" fontId="1" fillId="2" borderId="47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25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38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1" fillId="2" borderId="66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6" xfId="0" applyNumberFormat="1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top" wrapText="1"/>
    </xf>
    <xf numFmtId="0" fontId="6" fillId="2" borderId="25" xfId="0" applyFont="1" applyFill="1" applyBorder="1" applyAlignment="1">
      <alignment horizontal="center" vertical="top" wrapText="1"/>
    </xf>
    <xf numFmtId="0" fontId="6" fillId="2" borderId="33" xfId="0" applyFont="1" applyFill="1" applyBorder="1" applyAlignment="1">
      <alignment horizontal="center" vertical="top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66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D9" sqref="D9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3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44" t="s">
        <v>17</v>
      </c>
      <c r="B4" s="145"/>
      <c r="C4" s="146"/>
      <c r="D4" s="147"/>
      <c r="E4" s="9" t="s">
        <v>4</v>
      </c>
      <c r="F4" s="8"/>
      <c r="G4" s="9" t="s">
        <v>5</v>
      </c>
      <c r="H4" s="10"/>
      <c r="I4" s="11" t="s">
        <v>6</v>
      </c>
      <c r="J4" s="139"/>
      <c r="K4" s="140"/>
      <c r="M4" s="45" t="s">
        <v>28</v>
      </c>
    </row>
    <row r="5" spans="1:13" s="45" customFormat="1" ht="23.25" customHeight="1" thickBot="1" x14ac:dyDescent="0.3">
      <c r="A5" s="148" t="s">
        <v>18</v>
      </c>
      <c r="B5" s="149"/>
      <c r="C5" s="150"/>
      <c r="D5" s="151"/>
      <c r="E5" s="13" t="s">
        <v>7</v>
      </c>
      <c r="F5" s="14"/>
      <c r="G5" s="13" t="s">
        <v>8</v>
      </c>
      <c r="H5" s="15"/>
      <c r="I5" s="16" t="s">
        <v>9</v>
      </c>
      <c r="J5" s="141"/>
      <c r="K5" s="142"/>
    </row>
    <row r="6" spans="1:13" s="45" customFormat="1" ht="15.75" customHeight="1" thickBot="1" x14ac:dyDescent="0.3">
      <c r="A6" s="157" t="s">
        <v>134</v>
      </c>
      <c r="B6" s="158"/>
      <c r="C6" s="159"/>
      <c r="D6" s="17"/>
      <c r="E6" s="17"/>
      <c r="F6" s="17" t="s">
        <v>142</v>
      </c>
      <c r="G6" s="134"/>
      <c r="H6" s="155"/>
      <c r="I6" s="134"/>
      <c r="J6" s="135"/>
      <c r="K6" s="136"/>
    </row>
    <row r="7" spans="1:13" s="5" customFormat="1" ht="15" customHeight="1" x14ac:dyDescent="0.25">
      <c r="A7" s="160" t="s">
        <v>0</v>
      </c>
      <c r="B7" s="137"/>
      <c r="C7" s="137"/>
      <c r="D7" s="137" t="s">
        <v>38</v>
      </c>
      <c r="E7" s="137" t="s">
        <v>15</v>
      </c>
      <c r="F7" s="137" t="s">
        <v>25</v>
      </c>
      <c r="G7" s="152" t="s">
        <v>33</v>
      </c>
      <c r="H7" s="152" t="s">
        <v>122</v>
      </c>
      <c r="I7" s="137" t="s">
        <v>1</v>
      </c>
      <c r="J7" s="137"/>
      <c r="K7" s="138"/>
    </row>
    <row r="8" spans="1:13" s="5" customFormat="1" ht="48.75" customHeight="1" thickBot="1" x14ac:dyDescent="0.3">
      <c r="A8" s="161"/>
      <c r="B8" s="154"/>
      <c r="C8" s="154"/>
      <c r="D8" s="154"/>
      <c r="E8" s="154" t="s">
        <v>3</v>
      </c>
      <c r="F8" s="154"/>
      <c r="G8" s="153"/>
      <c r="H8" s="153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68" t="s">
        <v>26</v>
      </c>
      <c r="B39" s="169"/>
      <c r="C39" s="170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65" t="s">
        <v>31</v>
      </c>
      <c r="B40" s="166"/>
      <c r="C40" s="167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62" t="s">
        <v>32</v>
      </c>
      <c r="B41" s="163"/>
      <c r="C41" s="164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71"/>
      <c r="C42" s="17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72"/>
      <c r="C43" s="17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56" t="s">
        <v>21</v>
      </c>
      <c r="B44" s="156"/>
      <c r="C44" s="156"/>
      <c r="D44" s="44"/>
      <c r="E44" s="44"/>
      <c r="F44" s="47" t="s">
        <v>132</v>
      </c>
      <c r="G44" s="46">
        <v>461359700</v>
      </c>
      <c r="H44" s="44"/>
    </row>
    <row r="45" spans="1:14" s="45" customFormat="1" ht="16.5" customHeight="1" x14ac:dyDescent="0.25">
      <c r="A45" s="156" t="s">
        <v>133</v>
      </c>
      <c r="B45" s="156"/>
      <c r="C45" s="156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A45:C45"/>
    <mergeCell ref="A6:C6"/>
    <mergeCell ref="A7:C8"/>
    <mergeCell ref="A41:C41"/>
    <mergeCell ref="A40:C40"/>
    <mergeCell ref="A39:C39"/>
    <mergeCell ref="B42:C42"/>
    <mergeCell ref="A44:C44"/>
    <mergeCell ref="B43:C43"/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</mergeCells>
  <phoneticPr fontId="10" type="noConversion"/>
  <conditionalFormatting sqref="D9:D41">
    <cfRule type="cellIs" dxfId="93" priority="13" operator="notBetween">
      <formula>17</formula>
      <formula>20</formula>
    </cfRule>
  </conditionalFormatting>
  <conditionalFormatting sqref="E9:E41">
    <cfRule type="cellIs" dxfId="92" priority="11" operator="notBetween">
      <formula>18</formula>
      <formula>28</formula>
    </cfRule>
  </conditionalFormatting>
  <conditionalFormatting sqref="F9:F41">
    <cfRule type="cellIs" dxfId="91" priority="9" operator="notBetween">
      <formula>360</formula>
      <formula>400</formula>
    </cfRule>
  </conditionalFormatting>
  <conditionalFormatting sqref="G9:G41">
    <cfRule type="cellIs" dxfId="90" priority="7" operator="notBetween">
      <formula>0.3</formula>
      <formula>0.6</formula>
    </cfRule>
  </conditionalFormatting>
  <conditionalFormatting sqref="H9:H38">
    <cfRule type="cellIs" dxfId="89" priority="1" stopIfTrue="1" operator="notBetween">
      <formula>0.6</formula>
      <formula>1.4</formula>
    </cfRule>
  </conditionalFormatting>
  <conditionalFormatting sqref="I9:I41">
    <cfRule type="cellIs" dxfId="88" priority="5" operator="notBetween">
      <formula>900</formula>
      <formula>1200</formula>
    </cfRule>
  </conditionalFormatting>
  <conditionalFormatting sqref="J9:J41">
    <cfRule type="cellIs" dxfId="87" priority="4" operator="lessThan">
      <formula>350</formula>
    </cfRule>
  </conditionalFormatting>
  <conditionalFormatting sqref="K9:K41">
    <cfRule type="cellIs" dxfId="86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B30" sqref="B30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1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4" t="s">
        <v>17</v>
      </c>
      <c r="B4" s="145">
        <f>Page1!B4:D4</f>
        <v>0</v>
      </c>
      <c r="C4" s="177">
        <f>Page1!C4</f>
        <v>0</v>
      </c>
      <c r="D4" s="178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179">
        <f>Page1!J4</f>
        <v>0</v>
      </c>
      <c r="K4" s="180"/>
    </row>
    <row r="5" spans="1:11" s="45" customFormat="1" ht="23.25" customHeight="1" thickBot="1" x14ac:dyDescent="0.3">
      <c r="A5" s="148" t="s">
        <v>18</v>
      </c>
      <c r="B5" s="149">
        <f>Page1!B5:D5</f>
        <v>0</v>
      </c>
      <c r="C5" s="150">
        <f>Page1!C5</f>
        <v>0</v>
      </c>
      <c r="D5" s="151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95">
        <f>Page1!J5</f>
        <v>0</v>
      </c>
      <c r="K5" s="196"/>
    </row>
    <row r="6" spans="1:11" s="45" customFormat="1" ht="15.75" customHeight="1" thickBot="1" x14ac:dyDescent="0.3">
      <c r="A6" s="213" t="s">
        <v>134</v>
      </c>
      <c r="B6" s="214"/>
      <c r="C6" s="215"/>
      <c r="D6" s="197"/>
      <c r="E6" s="198"/>
      <c r="F6" s="186"/>
      <c r="G6" s="185"/>
      <c r="H6" s="186"/>
      <c r="I6" s="211"/>
      <c r="J6" s="212"/>
      <c r="K6" s="55"/>
    </row>
    <row r="7" spans="1:11" s="5" customFormat="1" ht="15" customHeight="1" x14ac:dyDescent="0.25">
      <c r="A7" s="197" t="s">
        <v>0</v>
      </c>
      <c r="B7" s="198"/>
      <c r="C7" s="198"/>
      <c r="D7" s="216" t="s">
        <v>2</v>
      </c>
      <c r="E7" s="198"/>
      <c r="F7" s="178"/>
      <c r="G7" s="185" t="s">
        <v>125</v>
      </c>
      <c r="H7" s="198"/>
      <c r="I7" s="185" t="s">
        <v>135</v>
      </c>
      <c r="J7" s="186"/>
      <c r="K7" s="204" t="s">
        <v>121</v>
      </c>
    </row>
    <row r="8" spans="1:11" s="5" customFormat="1" ht="15" customHeight="1" x14ac:dyDescent="0.25">
      <c r="A8" s="199"/>
      <c r="B8" s="200"/>
      <c r="C8" s="200"/>
      <c r="D8" s="199" t="s">
        <v>13</v>
      </c>
      <c r="E8" s="208" t="s">
        <v>14</v>
      </c>
      <c r="F8" s="209" t="s">
        <v>12</v>
      </c>
      <c r="G8" s="201"/>
      <c r="H8" s="200"/>
      <c r="I8" s="201" t="s">
        <v>136</v>
      </c>
      <c r="J8" s="209"/>
      <c r="K8" s="205"/>
    </row>
    <row r="9" spans="1:11" s="5" customFormat="1" ht="15" customHeight="1" x14ac:dyDescent="0.25">
      <c r="A9" s="199"/>
      <c r="B9" s="200"/>
      <c r="C9" s="200"/>
      <c r="D9" s="199"/>
      <c r="E9" s="152"/>
      <c r="F9" s="209"/>
      <c r="G9" s="201"/>
      <c r="H9" s="200"/>
      <c r="I9" s="57" t="s">
        <v>123</v>
      </c>
      <c r="J9" s="58">
        <v>210</v>
      </c>
      <c r="K9" s="205"/>
    </row>
    <row r="10" spans="1:11" s="5" customFormat="1" ht="18.75" customHeight="1" thickBot="1" x14ac:dyDescent="0.3">
      <c r="A10" s="199"/>
      <c r="B10" s="200"/>
      <c r="C10" s="200"/>
      <c r="D10" s="207"/>
      <c r="E10" s="153"/>
      <c r="F10" s="210"/>
      <c r="G10" s="202"/>
      <c r="H10" s="203"/>
      <c r="I10" s="59" t="s">
        <v>124</v>
      </c>
      <c r="J10" s="60">
        <v>213</v>
      </c>
      <c r="K10" s="206"/>
    </row>
    <row r="11" spans="1:11" s="45" customFormat="1" ht="19.5" customHeight="1" x14ac:dyDescent="0.25">
      <c r="A11" s="120">
        <f>Page1!A9</f>
        <v>0</v>
      </c>
      <c r="B11" s="121">
        <f>Page1!B9</f>
        <v>0</v>
      </c>
      <c r="C11" s="122">
        <f>Page1!C9</f>
        <v>0</v>
      </c>
      <c r="D11" s="61"/>
      <c r="E11" s="24"/>
      <c r="F11" s="24"/>
      <c r="G11" s="194"/>
      <c r="H11" s="194"/>
      <c r="I11" s="181"/>
      <c r="J11" s="182"/>
      <c r="K11" s="62"/>
    </row>
    <row r="12" spans="1:11" s="45" customFormat="1" ht="19.5" customHeight="1" x14ac:dyDescent="0.25">
      <c r="A12" s="123">
        <f>Page1!A10</f>
        <v>0</v>
      </c>
      <c r="B12" s="124">
        <f>Page1!B10</f>
        <v>0</v>
      </c>
      <c r="C12" s="125">
        <f>Page1!C10</f>
        <v>0</v>
      </c>
      <c r="D12" s="63"/>
      <c r="E12" s="25"/>
      <c r="F12" s="25"/>
      <c r="G12" s="193"/>
      <c r="H12" s="193"/>
      <c r="I12" s="183"/>
      <c r="J12" s="184"/>
      <c r="K12" s="64"/>
    </row>
    <row r="13" spans="1:11" s="45" customFormat="1" ht="19.5" customHeight="1" x14ac:dyDescent="0.25">
      <c r="A13" s="123">
        <f>Page1!A11</f>
        <v>0</v>
      </c>
      <c r="B13" s="124">
        <f>Page1!B11</f>
        <v>0</v>
      </c>
      <c r="C13" s="126">
        <f>Page1!C11</f>
        <v>0</v>
      </c>
      <c r="D13" s="63"/>
      <c r="E13" s="25"/>
      <c r="F13" s="25"/>
      <c r="G13" s="193"/>
      <c r="H13" s="193"/>
      <c r="I13" s="183"/>
      <c r="J13" s="184"/>
      <c r="K13" s="64"/>
    </row>
    <row r="14" spans="1:11" s="45" customFormat="1" ht="19.5" customHeight="1" x14ac:dyDescent="0.25">
      <c r="A14" s="123">
        <f>Page1!A12</f>
        <v>0</v>
      </c>
      <c r="B14" s="127">
        <f>Page1!B12</f>
        <v>0</v>
      </c>
      <c r="C14" s="126">
        <f>Page1!C12</f>
        <v>0</v>
      </c>
      <c r="D14" s="63"/>
      <c r="E14" s="25"/>
      <c r="F14" s="25"/>
      <c r="G14" s="193"/>
      <c r="H14" s="193"/>
      <c r="I14" s="183"/>
      <c r="J14" s="184"/>
      <c r="K14" s="64"/>
    </row>
    <row r="15" spans="1:11" s="45" customFormat="1" ht="19.5" customHeight="1" x14ac:dyDescent="0.25">
      <c r="A15" s="123">
        <f>Page1!A13</f>
        <v>0</v>
      </c>
      <c r="B15" s="124">
        <f>Page1!B13</f>
        <v>0</v>
      </c>
      <c r="C15" s="125">
        <f>Page1!C13</f>
        <v>0</v>
      </c>
      <c r="D15" s="63"/>
      <c r="E15" s="25"/>
      <c r="F15" s="25"/>
      <c r="G15" s="193"/>
      <c r="H15" s="193"/>
      <c r="I15" s="183"/>
      <c r="J15" s="184"/>
      <c r="K15" s="64"/>
    </row>
    <row r="16" spans="1:11" s="45" customFormat="1" ht="19.5" customHeight="1" x14ac:dyDescent="0.25">
      <c r="A16" s="123">
        <f>Page1!A14</f>
        <v>0</v>
      </c>
      <c r="B16" s="124">
        <f>Page1!B14</f>
        <v>0</v>
      </c>
      <c r="C16" s="125">
        <f>Page1!C14</f>
        <v>0</v>
      </c>
      <c r="D16" s="61"/>
      <c r="E16" s="24"/>
      <c r="F16" s="24"/>
      <c r="G16" s="194"/>
      <c r="H16" s="194"/>
      <c r="I16" s="183"/>
      <c r="J16" s="184"/>
      <c r="K16" s="62"/>
    </row>
    <row r="17" spans="1:11" s="45" customFormat="1" ht="19.5" customHeight="1" x14ac:dyDescent="0.25">
      <c r="A17" s="123">
        <f>Page1!A15</f>
        <v>0</v>
      </c>
      <c r="B17" s="124">
        <f>Page1!B15</f>
        <v>0</v>
      </c>
      <c r="C17" s="125">
        <f>Page1!C15</f>
        <v>0</v>
      </c>
      <c r="D17" s="63"/>
      <c r="E17" s="25"/>
      <c r="F17" s="25"/>
      <c r="G17" s="193"/>
      <c r="H17" s="193"/>
      <c r="I17" s="183"/>
      <c r="J17" s="184"/>
      <c r="K17" s="64"/>
    </row>
    <row r="18" spans="1:11" s="45" customFormat="1" ht="19.5" customHeight="1" x14ac:dyDescent="0.25">
      <c r="A18" s="123">
        <f>Page1!A16</f>
        <v>0</v>
      </c>
      <c r="B18" s="124">
        <f>Page1!B16</f>
        <v>0</v>
      </c>
      <c r="C18" s="125">
        <f>Page1!C16</f>
        <v>0</v>
      </c>
      <c r="D18" s="63"/>
      <c r="E18" s="25"/>
      <c r="F18" s="25"/>
      <c r="G18" s="193"/>
      <c r="H18" s="193"/>
      <c r="I18" s="183"/>
      <c r="J18" s="184"/>
      <c r="K18" s="64"/>
    </row>
    <row r="19" spans="1:11" s="45" customFormat="1" ht="19.5" customHeight="1" x14ac:dyDescent="0.25">
      <c r="A19" s="123">
        <f>Page1!A17</f>
        <v>0</v>
      </c>
      <c r="B19" s="128">
        <f>Page1!B17</f>
        <v>0</v>
      </c>
      <c r="C19" s="125">
        <f>Page1!C17</f>
        <v>0</v>
      </c>
      <c r="D19" s="63"/>
      <c r="E19" s="25"/>
      <c r="F19" s="25"/>
      <c r="G19" s="193"/>
      <c r="H19" s="193"/>
      <c r="I19" s="183"/>
      <c r="J19" s="184"/>
      <c r="K19" s="64"/>
    </row>
    <row r="20" spans="1:11" s="45" customFormat="1" ht="19.5" customHeight="1" x14ac:dyDescent="0.25">
      <c r="A20" s="123">
        <f>Page1!A18</f>
        <v>0</v>
      </c>
      <c r="B20" s="124">
        <f>Page1!B18</f>
        <v>0</v>
      </c>
      <c r="C20" s="125">
        <f>Page1!C18</f>
        <v>0</v>
      </c>
      <c r="D20" s="63"/>
      <c r="E20" s="25"/>
      <c r="F20" s="25"/>
      <c r="G20" s="189"/>
      <c r="H20" s="190"/>
      <c r="I20" s="183"/>
      <c r="J20" s="184"/>
      <c r="K20" s="64"/>
    </row>
    <row r="21" spans="1:11" s="45" customFormat="1" ht="19.5" customHeight="1" x14ac:dyDescent="0.25">
      <c r="A21" s="129">
        <f>Page1!A19</f>
        <v>0</v>
      </c>
      <c r="B21" s="128">
        <f>Page1!B19</f>
        <v>0</v>
      </c>
      <c r="C21" s="126">
        <f>Page1!C19</f>
        <v>0</v>
      </c>
      <c r="D21" s="63"/>
      <c r="E21" s="25"/>
      <c r="F21" s="25"/>
      <c r="G21" s="189"/>
      <c r="H21" s="190"/>
      <c r="I21" s="183"/>
      <c r="J21" s="184"/>
      <c r="K21" s="64"/>
    </row>
    <row r="22" spans="1:11" s="45" customFormat="1" ht="19.5" customHeight="1" x14ac:dyDescent="0.25">
      <c r="A22" s="123">
        <f>Page1!A20</f>
        <v>0</v>
      </c>
      <c r="B22" s="124">
        <f>Page1!B20</f>
        <v>0</v>
      </c>
      <c r="C22" s="125">
        <f>Page1!C20</f>
        <v>0</v>
      </c>
      <c r="D22" s="63"/>
      <c r="E22" s="25"/>
      <c r="F22" s="25"/>
      <c r="G22" s="189"/>
      <c r="H22" s="190"/>
      <c r="I22" s="183"/>
      <c r="J22" s="184"/>
      <c r="K22" s="64"/>
    </row>
    <row r="23" spans="1:11" s="45" customFormat="1" ht="19.5" customHeight="1" x14ac:dyDescent="0.25">
      <c r="A23" s="123">
        <f>Page1!A21</f>
        <v>0</v>
      </c>
      <c r="B23" s="124">
        <f>Page1!B21</f>
        <v>0</v>
      </c>
      <c r="C23" s="126">
        <f>Page1!C21</f>
        <v>0</v>
      </c>
      <c r="D23" s="63"/>
      <c r="E23" s="25"/>
      <c r="F23" s="25"/>
      <c r="G23" s="189"/>
      <c r="H23" s="190"/>
      <c r="I23" s="183"/>
      <c r="J23" s="184"/>
      <c r="K23" s="64"/>
    </row>
    <row r="24" spans="1:11" s="45" customFormat="1" ht="19.5" customHeight="1" x14ac:dyDescent="0.25">
      <c r="A24" s="123">
        <f>Page1!A22</f>
        <v>0</v>
      </c>
      <c r="B24" s="127">
        <f>Page1!B22</f>
        <v>0</v>
      </c>
      <c r="C24" s="126">
        <f>Page1!C22</f>
        <v>0</v>
      </c>
      <c r="D24" s="63"/>
      <c r="E24" s="25"/>
      <c r="F24" s="25"/>
      <c r="G24" s="189"/>
      <c r="H24" s="190"/>
      <c r="I24" s="183"/>
      <c r="J24" s="184"/>
      <c r="K24" s="64"/>
    </row>
    <row r="25" spans="1:11" s="45" customFormat="1" ht="19.5" customHeight="1" x14ac:dyDescent="0.25">
      <c r="A25" s="123">
        <f>Page1!A23</f>
        <v>0</v>
      </c>
      <c r="B25" s="124">
        <f>Page1!B23</f>
        <v>0</v>
      </c>
      <c r="C25" s="125">
        <f>Page1!C23</f>
        <v>0</v>
      </c>
      <c r="D25" s="63"/>
      <c r="E25" s="25"/>
      <c r="F25" s="25"/>
      <c r="G25" s="189"/>
      <c r="H25" s="190"/>
      <c r="I25" s="183"/>
      <c r="J25" s="184"/>
      <c r="K25" s="64"/>
    </row>
    <row r="26" spans="1:11" s="45" customFormat="1" ht="19.5" customHeight="1" x14ac:dyDescent="0.25">
      <c r="A26" s="123">
        <f>Page1!A24</f>
        <v>0</v>
      </c>
      <c r="B26" s="124">
        <f>Page1!B24</f>
        <v>0</v>
      </c>
      <c r="C26" s="125">
        <f>Page1!C24</f>
        <v>0</v>
      </c>
      <c r="D26" s="63"/>
      <c r="E26" s="25"/>
      <c r="F26" s="25"/>
      <c r="G26" s="189"/>
      <c r="H26" s="190"/>
      <c r="I26" s="183"/>
      <c r="J26" s="184"/>
      <c r="K26" s="64"/>
    </row>
    <row r="27" spans="1:11" s="45" customFormat="1" ht="19.5" customHeight="1" x14ac:dyDescent="0.25">
      <c r="A27" s="123">
        <f>Page1!A25</f>
        <v>0</v>
      </c>
      <c r="B27" s="124">
        <f>Page1!B25</f>
        <v>0</v>
      </c>
      <c r="C27" s="125">
        <f>Page1!C25</f>
        <v>0</v>
      </c>
      <c r="D27" s="63"/>
      <c r="E27" s="25"/>
      <c r="F27" s="25"/>
      <c r="G27" s="189"/>
      <c r="H27" s="190"/>
      <c r="I27" s="183"/>
      <c r="J27" s="184"/>
      <c r="K27" s="64"/>
    </row>
    <row r="28" spans="1:11" s="45" customFormat="1" ht="19.5" customHeight="1" x14ac:dyDescent="0.25">
      <c r="A28" s="123">
        <f>Page1!A26</f>
        <v>0</v>
      </c>
      <c r="B28" s="124">
        <f>Page1!B26</f>
        <v>0</v>
      </c>
      <c r="C28" s="125">
        <f>Page1!C26</f>
        <v>0</v>
      </c>
      <c r="D28" s="63"/>
      <c r="E28" s="25"/>
      <c r="F28" s="25"/>
      <c r="G28" s="189"/>
      <c r="H28" s="190"/>
      <c r="I28" s="183"/>
      <c r="J28" s="184"/>
      <c r="K28" s="64"/>
    </row>
    <row r="29" spans="1:11" s="45" customFormat="1" ht="19.5" customHeight="1" x14ac:dyDescent="0.25">
      <c r="A29" s="123">
        <f>Page1!A27</f>
        <v>0</v>
      </c>
      <c r="B29" s="128">
        <f>Page1!B27</f>
        <v>0</v>
      </c>
      <c r="C29" s="125">
        <f>Page1!C27</f>
        <v>0</v>
      </c>
      <c r="D29" s="63"/>
      <c r="E29" s="25"/>
      <c r="F29" s="25"/>
      <c r="G29" s="189"/>
      <c r="H29" s="190"/>
      <c r="I29" s="183"/>
      <c r="J29" s="184"/>
      <c r="K29" s="64"/>
    </row>
    <row r="30" spans="1:11" s="45" customFormat="1" ht="19.5" customHeight="1" x14ac:dyDescent="0.25">
      <c r="A30" s="123">
        <f>Page1!A28</f>
        <v>0</v>
      </c>
      <c r="B30" s="124">
        <f>Page1!B28</f>
        <v>0</v>
      </c>
      <c r="C30" s="125">
        <f>Page1!C28</f>
        <v>0</v>
      </c>
      <c r="D30" s="63"/>
      <c r="E30" s="25"/>
      <c r="F30" s="25"/>
      <c r="G30" s="189"/>
      <c r="H30" s="190"/>
      <c r="I30" s="183"/>
      <c r="J30" s="184"/>
      <c r="K30" s="64"/>
    </row>
    <row r="31" spans="1:11" s="45" customFormat="1" ht="19.5" customHeight="1" x14ac:dyDescent="0.25">
      <c r="A31" s="129">
        <f>Page1!A29</f>
        <v>0</v>
      </c>
      <c r="B31" s="128">
        <f>Page1!B29</f>
        <v>0</v>
      </c>
      <c r="C31" s="126">
        <f>Page1!C29</f>
        <v>0</v>
      </c>
      <c r="D31" s="63"/>
      <c r="E31" s="25"/>
      <c r="F31" s="25"/>
      <c r="G31" s="189"/>
      <c r="H31" s="190"/>
      <c r="I31" s="183"/>
      <c r="J31" s="184"/>
      <c r="K31" s="64"/>
    </row>
    <row r="32" spans="1:11" s="45" customFormat="1" ht="19.5" customHeight="1" x14ac:dyDescent="0.25">
      <c r="A32" s="123">
        <f>Page1!A30</f>
        <v>0</v>
      </c>
      <c r="B32" s="124">
        <f>Page1!B30</f>
        <v>0</v>
      </c>
      <c r="C32" s="125">
        <f>Page1!C30</f>
        <v>0</v>
      </c>
      <c r="D32" s="63"/>
      <c r="E32" s="25"/>
      <c r="F32" s="25"/>
      <c r="G32" s="189"/>
      <c r="H32" s="190"/>
      <c r="I32" s="183"/>
      <c r="J32" s="184"/>
      <c r="K32" s="64"/>
    </row>
    <row r="33" spans="1:11" s="45" customFormat="1" ht="19.5" customHeight="1" x14ac:dyDescent="0.25">
      <c r="A33" s="123">
        <f>Page1!A31</f>
        <v>0</v>
      </c>
      <c r="B33" s="124">
        <f>Page1!B31</f>
        <v>0</v>
      </c>
      <c r="C33" s="126">
        <f>Page1!C31</f>
        <v>0</v>
      </c>
      <c r="D33" s="63"/>
      <c r="E33" s="25"/>
      <c r="F33" s="25"/>
      <c r="G33" s="189"/>
      <c r="H33" s="190"/>
      <c r="I33" s="183"/>
      <c r="J33" s="184"/>
      <c r="K33" s="64"/>
    </row>
    <row r="34" spans="1:11" s="45" customFormat="1" ht="19.5" customHeight="1" x14ac:dyDescent="0.25">
      <c r="A34" s="123">
        <f>Page1!A32</f>
        <v>0</v>
      </c>
      <c r="B34" s="127">
        <f>Page1!B32</f>
        <v>0</v>
      </c>
      <c r="C34" s="126">
        <f>Page1!C32</f>
        <v>0</v>
      </c>
      <c r="D34" s="63"/>
      <c r="E34" s="25"/>
      <c r="F34" s="25"/>
      <c r="G34" s="189"/>
      <c r="H34" s="190"/>
      <c r="I34" s="183"/>
      <c r="J34" s="184"/>
      <c r="K34" s="64"/>
    </row>
    <row r="35" spans="1:11" s="45" customFormat="1" ht="19.5" customHeight="1" x14ac:dyDescent="0.25">
      <c r="A35" s="123">
        <f>Page1!A33</f>
        <v>0</v>
      </c>
      <c r="B35" s="124">
        <f>Page1!B33</f>
        <v>0</v>
      </c>
      <c r="C35" s="125">
        <f>Page1!C33</f>
        <v>0</v>
      </c>
      <c r="D35" s="63"/>
      <c r="E35" s="25"/>
      <c r="F35" s="25"/>
      <c r="G35" s="189"/>
      <c r="H35" s="190"/>
      <c r="I35" s="183"/>
      <c r="J35" s="184"/>
      <c r="K35" s="64"/>
    </row>
    <row r="36" spans="1:11" s="45" customFormat="1" ht="19.5" customHeight="1" x14ac:dyDescent="0.25">
      <c r="A36" s="123">
        <f>Page1!A34</f>
        <v>0</v>
      </c>
      <c r="B36" s="124">
        <f>Page1!B34</f>
        <v>0</v>
      </c>
      <c r="C36" s="125">
        <f>Page1!C34</f>
        <v>0</v>
      </c>
      <c r="D36" s="63"/>
      <c r="E36" s="25"/>
      <c r="F36" s="25"/>
      <c r="G36" s="189"/>
      <c r="H36" s="190"/>
      <c r="I36" s="183"/>
      <c r="J36" s="184"/>
      <c r="K36" s="64"/>
    </row>
    <row r="37" spans="1:11" s="45" customFormat="1" ht="19.5" customHeight="1" x14ac:dyDescent="0.25">
      <c r="A37" s="123">
        <f>Page1!A35</f>
        <v>0</v>
      </c>
      <c r="B37" s="124">
        <f>Page1!B35</f>
        <v>0</v>
      </c>
      <c r="C37" s="125">
        <f>Page1!C35</f>
        <v>0</v>
      </c>
      <c r="D37" s="63"/>
      <c r="E37" s="25"/>
      <c r="F37" s="25"/>
      <c r="G37" s="189"/>
      <c r="H37" s="190"/>
      <c r="I37" s="183"/>
      <c r="J37" s="184"/>
      <c r="K37" s="64"/>
    </row>
    <row r="38" spans="1:11" s="45" customFormat="1" ht="19.5" customHeight="1" x14ac:dyDescent="0.25">
      <c r="A38" s="123">
        <f>Page1!A36</f>
        <v>0</v>
      </c>
      <c r="B38" s="124">
        <f>Page1!B36</f>
        <v>0</v>
      </c>
      <c r="C38" s="125">
        <f>Page1!C36</f>
        <v>0</v>
      </c>
      <c r="D38" s="63"/>
      <c r="E38" s="25"/>
      <c r="F38" s="25"/>
      <c r="G38" s="189"/>
      <c r="H38" s="190"/>
      <c r="I38" s="183"/>
      <c r="J38" s="184"/>
      <c r="K38" s="64"/>
    </row>
    <row r="39" spans="1:11" s="45" customFormat="1" ht="19.5" customHeight="1" x14ac:dyDescent="0.25">
      <c r="A39" s="123">
        <f>Page1!A37</f>
        <v>0</v>
      </c>
      <c r="B39" s="124">
        <f>Page1!B37</f>
        <v>0</v>
      </c>
      <c r="C39" s="125">
        <f>Page1!C37</f>
        <v>0</v>
      </c>
      <c r="D39" s="63"/>
      <c r="E39" s="25"/>
      <c r="F39" s="25"/>
      <c r="G39" s="189"/>
      <c r="H39" s="190"/>
      <c r="I39" s="183"/>
      <c r="J39" s="184"/>
      <c r="K39" s="64"/>
    </row>
    <row r="40" spans="1:11" s="45" customFormat="1" ht="19.5" customHeight="1" thickBot="1" x14ac:dyDescent="0.3">
      <c r="A40" s="130">
        <f>Page1!A38</f>
        <v>0</v>
      </c>
      <c r="B40" s="131">
        <f>Page1!B38</f>
        <v>0</v>
      </c>
      <c r="C40" s="132">
        <f>Page1!C38</f>
        <v>0</v>
      </c>
      <c r="D40" s="63"/>
      <c r="E40" s="25"/>
      <c r="F40" s="25"/>
      <c r="G40" s="193"/>
      <c r="H40" s="193"/>
      <c r="I40" s="183"/>
      <c r="J40" s="184"/>
      <c r="K40" s="64"/>
    </row>
    <row r="41" spans="1:11" s="45" customFormat="1" ht="19.5" customHeight="1" x14ac:dyDescent="0.25">
      <c r="A41" s="173" t="s">
        <v>26</v>
      </c>
      <c r="B41" s="174"/>
      <c r="C41" s="174"/>
      <c r="D41" s="65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191" t="e">
        <f>AVERAGE(G11:H40)</f>
        <v>#DIV/0!</v>
      </c>
      <c r="H41" s="192"/>
      <c r="I41" s="225" t="e">
        <f>AVERAGE(I11:J40)</f>
        <v>#DIV/0!</v>
      </c>
      <c r="J41" s="226"/>
      <c r="K41" s="37" t="e">
        <f>AVERAGE(K11:K40)</f>
        <v>#DIV/0!</v>
      </c>
    </row>
    <row r="42" spans="1:11" s="45" customFormat="1" ht="19.5" customHeight="1" x14ac:dyDescent="0.25">
      <c r="A42" s="175" t="s">
        <v>31</v>
      </c>
      <c r="B42" s="176"/>
      <c r="C42" s="176"/>
      <c r="D42" s="66">
        <f>MIN(D11:D40)</f>
        <v>0</v>
      </c>
      <c r="E42" s="39">
        <f>MIN(E11:E40)</f>
        <v>0</v>
      </c>
      <c r="F42" s="39">
        <f>MIN(F11:F40)</f>
        <v>0</v>
      </c>
      <c r="G42" s="187">
        <f>MIN(G11:H40)</f>
        <v>0</v>
      </c>
      <c r="H42" s="188"/>
      <c r="I42" s="223">
        <f>MIN(I11:J40)</f>
        <v>0</v>
      </c>
      <c r="J42" s="224"/>
      <c r="K42" s="40">
        <f>MIN(K11:K40)</f>
        <v>0</v>
      </c>
    </row>
    <row r="43" spans="1:11" s="5" customFormat="1" ht="19.5" customHeight="1" thickBot="1" x14ac:dyDescent="0.3">
      <c r="A43" s="221" t="s">
        <v>32</v>
      </c>
      <c r="B43" s="222"/>
      <c r="C43" s="222"/>
      <c r="D43" s="67">
        <f>MAX(D11:D40)</f>
        <v>0</v>
      </c>
      <c r="E43" s="68">
        <f>MAX(E11:E40)</f>
        <v>0</v>
      </c>
      <c r="F43" s="68">
        <f>MAX(F11:F40)</f>
        <v>0</v>
      </c>
      <c r="G43" s="217">
        <f>MAX(G11:H40)</f>
        <v>0</v>
      </c>
      <c r="H43" s="218"/>
      <c r="I43" s="219">
        <f>MAX(I11:J40)</f>
        <v>0</v>
      </c>
      <c r="J43" s="220"/>
      <c r="K43" s="69">
        <f>MAX(K11:K40)</f>
        <v>0</v>
      </c>
    </row>
    <row r="44" spans="1:11" s="45" customFormat="1" ht="16.5" customHeight="1" x14ac:dyDescent="0.25">
      <c r="A44" s="44" t="s">
        <v>20</v>
      </c>
      <c r="B44" s="171"/>
      <c r="C44" s="17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72"/>
      <c r="C45" s="17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56" t="s">
        <v>21</v>
      </c>
      <c r="B46" s="156"/>
      <c r="C46" s="156"/>
      <c r="D46" s="44"/>
      <c r="E46" s="44"/>
      <c r="F46" s="47" t="s">
        <v>132</v>
      </c>
      <c r="G46" s="46">
        <f>Page1!G44</f>
        <v>461359700</v>
      </c>
      <c r="H46" s="44"/>
    </row>
    <row r="47" spans="1:11" s="45" customFormat="1" ht="16.5" customHeight="1" x14ac:dyDescent="0.25">
      <c r="A47" s="156" t="s">
        <v>133</v>
      </c>
      <c r="B47" s="156"/>
      <c r="C47" s="156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70"/>
    </row>
    <row r="52" spans="9:9" x14ac:dyDescent="0.25">
      <c r="I52" s="70"/>
    </row>
    <row r="53" spans="9:9" x14ac:dyDescent="0.25">
      <c r="I53" s="70"/>
    </row>
    <row r="54" spans="9:9" x14ac:dyDescent="0.25">
      <c r="I54" s="70"/>
    </row>
    <row r="55" spans="9:9" x14ac:dyDescent="0.25">
      <c r="I55" s="70"/>
    </row>
    <row r="56" spans="9:9" x14ac:dyDescent="0.25">
      <c r="I56" s="70"/>
    </row>
    <row r="57" spans="9:9" x14ac:dyDescent="0.25">
      <c r="I57" s="70"/>
    </row>
    <row r="58" spans="9:9" x14ac:dyDescent="0.25">
      <c r="I58" s="70"/>
    </row>
    <row r="59" spans="9:9" x14ac:dyDescent="0.25">
      <c r="I59" s="70"/>
    </row>
    <row r="60" spans="9:9" x14ac:dyDescent="0.25">
      <c r="I60" s="70"/>
    </row>
  </sheetData>
  <mergeCells count="94">
    <mergeCell ref="I42:J42"/>
    <mergeCell ref="I37:J37"/>
    <mergeCell ref="I38:J38"/>
    <mergeCell ref="I39:J39"/>
    <mergeCell ref="I40:J40"/>
    <mergeCell ref="I41:J41"/>
    <mergeCell ref="I32:J32"/>
    <mergeCell ref="I33:J33"/>
    <mergeCell ref="I34:J34"/>
    <mergeCell ref="I35:J35"/>
    <mergeCell ref="I36:J36"/>
    <mergeCell ref="I27:J27"/>
    <mergeCell ref="I28:J28"/>
    <mergeCell ref="I29:J29"/>
    <mergeCell ref="I30:J30"/>
    <mergeCell ref="I31:J31"/>
    <mergeCell ref="I22:J22"/>
    <mergeCell ref="I23:J23"/>
    <mergeCell ref="I24:J24"/>
    <mergeCell ref="I25:J25"/>
    <mergeCell ref="I26:J26"/>
    <mergeCell ref="I15:J15"/>
    <mergeCell ref="I16:J16"/>
    <mergeCell ref="I19:J19"/>
    <mergeCell ref="I20:J20"/>
    <mergeCell ref="I21:J21"/>
    <mergeCell ref="G43:H43"/>
    <mergeCell ref="I43:J43"/>
    <mergeCell ref="B44:C44"/>
    <mergeCell ref="B45:C45"/>
    <mergeCell ref="A47:C47"/>
    <mergeCell ref="A46:C46"/>
    <mergeCell ref="A43:C4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</mergeCells>
  <phoneticPr fontId="10" type="noConversion"/>
  <conditionalFormatting sqref="D11:D43">
    <cfRule type="cellIs" dxfId="35" priority="8" operator="notBetween">
      <formula>700</formula>
      <formula>1000</formula>
    </cfRule>
  </conditionalFormatting>
  <conditionalFormatting sqref="E11:E43">
    <cfRule type="cellIs" dxfId="34" priority="7" operator="lessThan">
      <formula>400</formula>
    </cfRule>
  </conditionalFormatting>
  <conditionalFormatting sqref="F11:F43">
    <cfRule type="cellIs" dxfId="33" priority="6" operator="lessThan">
      <formula>300</formula>
    </cfRule>
  </conditionalFormatting>
  <conditionalFormatting sqref="G11:H19 G20:G39 G40:H43">
    <cfRule type="cellIs" dxfId="32" priority="4" operator="notBetween">
      <formula>45</formula>
      <formula>55</formula>
    </cfRule>
  </conditionalFormatting>
  <conditionalFormatting sqref="K11:K43">
    <cfRule type="cellIs" dxfId="30" priority="2" operator="notBetween">
      <formula>410</formula>
      <formula>450</formula>
    </cfRule>
  </conditionalFormatting>
  <conditionalFormatting sqref="I11:J43">
    <cfRule type="cellIs" dxfId="31" priority="1" operator="notBetween">
      <formula>210</formula>
      <formula>213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D10" sqref="D10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1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4" t="s">
        <v>17</v>
      </c>
      <c r="B4" s="145">
        <f>Page1!B4:D4</f>
        <v>0</v>
      </c>
      <c r="C4" s="177">
        <f>Page1!C4</f>
        <v>0</v>
      </c>
      <c r="D4" s="178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179">
        <f>Page1!J4</f>
        <v>0</v>
      </c>
      <c r="K4" s="180"/>
    </row>
    <row r="5" spans="1:11" s="45" customFormat="1" ht="23.25" customHeight="1" thickBot="1" x14ac:dyDescent="0.3">
      <c r="A5" s="148" t="s">
        <v>18</v>
      </c>
      <c r="B5" s="149">
        <f>Page1!B5:D5</f>
        <v>0</v>
      </c>
      <c r="C5" s="150">
        <f>Page1!C5</f>
        <v>0</v>
      </c>
      <c r="D5" s="151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95">
        <f>Page1!J5</f>
        <v>0</v>
      </c>
      <c r="K5" s="196"/>
    </row>
    <row r="6" spans="1:11" s="45" customFormat="1" ht="15.75" customHeight="1" thickBot="1" x14ac:dyDescent="0.3">
      <c r="A6" s="230" t="s">
        <v>134</v>
      </c>
      <c r="B6" s="231"/>
      <c r="C6" s="232"/>
      <c r="D6" s="233"/>
      <c r="E6" s="135"/>
      <c r="F6" s="135"/>
      <c r="G6" s="155"/>
      <c r="H6" s="71"/>
      <c r="I6" s="197"/>
      <c r="J6" s="198"/>
      <c r="K6" s="204"/>
    </row>
    <row r="7" spans="1:11" s="5" customFormat="1" ht="15" customHeight="1" x14ac:dyDescent="0.25">
      <c r="A7" s="197" t="s">
        <v>0</v>
      </c>
      <c r="B7" s="198"/>
      <c r="C7" s="198"/>
      <c r="D7" s="216" t="s">
        <v>34</v>
      </c>
      <c r="E7" s="234"/>
      <c r="F7" s="234"/>
      <c r="G7" s="178"/>
      <c r="H7" s="227" t="s">
        <v>126</v>
      </c>
      <c r="I7" s="199"/>
      <c r="J7" s="200"/>
      <c r="K7" s="205"/>
    </row>
    <row r="8" spans="1:11" s="5" customFormat="1" ht="26.25" customHeight="1" x14ac:dyDescent="0.25">
      <c r="A8" s="199"/>
      <c r="B8" s="200"/>
      <c r="C8" s="200"/>
      <c r="D8" s="237" t="s">
        <v>129</v>
      </c>
      <c r="E8" s="208" t="s">
        <v>130</v>
      </c>
      <c r="F8" s="208" t="s">
        <v>131</v>
      </c>
      <c r="G8" s="208" t="s">
        <v>128</v>
      </c>
      <c r="H8" s="228"/>
      <c r="I8" s="199"/>
      <c r="J8" s="200"/>
      <c r="K8" s="205"/>
    </row>
    <row r="9" spans="1:11" s="5" customFormat="1" ht="26.25" customHeight="1" thickBot="1" x14ac:dyDescent="0.3">
      <c r="A9" s="199"/>
      <c r="B9" s="200"/>
      <c r="C9" s="200"/>
      <c r="D9" s="238"/>
      <c r="E9" s="153"/>
      <c r="F9" s="153"/>
      <c r="G9" s="153"/>
      <c r="H9" s="229"/>
      <c r="I9" s="199"/>
      <c r="J9" s="200"/>
      <c r="K9" s="205"/>
    </row>
    <row r="10" spans="1:11" s="45" customFormat="1" ht="19.5" customHeight="1" x14ac:dyDescent="0.25">
      <c r="A10" s="120">
        <f>Page1!A9</f>
        <v>0</v>
      </c>
      <c r="B10" s="121">
        <f>Page1!B9</f>
        <v>0</v>
      </c>
      <c r="C10" s="122">
        <f>Page1!C9</f>
        <v>0</v>
      </c>
      <c r="D10" s="72"/>
      <c r="E10" s="23"/>
      <c r="F10" s="23"/>
      <c r="G10" s="73"/>
      <c r="H10" s="74"/>
      <c r="I10" s="199"/>
      <c r="J10" s="200"/>
      <c r="K10" s="205"/>
    </row>
    <row r="11" spans="1:11" s="45" customFormat="1" ht="19.5" customHeight="1" x14ac:dyDescent="0.25">
      <c r="A11" s="123">
        <f>Page1!A10</f>
        <v>0</v>
      </c>
      <c r="B11" s="124">
        <f>Page1!B10</f>
        <v>0</v>
      </c>
      <c r="C11" s="125">
        <f>Page1!C10</f>
        <v>0</v>
      </c>
      <c r="D11" s="75"/>
      <c r="E11" s="26"/>
      <c r="F11" s="26"/>
      <c r="G11" s="76"/>
      <c r="H11" s="77"/>
      <c r="I11" s="199"/>
      <c r="J11" s="200"/>
      <c r="K11" s="205"/>
    </row>
    <row r="12" spans="1:11" s="45" customFormat="1" ht="19.5" customHeight="1" x14ac:dyDescent="0.25">
      <c r="A12" s="123">
        <f>Page1!A11</f>
        <v>0</v>
      </c>
      <c r="B12" s="124">
        <f>Page1!B11</f>
        <v>0</v>
      </c>
      <c r="C12" s="126">
        <f>Page1!C11</f>
        <v>0</v>
      </c>
      <c r="D12" s="75"/>
      <c r="E12" s="26"/>
      <c r="F12" s="26"/>
      <c r="G12" s="76"/>
      <c r="H12" s="77"/>
      <c r="I12" s="199"/>
      <c r="J12" s="200"/>
      <c r="K12" s="205"/>
    </row>
    <row r="13" spans="1:11" s="45" customFormat="1" ht="19.5" customHeight="1" x14ac:dyDescent="0.25">
      <c r="A13" s="123">
        <f>Page1!A12</f>
        <v>0</v>
      </c>
      <c r="B13" s="127">
        <f>Page1!B12</f>
        <v>0</v>
      </c>
      <c r="C13" s="126">
        <f>Page1!C12</f>
        <v>0</v>
      </c>
      <c r="D13" s="72"/>
      <c r="E13" s="23"/>
      <c r="F13" s="23"/>
      <c r="G13" s="73"/>
      <c r="H13" s="77"/>
      <c r="I13" s="199"/>
      <c r="J13" s="200"/>
      <c r="K13" s="205"/>
    </row>
    <row r="14" spans="1:11" s="45" customFormat="1" ht="19.5" customHeight="1" x14ac:dyDescent="0.25">
      <c r="A14" s="123">
        <f>Page1!A13</f>
        <v>0</v>
      </c>
      <c r="B14" s="124">
        <f>Page1!B13</f>
        <v>0</v>
      </c>
      <c r="C14" s="125">
        <f>Page1!C13</f>
        <v>0</v>
      </c>
      <c r="D14" s="75"/>
      <c r="E14" s="26"/>
      <c r="F14" s="26"/>
      <c r="G14" s="76"/>
      <c r="H14" s="77"/>
      <c r="I14" s="199"/>
      <c r="J14" s="200"/>
      <c r="K14" s="205"/>
    </row>
    <row r="15" spans="1:11" s="45" customFormat="1" ht="19.5" customHeight="1" x14ac:dyDescent="0.25">
      <c r="A15" s="123">
        <f>Page1!A14</f>
        <v>0</v>
      </c>
      <c r="B15" s="124">
        <f>Page1!B14</f>
        <v>0</v>
      </c>
      <c r="C15" s="125">
        <f>Page1!C14</f>
        <v>0</v>
      </c>
      <c r="D15" s="75"/>
      <c r="E15" s="26"/>
      <c r="F15" s="26"/>
      <c r="G15" s="76"/>
      <c r="H15" s="77"/>
      <c r="I15" s="199"/>
      <c r="J15" s="200"/>
      <c r="K15" s="205"/>
    </row>
    <row r="16" spans="1:11" s="45" customFormat="1" ht="19.5" customHeight="1" x14ac:dyDescent="0.25">
      <c r="A16" s="123">
        <f>Page1!A15</f>
        <v>0</v>
      </c>
      <c r="B16" s="124">
        <f>Page1!B15</f>
        <v>0</v>
      </c>
      <c r="C16" s="125">
        <f>Page1!C15</f>
        <v>0</v>
      </c>
      <c r="D16" s="75"/>
      <c r="E16" s="26"/>
      <c r="F16" s="26"/>
      <c r="G16" s="76"/>
      <c r="H16" s="77"/>
      <c r="I16" s="199"/>
      <c r="J16" s="200"/>
      <c r="K16" s="205"/>
    </row>
    <row r="17" spans="1:11" s="45" customFormat="1" ht="19.5" customHeight="1" x14ac:dyDescent="0.25">
      <c r="A17" s="123">
        <f>Page1!A16</f>
        <v>0</v>
      </c>
      <c r="B17" s="124">
        <f>Page1!B16</f>
        <v>0</v>
      </c>
      <c r="C17" s="125">
        <f>Page1!C16</f>
        <v>0</v>
      </c>
      <c r="D17" s="75"/>
      <c r="E17" s="26"/>
      <c r="F17" s="26"/>
      <c r="G17" s="76"/>
      <c r="H17" s="77"/>
      <c r="I17" s="199"/>
      <c r="J17" s="200"/>
      <c r="K17" s="205"/>
    </row>
    <row r="18" spans="1:11" s="45" customFormat="1" ht="19.5" customHeight="1" x14ac:dyDescent="0.25">
      <c r="A18" s="123">
        <f>Page1!A17</f>
        <v>0</v>
      </c>
      <c r="B18" s="128">
        <f>Page1!B17</f>
        <v>0</v>
      </c>
      <c r="C18" s="125">
        <f>Page1!C17</f>
        <v>0</v>
      </c>
      <c r="D18" s="75"/>
      <c r="E18" s="26"/>
      <c r="F18" s="26"/>
      <c r="G18" s="76"/>
      <c r="H18" s="77"/>
      <c r="I18" s="199"/>
      <c r="J18" s="200"/>
      <c r="K18" s="205"/>
    </row>
    <row r="19" spans="1:11" s="45" customFormat="1" ht="19.5" customHeight="1" x14ac:dyDescent="0.25">
      <c r="A19" s="123">
        <f>Page1!A18</f>
        <v>0</v>
      </c>
      <c r="B19" s="124">
        <f>Page1!B18</f>
        <v>0</v>
      </c>
      <c r="C19" s="125">
        <f>Page1!C18</f>
        <v>0</v>
      </c>
      <c r="D19" s="75"/>
      <c r="E19" s="26"/>
      <c r="F19" s="26"/>
      <c r="G19" s="76"/>
      <c r="H19" s="77"/>
      <c r="I19" s="199"/>
      <c r="J19" s="200"/>
      <c r="K19" s="205"/>
    </row>
    <row r="20" spans="1:11" s="45" customFormat="1" ht="19.5" customHeight="1" x14ac:dyDescent="0.25">
      <c r="A20" s="129">
        <f>Page1!A19</f>
        <v>0</v>
      </c>
      <c r="B20" s="128">
        <f>Page1!B19</f>
        <v>0</v>
      </c>
      <c r="C20" s="126">
        <f>Page1!C19</f>
        <v>0</v>
      </c>
      <c r="D20" s="75"/>
      <c r="E20" s="26"/>
      <c r="F20" s="26"/>
      <c r="G20" s="76"/>
      <c r="H20" s="77"/>
      <c r="I20" s="199"/>
      <c r="J20" s="200"/>
      <c r="K20" s="205"/>
    </row>
    <row r="21" spans="1:11" s="45" customFormat="1" ht="19.5" customHeight="1" x14ac:dyDescent="0.25">
      <c r="A21" s="123">
        <f>Page1!A20</f>
        <v>0</v>
      </c>
      <c r="B21" s="124">
        <f>Page1!B20</f>
        <v>0</v>
      </c>
      <c r="C21" s="125">
        <f>Page1!C20</f>
        <v>0</v>
      </c>
      <c r="D21" s="75"/>
      <c r="E21" s="26"/>
      <c r="F21" s="26"/>
      <c r="G21" s="76"/>
      <c r="H21" s="77"/>
      <c r="I21" s="199"/>
      <c r="J21" s="200"/>
      <c r="K21" s="205"/>
    </row>
    <row r="22" spans="1:11" s="45" customFormat="1" ht="19.5" customHeight="1" x14ac:dyDescent="0.25">
      <c r="A22" s="123">
        <f>Page1!A21</f>
        <v>0</v>
      </c>
      <c r="B22" s="124">
        <f>Page1!B21</f>
        <v>0</v>
      </c>
      <c r="C22" s="126">
        <f>Page1!C21</f>
        <v>0</v>
      </c>
      <c r="D22" s="75"/>
      <c r="E22" s="26"/>
      <c r="F22" s="26"/>
      <c r="G22" s="76"/>
      <c r="H22" s="77"/>
      <c r="I22" s="199"/>
      <c r="J22" s="200"/>
      <c r="K22" s="205"/>
    </row>
    <row r="23" spans="1:11" s="45" customFormat="1" ht="19.5" customHeight="1" x14ac:dyDescent="0.25">
      <c r="A23" s="123">
        <f>Page1!A22</f>
        <v>0</v>
      </c>
      <c r="B23" s="127">
        <f>Page1!B22</f>
        <v>0</v>
      </c>
      <c r="C23" s="126">
        <f>Page1!C22</f>
        <v>0</v>
      </c>
      <c r="D23" s="75"/>
      <c r="E23" s="26"/>
      <c r="F23" s="26"/>
      <c r="G23" s="76"/>
      <c r="H23" s="77"/>
      <c r="I23" s="199"/>
      <c r="J23" s="200"/>
      <c r="K23" s="205"/>
    </row>
    <row r="24" spans="1:11" s="45" customFormat="1" ht="19.5" customHeight="1" x14ac:dyDescent="0.25">
      <c r="A24" s="123">
        <f>Page1!A23</f>
        <v>0</v>
      </c>
      <c r="B24" s="124">
        <f>Page1!B23</f>
        <v>0</v>
      </c>
      <c r="C24" s="125">
        <f>Page1!C23</f>
        <v>0</v>
      </c>
      <c r="D24" s="75"/>
      <c r="E24" s="26"/>
      <c r="F24" s="26"/>
      <c r="G24" s="76"/>
      <c r="H24" s="77"/>
      <c r="I24" s="199"/>
      <c r="J24" s="200"/>
      <c r="K24" s="205"/>
    </row>
    <row r="25" spans="1:11" s="45" customFormat="1" ht="19.5" customHeight="1" x14ac:dyDescent="0.25">
      <c r="A25" s="123">
        <f>Page1!A24</f>
        <v>0</v>
      </c>
      <c r="B25" s="124">
        <f>Page1!B24</f>
        <v>0</v>
      </c>
      <c r="C25" s="125">
        <f>Page1!C24</f>
        <v>0</v>
      </c>
      <c r="D25" s="75"/>
      <c r="E25" s="26"/>
      <c r="F25" s="26"/>
      <c r="G25" s="76"/>
      <c r="H25" s="77"/>
      <c r="I25" s="199"/>
      <c r="J25" s="200"/>
      <c r="K25" s="205"/>
    </row>
    <row r="26" spans="1:11" s="45" customFormat="1" ht="19.5" customHeight="1" x14ac:dyDescent="0.25">
      <c r="A26" s="123">
        <f>Page1!A25</f>
        <v>0</v>
      </c>
      <c r="B26" s="124">
        <f>Page1!B25</f>
        <v>0</v>
      </c>
      <c r="C26" s="125">
        <f>Page1!C25</f>
        <v>0</v>
      </c>
      <c r="D26" s="75"/>
      <c r="E26" s="26"/>
      <c r="F26" s="26"/>
      <c r="G26" s="76"/>
      <c r="H26" s="77"/>
      <c r="I26" s="199"/>
      <c r="J26" s="200"/>
      <c r="K26" s="205"/>
    </row>
    <row r="27" spans="1:11" s="45" customFormat="1" ht="19.5" customHeight="1" x14ac:dyDescent="0.25">
      <c r="A27" s="123">
        <f>Page1!A26</f>
        <v>0</v>
      </c>
      <c r="B27" s="124">
        <f>Page1!B26</f>
        <v>0</v>
      </c>
      <c r="C27" s="125">
        <f>Page1!C26</f>
        <v>0</v>
      </c>
      <c r="D27" s="75"/>
      <c r="E27" s="26"/>
      <c r="F27" s="26"/>
      <c r="G27" s="76"/>
      <c r="H27" s="77"/>
      <c r="I27" s="199"/>
      <c r="J27" s="200"/>
      <c r="K27" s="205"/>
    </row>
    <row r="28" spans="1:11" s="45" customFormat="1" ht="19.5" customHeight="1" x14ac:dyDescent="0.25">
      <c r="A28" s="123">
        <f>Page1!A27</f>
        <v>0</v>
      </c>
      <c r="B28" s="128">
        <f>Page1!B27</f>
        <v>0</v>
      </c>
      <c r="C28" s="125">
        <f>Page1!C27</f>
        <v>0</v>
      </c>
      <c r="D28" s="75"/>
      <c r="E28" s="26"/>
      <c r="F28" s="26"/>
      <c r="G28" s="76"/>
      <c r="H28" s="77"/>
      <c r="I28" s="199"/>
      <c r="J28" s="200"/>
      <c r="K28" s="205"/>
    </row>
    <row r="29" spans="1:11" s="45" customFormat="1" ht="19.5" customHeight="1" x14ac:dyDescent="0.25">
      <c r="A29" s="123">
        <f>Page1!A28</f>
        <v>0</v>
      </c>
      <c r="B29" s="124">
        <f>Page1!B28</f>
        <v>0</v>
      </c>
      <c r="C29" s="125">
        <f>Page1!C28</f>
        <v>0</v>
      </c>
      <c r="D29" s="75"/>
      <c r="E29" s="26"/>
      <c r="F29" s="26"/>
      <c r="G29" s="76"/>
      <c r="H29" s="77"/>
      <c r="I29" s="199"/>
      <c r="J29" s="200"/>
      <c r="K29" s="205"/>
    </row>
    <row r="30" spans="1:11" s="45" customFormat="1" ht="19.5" customHeight="1" x14ac:dyDescent="0.25">
      <c r="A30" s="129">
        <f>Page1!A29</f>
        <v>0</v>
      </c>
      <c r="B30" s="128">
        <f>Page1!B29</f>
        <v>0</v>
      </c>
      <c r="C30" s="126">
        <f>Page1!C29</f>
        <v>0</v>
      </c>
      <c r="D30" s="75"/>
      <c r="E30" s="26"/>
      <c r="F30" s="26"/>
      <c r="G30" s="76"/>
      <c r="H30" s="77"/>
      <c r="I30" s="199"/>
      <c r="J30" s="200"/>
      <c r="K30" s="205"/>
    </row>
    <row r="31" spans="1:11" s="45" customFormat="1" ht="19.5" customHeight="1" x14ac:dyDescent="0.25">
      <c r="A31" s="123">
        <f>Page1!A30</f>
        <v>0</v>
      </c>
      <c r="B31" s="124">
        <f>Page1!B30</f>
        <v>0</v>
      </c>
      <c r="C31" s="125">
        <f>Page1!C30</f>
        <v>0</v>
      </c>
      <c r="D31" s="75"/>
      <c r="E31" s="26"/>
      <c r="F31" s="26"/>
      <c r="G31" s="76"/>
      <c r="H31" s="77"/>
      <c r="I31" s="199"/>
      <c r="J31" s="200"/>
      <c r="K31" s="205"/>
    </row>
    <row r="32" spans="1:11" s="45" customFormat="1" ht="19.5" customHeight="1" x14ac:dyDescent="0.25">
      <c r="A32" s="123">
        <f>Page1!A31</f>
        <v>0</v>
      </c>
      <c r="B32" s="124">
        <f>Page1!B31</f>
        <v>0</v>
      </c>
      <c r="C32" s="126">
        <f>Page1!C31</f>
        <v>0</v>
      </c>
      <c r="D32" s="75"/>
      <c r="E32" s="26"/>
      <c r="F32" s="26"/>
      <c r="G32" s="76"/>
      <c r="H32" s="77"/>
      <c r="I32" s="199"/>
      <c r="J32" s="200"/>
      <c r="K32" s="205"/>
    </row>
    <row r="33" spans="1:11" s="45" customFormat="1" ht="19.5" customHeight="1" x14ac:dyDescent="0.25">
      <c r="A33" s="123">
        <f>Page1!A32</f>
        <v>0</v>
      </c>
      <c r="B33" s="127">
        <f>Page1!B32</f>
        <v>0</v>
      </c>
      <c r="C33" s="126">
        <f>Page1!C32</f>
        <v>0</v>
      </c>
      <c r="D33" s="75"/>
      <c r="E33" s="26"/>
      <c r="F33" s="26"/>
      <c r="G33" s="76"/>
      <c r="H33" s="77"/>
      <c r="I33" s="199"/>
      <c r="J33" s="200"/>
      <c r="K33" s="205"/>
    </row>
    <row r="34" spans="1:11" s="45" customFormat="1" ht="19.5" customHeight="1" x14ac:dyDescent="0.25">
      <c r="A34" s="123">
        <f>Page1!A33</f>
        <v>0</v>
      </c>
      <c r="B34" s="124">
        <f>Page1!B33</f>
        <v>0</v>
      </c>
      <c r="C34" s="125">
        <f>Page1!C33</f>
        <v>0</v>
      </c>
      <c r="D34" s="75"/>
      <c r="E34" s="26"/>
      <c r="F34" s="26"/>
      <c r="G34" s="76"/>
      <c r="H34" s="77"/>
      <c r="I34" s="199"/>
      <c r="J34" s="200"/>
      <c r="K34" s="205"/>
    </row>
    <row r="35" spans="1:11" s="45" customFormat="1" ht="19.5" customHeight="1" x14ac:dyDescent="0.25">
      <c r="A35" s="123">
        <f>Page1!A34</f>
        <v>0</v>
      </c>
      <c r="B35" s="124">
        <f>Page1!B34</f>
        <v>0</v>
      </c>
      <c r="C35" s="125">
        <f>Page1!C34</f>
        <v>0</v>
      </c>
      <c r="D35" s="75"/>
      <c r="E35" s="26"/>
      <c r="F35" s="26"/>
      <c r="G35" s="76"/>
      <c r="H35" s="77"/>
      <c r="I35" s="199"/>
      <c r="J35" s="200"/>
      <c r="K35" s="205"/>
    </row>
    <row r="36" spans="1:11" s="45" customFormat="1" ht="19.5" customHeight="1" x14ac:dyDescent="0.25">
      <c r="A36" s="123">
        <f>Page1!A35</f>
        <v>0</v>
      </c>
      <c r="B36" s="124">
        <f>Page1!B35</f>
        <v>0</v>
      </c>
      <c r="C36" s="125">
        <f>Page1!C35</f>
        <v>0</v>
      </c>
      <c r="D36" s="75"/>
      <c r="E36" s="26"/>
      <c r="F36" s="26"/>
      <c r="G36" s="76"/>
      <c r="H36" s="77"/>
      <c r="I36" s="199"/>
      <c r="J36" s="200"/>
      <c r="K36" s="205"/>
    </row>
    <row r="37" spans="1:11" s="45" customFormat="1" ht="19.5" customHeight="1" x14ac:dyDescent="0.25">
      <c r="A37" s="123">
        <f>Page1!A36</f>
        <v>0</v>
      </c>
      <c r="B37" s="124">
        <f>Page1!B36</f>
        <v>0</v>
      </c>
      <c r="C37" s="125">
        <f>Page1!C36</f>
        <v>0</v>
      </c>
      <c r="D37" s="75"/>
      <c r="E37" s="26"/>
      <c r="F37" s="26"/>
      <c r="G37" s="76"/>
      <c r="H37" s="77"/>
      <c r="I37" s="199"/>
      <c r="J37" s="200"/>
      <c r="K37" s="205"/>
    </row>
    <row r="38" spans="1:11" s="45" customFormat="1" ht="19.5" customHeight="1" x14ac:dyDescent="0.25">
      <c r="A38" s="123">
        <f>Page1!A37</f>
        <v>0</v>
      </c>
      <c r="B38" s="124">
        <f>Page1!B37</f>
        <v>0</v>
      </c>
      <c r="C38" s="125">
        <f>Page1!C37</f>
        <v>0</v>
      </c>
      <c r="D38" s="75"/>
      <c r="E38" s="26"/>
      <c r="F38" s="26"/>
      <c r="G38" s="76"/>
      <c r="H38" s="77"/>
      <c r="I38" s="199"/>
      <c r="J38" s="200"/>
      <c r="K38" s="205"/>
    </row>
    <row r="39" spans="1:11" s="45" customFormat="1" ht="19.5" customHeight="1" thickBot="1" x14ac:dyDescent="0.3">
      <c r="A39" s="130">
        <f>Page1!A38</f>
        <v>0</v>
      </c>
      <c r="B39" s="131">
        <f>Page1!B38</f>
        <v>0</v>
      </c>
      <c r="C39" s="132">
        <f>Page1!C38</f>
        <v>0</v>
      </c>
      <c r="D39" s="75"/>
      <c r="E39" s="26"/>
      <c r="F39" s="26"/>
      <c r="G39" s="76"/>
      <c r="H39" s="77"/>
      <c r="I39" s="199"/>
      <c r="J39" s="200"/>
      <c r="K39" s="205"/>
    </row>
    <row r="40" spans="1:11" s="45" customFormat="1" ht="19.5" customHeight="1" x14ac:dyDescent="0.25">
      <c r="A40" s="235" t="s">
        <v>26</v>
      </c>
      <c r="B40" s="236"/>
      <c r="C40" s="236"/>
      <c r="D40" s="78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9" t="e">
        <f>AVERAGE(H10:H39)</f>
        <v>#DIV/0!</v>
      </c>
      <c r="I40" s="200"/>
      <c r="J40" s="200"/>
      <c r="K40" s="205"/>
    </row>
    <row r="41" spans="1:11" s="45" customFormat="1" ht="19.5" customHeight="1" x14ac:dyDescent="0.25">
      <c r="A41" s="175" t="s">
        <v>31</v>
      </c>
      <c r="B41" s="176"/>
      <c r="C41" s="176"/>
      <c r="D41" s="80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81">
        <f>MIN(H10:H39)</f>
        <v>0</v>
      </c>
      <c r="I41" s="200"/>
      <c r="J41" s="200"/>
      <c r="K41" s="205"/>
    </row>
    <row r="42" spans="1:11" s="5" customFormat="1" ht="19.5" customHeight="1" thickBot="1" x14ac:dyDescent="0.3">
      <c r="A42" s="221" t="s">
        <v>32</v>
      </c>
      <c r="B42" s="222"/>
      <c r="C42" s="222"/>
      <c r="D42" s="82">
        <f>MAX(D10:D39)</f>
        <v>0</v>
      </c>
      <c r="E42" s="83">
        <f>MAX(E10:E39)</f>
        <v>0</v>
      </c>
      <c r="F42" s="83">
        <f>MAX(F10:F39)</f>
        <v>0</v>
      </c>
      <c r="G42" s="83">
        <f>MAX(G10:G39)</f>
        <v>0</v>
      </c>
      <c r="H42" s="84">
        <f>MAX(H10:H39)</f>
        <v>0</v>
      </c>
      <c r="I42" s="203"/>
      <c r="J42" s="203"/>
      <c r="K42" s="206"/>
    </row>
    <row r="43" spans="1:11" s="45" customFormat="1" ht="16.5" customHeight="1" x14ac:dyDescent="0.25">
      <c r="A43" s="44" t="s">
        <v>20</v>
      </c>
      <c r="B43" s="171"/>
      <c r="C43" s="171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72"/>
      <c r="C44" s="17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56" t="s">
        <v>21</v>
      </c>
      <c r="B45" s="156"/>
      <c r="C45" s="156"/>
      <c r="D45" s="44"/>
      <c r="E45" s="44"/>
      <c r="F45" s="47" t="s">
        <v>132</v>
      </c>
      <c r="G45" s="46">
        <f>Page1!G44</f>
        <v>461359700</v>
      </c>
      <c r="H45" s="44"/>
    </row>
    <row r="46" spans="1:11" s="45" customFormat="1" ht="16.5" customHeight="1" x14ac:dyDescent="0.25">
      <c r="A46" s="156" t="s">
        <v>133</v>
      </c>
      <c r="B46" s="156"/>
      <c r="C46" s="156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  <mergeCell ref="B44:C44"/>
    <mergeCell ref="J4:K4"/>
    <mergeCell ref="J5:K5"/>
    <mergeCell ref="A1:J1"/>
    <mergeCell ref="A2:J2"/>
    <mergeCell ref="A4:B4"/>
    <mergeCell ref="C4:D4"/>
    <mergeCell ref="A5:B5"/>
    <mergeCell ref="C5:D5"/>
  </mergeCells>
  <conditionalFormatting sqref="D10:D42">
    <cfRule type="cellIs" dxfId="7" priority="4" operator="notBetween">
      <formula>55</formula>
      <formula>65</formula>
    </cfRule>
  </conditionalFormatting>
  <conditionalFormatting sqref="E10:E42">
    <cfRule type="cellIs" dxfId="6" priority="3" operator="notBetween">
      <formula>45</formula>
      <formula>55</formula>
    </cfRule>
  </conditionalFormatting>
  <conditionalFormatting sqref="F10:F42">
    <cfRule type="cellIs" dxfId="5" priority="2" operator="notBetween">
      <formula>-16</formula>
      <formula>-6</formula>
    </cfRule>
  </conditionalFormatting>
  <conditionalFormatting sqref="G10:H42">
    <cfRule type="cellIs" dxfId="4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G47"/>
  <sheetViews>
    <sheetView view="pageBreakPreview" zoomScaleNormal="100" zoomScaleSheetLayoutView="100" workbookViewId="0">
      <selection activeCell="J23" sqref="J23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7.140625" style="86" customWidth="1"/>
    <col min="7" max="7" width="21.42578125" style="86" customWidth="1"/>
    <col min="8" max="16384" width="9.140625" style="117"/>
  </cols>
  <sheetData>
    <row r="1" spans="1:7" s="86" customFormat="1" x14ac:dyDescent="0.25">
      <c r="A1" s="289" t="s">
        <v>41</v>
      </c>
      <c r="B1" s="290"/>
      <c r="C1" s="290"/>
      <c r="D1" s="290"/>
      <c r="E1" s="290"/>
      <c r="F1" s="290"/>
      <c r="G1" s="291"/>
    </row>
    <row r="2" spans="1:7" s="86" customFormat="1" x14ac:dyDescent="0.25">
      <c r="A2" s="87"/>
      <c r="B2" s="88"/>
      <c r="C2" s="88"/>
      <c r="D2" s="88"/>
      <c r="E2" s="88"/>
      <c r="F2" s="88"/>
      <c r="G2" s="89" t="s">
        <v>42</v>
      </c>
    </row>
    <row r="3" spans="1:7" s="86" customFormat="1" ht="19.5" customHeight="1" x14ac:dyDescent="0.25">
      <c r="A3" s="297" t="s">
        <v>140</v>
      </c>
      <c r="B3" s="298"/>
      <c r="C3" s="298"/>
      <c r="D3" s="298"/>
      <c r="E3" s="298"/>
      <c r="F3" s="298"/>
      <c r="G3" s="299"/>
    </row>
    <row r="4" spans="1:7" s="86" customFormat="1" ht="19.5" customHeight="1" x14ac:dyDescent="0.25">
      <c r="A4" s="199" t="s">
        <v>43</v>
      </c>
      <c r="B4" s="200"/>
      <c r="C4" s="200"/>
      <c r="D4" s="200"/>
      <c r="E4" s="200"/>
      <c r="F4" s="200"/>
      <c r="G4" s="205"/>
    </row>
    <row r="5" spans="1:7" s="86" customFormat="1" ht="19.5" customHeight="1" x14ac:dyDescent="0.25">
      <c r="A5" s="292" t="s">
        <v>44</v>
      </c>
      <c r="B5" s="293"/>
      <c r="C5" s="293"/>
      <c r="D5" s="293"/>
      <c r="E5" s="293"/>
      <c r="F5" s="293"/>
      <c r="G5" s="294"/>
    </row>
    <row r="6" spans="1:7" s="86" customFormat="1" ht="16.5" customHeight="1" x14ac:dyDescent="0.25">
      <c r="A6" s="90" t="s">
        <v>45</v>
      </c>
      <c r="B6" s="91" t="s">
        <v>46</v>
      </c>
      <c r="C6" s="92" t="s">
        <v>5</v>
      </c>
      <c r="D6" s="257" t="s">
        <v>141</v>
      </c>
      <c r="E6" s="259"/>
      <c r="F6" s="295" t="s">
        <v>47</v>
      </c>
      <c r="G6" s="280">
        <f>Page1!J4</f>
        <v>0</v>
      </c>
    </row>
    <row r="7" spans="1:7" s="86" customFormat="1" ht="16.5" customHeight="1" x14ac:dyDescent="0.25">
      <c r="A7" s="90" t="s">
        <v>48</v>
      </c>
      <c r="B7" s="94"/>
      <c r="C7" s="92" t="s">
        <v>49</v>
      </c>
      <c r="D7" s="257">
        <f>Page1!F5</f>
        <v>0</v>
      </c>
      <c r="E7" s="259"/>
      <c r="F7" s="295"/>
      <c r="G7" s="296"/>
    </row>
    <row r="8" spans="1:7" s="86" customFormat="1" ht="37.5" customHeight="1" x14ac:dyDescent="0.25">
      <c r="A8" s="90" t="s">
        <v>50</v>
      </c>
      <c r="B8" s="93">
        <f>Page1!C4</f>
        <v>0</v>
      </c>
      <c r="C8" s="92" t="s">
        <v>51</v>
      </c>
      <c r="D8" s="295">
        <f>Page1!H5</f>
        <v>0</v>
      </c>
      <c r="E8" s="295"/>
      <c r="F8" s="277" t="s">
        <v>9</v>
      </c>
      <c r="G8" s="280">
        <f>Page1!J5</f>
        <v>0</v>
      </c>
    </row>
    <row r="9" spans="1:7" s="86" customFormat="1" ht="16.5" customHeight="1" x14ac:dyDescent="0.25">
      <c r="A9" s="96" t="s">
        <v>52</v>
      </c>
      <c r="B9" s="95">
        <f>Page1!G44</f>
        <v>461359700</v>
      </c>
      <c r="C9" s="277" t="s">
        <v>53</v>
      </c>
      <c r="D9" s="283" t="s">
        <v>54</v>
      </c>
      <c r="E9" s="284"/>
      <c r="F9" s="278"/>
      <c r="G9" s="281"/>
    </row>
    <row r="10" spans="1:7" s="86" customFormat="1" ht="15.75" thickBot="1" x14ac:dyDescent="0.3">
      <c r="A10" s="97" t="s">
        <v>55</v>
      </c>
      <c r="B10" s="98">
        <f>Page1!C5</f>
        <v>0</v>
      </c>
      <c r="C10" s="279"/>
      <c r="D10" s="285"/>
      <c r="E10" s="286"/>
      <c r="F10" s="279"/>
      <c r="G10" s="282"/>
    </row>
    <row r="11" spans="1:7" s="86" customFormat="1" ht="16.5" customHeight="1" x14ac:dyDescent="0.25">
      <c r="A11" s="300" t="s">
        <v>56</v>
      </c>
      <c r="B11" s="302" t="s">
        <v>57</v>
      </c>
      <c r="C11" s="304" t="s">
        <v>18</v>
      </c>
      <c r="D11" s="305"/>
      <c r="E11" s="306"/>
      <c r="F11" s="302" t="s">
        <v>58</v>
      </c>
      <c r="G11" s="307" t="s">
        <v>59</v>
      </c>
    </row>
    <row r="12" spans="1:7" s="86" customFormat="1" ht="16.5" customHeight="1" thickBot="1" x14ac:dyDescent="0.3">
      <c r="A12" s="301"/>
      <c r="B12" s="303"/>
      <c r="C12" s="99" t="s">
        <v>60</v>
      </c>
      <c r="D12" s="99" t="s">
        <v>61</v>
      </c>
      <c r="E12" s="99" t="s">
        <v>62</v>
      </c>
      <c r="F12" s="303"/>
      <c r="G12" s="308"/>
    </row>
    <row r="13" spans="1:7" s="86" customFormat="1" ht="16.5" customHeight="1" x14ac:dyDescent="0.25">
      <c r="A13" s="100" t="s">
        <v>63</v>
      </c>
      <c r="B13" s="101" t="s">
        <v>64</v>
      </c>
      <c r="C13" s="102">
        <v>17</v>
      </c>
      <c r="D13" s="102">
        <v>18</v>
      </c>
      <c r="E13" s="102">
        <v>20</v>
      </c>
      <c r="F13" s="103" t="e">
        <f>Page1!D39</f>
        <v>#DIV/0!</v>
      </c>
      <c r="G13" s="18" t="s">
        <v>65</v>
      </c>
    </row>
    <row r="14" spans="1:7" s="86" customFormat="1" ht="16.5" customHeight="1" x14ac:dyDescent="0.25">
      <c r="A14" s="104" t="s">
        <v>66</v>
      </c>
      <c r="B14" s="105" t="s">
        <v>67</v>
      </c>
      <c r="C14" s="106">
        <v>18</v>
      </c>
      <c r="D14" s="106">
        <v>23</v>
      </c>
      <c r="E14" s="106">
        <v>28</v>
      </c>
      <c r="F14" s="107" t="e">
        <f>Page1!E39</f>
        <v>#DIV/0!</v>
      </c>
      <c r="G14" s="108" t="s">
        <v>68</v>
      </c>
    </row>
    <row r="15" spans="1:7" s="86" customFormat="1" ht="16.5" customHeight="1" x14ac:dyDescent="0.25">
      <c r="A15" s="104" t="s">
        <v>69</v>
      </c>
      <c r="B15" s="105" t="s">
        <v>70</v>
      </c>
      <c r="C15" s="106">
        <v>300</v>
      </c>
      <c r="D15" s="106" t="s">
        <v>39</v>
      </c>
      <c r="E15" s="106" t="s">
        <v>39</v>
      </c>
      <c r="F15" s="39" t="e">
        <f>Page1!K39</f>
        <v>#DIV/0!</v>
      </c>
      <c r="G15" s="287" t="s">
        <v>71</v>
      </c>
    </row>
    <row r="16" spans="1:7" s="86" customFormat="1" ht="16.5" customHeight="1" x14ac:dyDescent="0.25">
      <c r="A16" s="104" t="s">
        <v>72</v>
      </c>
      <c r="B16" s="105" t="s">
        <v>70</v>
      </c>
      <c r="C16" s="106">
        <v>300</v>
      </c>
      <c r="D16" s="106" t="s">
        <v>39</v>
      </c>
      <c r="E16" s="106" t="s">
        <v>39</v>
      </c>
      <c r="F16" s="39" t="e">
        <f>Page2!F41</f>
        <v>#DIV/0!</v>
      </c>
      <c r="G16" s="228"/>
    </row>
    <row r="17" spans="1:7" s="86" customFormat="1" ht="16.5" customHeight="1" x14ac:dyDescent="0.25">
      <c r="A17" s="104" t="s">
        <v>73</v>
      </c>
      <c r="B17" s="105" t="s">
        <v>70</v>
      </c>
      <c r="C17" s="106">
        <v>900</v>
      </c>
      <c r="D17" s="106" t="s">
        <v>39</v>
      </c>
      <c r="E17" s="106">
        <v>1200</v>
      </c>
      <c r="F17" s="39" t="e">
        <f>Page1!I39</f>
        <v>#DIV/0!</v>
      </c>
      <c r="G17" s="228"/>
    </row>
    <row r="18" spans="1:7" s="86" customFormat="1" ht="16.5" customHeight="1" x14ac:dyDescent="0.25">
      <c r="A18" s="104" t="s">
        <v>74</v>
      </c>
      <c r="B18" s="105" t="s">
        <v>70</v>
      </c>
      <c r="C18" s="106">
        <v>700</v>
      </c>
      <c r="D18" s="106" t="s">
        <v>39</v>
      </c>
      <c r="E18" s="106">
        <v>1000</v>
      </c>
      <c r="F18" s="39" t="e">
        <f>Page2!D41</f>
        <v>#DIV/0!</v>
      </c>
      <c r="G18" s="228"/>
    </row>
    <row r="19" spans="1:7" s="86" customFormat="1" ht="16.5" customHeight="1" x14ac:dyDescent="0.25">
      <c r="A19" s="104" t="s">
        <v>75</v>
      </c>
      <c r="B19" s="105" t="s">
        <v>76</v>
      </c>
      <c r="C19" s="106">
        <v>350</v>
      </c>
      <c r="D19" s="106" t="s">
        <v>39</v>
      </c>
      <c r="E19" s="106" t="s">
        <v>39</v>
      </c>
      <c r="F19" s="39" t="e">
        <f>Page1!J39</f>
        <v>#DIV/0!</v>
      </c>
      <c r="G19" s="228"/>
    </row>
    <row r="20" spans="1:7" s="86" customFormat="1" ht="16.5" customHeight="1" x14ac:dyDescent="0.25">
      <c r="A20" s="104" t="s">
        <v>77</v>
      </c>
      <c r="B20" s="105" t="s">
        <v>76</v>
      </c>
      <c r="C20" s="106">
        <v>400</v>
      </c>
      <c r="D20" s="106" t="s">
        <v>39</v>
      </c>
      <c r="E20" s="106" t="s">
        <v>39</v>
      </c>
      <c r="F20" s="39" t="e">
        <f>Page2!E41</f>
        <v>#DIV/0!</v>
      </c>
      <c r="G20" s="228"/>
    </row>
    <row r="21" spans="1:7" s="86" customFormat="1" ht="16.5" customHeight="1" x14ac:dyDescent="0.25">
      <c r="A21" s="104" t="s">
        <v>78</v>
      </c>
      <c r="B21" s="105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28"/>
    </row>
    <row r="22" spans="1:7" s="86" customFormat="1" ht="16.5" customHeight="1" x14ac:dyDescent="0.25">
      <c r="A22" s="104" t="s">
        <v>79</v>
      </c>
      <c r="B22" s="105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38"/>
    </row>
    <row r="23" spans="1:7" s="86" customFormat="1" ht="16.5" customHeight="1" x14ac:dyDescent="0.25">
      <c r="A23" s="104" t="s">
        <v>80</v>
      </c>
      <c r="B23" s="105" t="s">
        <v>81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8" t="s">
        <v>82</v>
      </c>
    </row>
    <row r="24" spans="1:7" s="86" customFormat="1" ht="16.5" customHeight="1" x14ac:dyDescent="0.25">
      <c r="A24" s="104" t="s">
        <v>83</v>
      </c>
      <c r="B24" s="105" t="s">
        <v>84</v>
      </c>
      <c r="C24" s="106" t="s">
        <v>39</v>
      </c>
      <c r="D24" s="39">
        <f>Page2!J9</f>
        <v>210</v>
      </c>
      <c r="E24" s="39">
        <f>Page2!J10</f>
        <v>213</v>
      </c>
      <c r="F24" s="39" t="e">
        <f>Page2!I41</f>
        <v>#DIV/0!</v>
      </c>
      <c r="G24" s="108" t="s">
        <v>85</v>
      </c>
    </row>
    <row r="25" spans="1:7" s="86" customFormat="1" ht="16.5" customHeight="1" x14ac:dyDescent="0.25">
      <c r="A25" s="104" t="s">
        <v>86</v>
      </c>
      <c r="B25" s="105" t="s">
        <v>87</v>
      </c>
      <c r="C25" s="39">
        <v>6000</v>
      </c>
      <c r="D25" s="106" t="s">
        <v>39</v>
      </c>
      <c r="E25" s="106" t="s">
        <v>39</v>
      </c>
      <c r="F25" s="39">
        <v>6000</v>
      </c>
      <c r="G25" s="108" t="s">
        <v>88</v>
      </c>
    </row>
    <row r="26" spans="1:7" s="86" customFormat="1" ht="16.5" customHeight="1" thickBot="1" x14ac:dyDescent="0.3">
      <c r="A26" s="110" t="s">
        <v>89</v>
      </c>
      <c r="B26" s="111" t="s">
        <v>84</v>
      </c>
      <c r="C26" s="56">
        <v>410</v>
      </c>
      <c r="D26" s="56">
        <v>430</v>
      </c>
      <c r="E26" s="112">
        <v>450</v>
      </c>
      <c r="F26" s="112" t="e">
        <f>Page2!K41</f>
        <v>#DIV/0!</v>
      </c>
      <c r="G26" s="109" t="s">
        <v>85</v>
      </c>
    </row>
    <row r="27" spans="1:7" s="86" customFormat="1" ht="16.5" customHeight="1" thickBot="1" x14ac:dyDescent="0.3">
      <c r="A27" s="271" t="s">
        <v>90</v>
      </c>
      <c r="B27" s="272"/>
      <c r="C27" s="272"/>
      <c r="D27" s="272"/>
      <c r="E27" s="272"/>
      <c r="F27" s="272"/>
      <c r="G27" s="273"/>
    </row>
    <row r="28" spans="1:7" s="86" customFormat="1" ht="16.5" customHeight="1" x14ac:dyDescent="0.25">
      <c r="A28" s="255" t="s">
        <v>91</v>
      </c>
      <c r="B28" s="256"/>
      <c r="C28" s="274" t="s">
        <v>127</v>
      </c>
      <c r="D28" s="275"/>
      <c r="E28" s="276"/>
      <c r="F28" s="113" t="s">
        <v>92</v>
      </c>
      <c r="G28" s="18" t="s">
        <v>119</v>
      </c>
    </row>
    <row r="29" spans="1:7" s="86" customFormat="1" ht="16.5" customHeight="1" x14ac:dyDescent="0.25">
      <c r="A29" s="260" t="s">
        <v>94</v>
      </c>
      <c r="B29" s="259"/>
      <c r="C29" s="265" t="s">
        <v>95</v>
      </c>
      <c r="D29" s="266"/>
      <c r="E29" s="267"/>
      <c r="F29" s="66" t="s">
        <v>92</v>
      </c>
      <c r="G29" s="108" t="s">
        <v>93</v>
      </c>
    </row>
    <row r="30" spans="1:7" s="86" customFormat="1" ht="16.5" customHeight="1" x14ac:dyDescent="0.25">
      <c r="A30" s="260" t="s">
        <v>96</v>
      </c>
      <c r="B30" s="259"/>
      <c r="C30" s="265" t="s">
        <v>97</v>
      </c>
      <c r="D30" s="266"/>
      <c r="E30" s="267"/>
      <c r="F30" s="66" t="s">
        <v>92</v>
      </c>
      <c r="G30" s="18" t="s">
        <v>119</v>
      </c>
    </row>
    <row r="31" spans="1:7" s="86" customFormat="1" ht="16.5" customHeight="1" x14ac:dyDescent="0.25">
      <c r="A31" s="260" t="s">
        <v>98</v>
      </c>
      <c r="B31" s="259"/>
      <c r="C31" s="265" t="s">
        <v>99</v>
      </c>
      <c r="D31" s="266"/>
      <c r="E31" s="267"/>
      <c r="F31" s="66" t="s">
        <v>92</v>
      </c>
      <c r="G31" s="108" t="s">
        <v>100</v>
      </c>
    </row>
    <row r="32" spans="1:7" s="86" customFormat="1" ht="16.5" customHeight="1" x14ac:dyDescent="0.25">
      <c r="A32" s="260" t="s">
        <v>101</v>
      </c>
      <c r="B32" s="259"/>
      <c r="C32" s="265" t="s">
        <v>102</v>
      </c>
      <c r="D32" s="266"/>
      <c r="E32" s="267"/>
      <c r="F32" s="66" t="s">
        <v>92</v>
      </c>
      <c r="G32" s="108" t="s">
        <v>93</v>
      </c>
    </row>
    <row r="33" spans="1:7" s="86" customFormat="1" ht="16.5" customHeight="1" x14ac:dyDescent="0.25">
      <c r="A33" s="260" t="s">
        <v>103</v>
      </c>
      <c r="B33" s="259"/>
      <c r="C33" s="265" t="s">
        <v>104</v>
      </c>
      <c r="D33" s="266"/>
      <c r="E33" s="267"/>
      <c r="F33" s="66" t="s">
        <v>92</v>
      </c>
      <c r="G33" s="108" t="s">
        <v>120</v>
      </c>
    </row>
    <row r="34" spans="1:7" s="86" customFormat="1" ht="33" customHeight="1" thickBot="1" x14ac:dyDescent="0.3">
      <c r="A34" s="148" t="s">
        <v>105</v>
      </c>
      <c r="B34" s="149"/>
      <c r="C34" s="268" t="s">
        <v>106</v>
      </c>
      <c r="D34" s="269"/>
      <c r="E34" s="270"/>
      <c r="F34" s="114" t="s">
        <v>92</v>
      </c>
      <c r="G34" s="133" t="s">
        <v>120</v>
      </c>
    </row>
    <row r="35" spans="1:7" s="86" customFormat="1" ht="16.5" customHeight="1" thickBot="1" x14ac:dyDescent="0.3">
      <c r="A35" s="271" t="s">
        <v>107</v>
      </c>
      <c r="B35" s="272"/>
      <c r="C35" s="272"/>
      <c r="D35" s="272"/>
      <c r="E35" s="272"/>
      <c r="F35" s="272"/>
      <c r="G35" s="273"/>
    </row>
    <row r="36" spans="1:7" s="86" customFormat="1" ht="16.5" customHeight="1" x14ac:dyDescent="0.25">
      <c r="A36" s="144" t="s">
        <v>108</v>
      </c>
      <c r="B36" s="145"/>
      <c r="C36" s="263" t="s">
        <v>97</v>
      </c>
      <c r="D36" s="264"/>
      <c r="E36" s="145"/>
      <c r="F36" s="10" t="s">
        <v>92</v>
      </c>
      <c r="G36" s="18" t="s">
        <v>119</v>
      </c>
    </row>
    <row r="37" spans="1:7" s="86" customFormat="1" ht="16.5" customHeight="1" x14ac:dyDescent="0.25">
      <c r="A37" s="255" t="s">
        <v>109</v>
      </c>
      <c r="B37" s="256"/>
      <c r="C37" s="257" t="s">
        <v>110</v>
      </c>
      <c r="D37" s="258"/>
      <c r="E37" s="259"/>
      <c r="F37" s="106" t="s">
        <v>92</v>
      </c>
      <c r="G37" s="108" t="s">
        <v>93</v>
      </c>
    </row>
    <row r="38" spans="1:7" s="86" customFormat="1" ht="16.5" customHeight="1" x14ac:dyDescent="0.25">
      <c r="A38" s="260" t="s">
        <v>111</v>
      </c>
      <c r="B38" s="259"/>
      <c r="C38" s="257" t="s">
        <v>112</v>
      </c>
      <c r="D38" s="258"/>
      <c r="E38" s="259"/>
      <c r="F38" s="106" t="s">
        <v>92</v>
      </c>
      <c r="G38" s="108" t="s">
        <v>93</v>
      </c>
    </row>
    <row r="39" spans="1:7" s="86" customFormat="1" ht="16.5" customHeight="1" thickBot="1" x14ac:dyDescent="0.3">
      <c r="A39" s="148" t="s">
        <v>113</v>
      </c>
      <c r="B39" s="149"/>
      <c r="C39" s="261" t="s">
        <v>114</v>
      </c>
      <c r="D39" s="262"/>
      <c r="E39" s="149"/>
      <c r="F39" s="1" t="s">
        <v>92</v>
      </c>
      <c r="G39" s="109" t="s">
        <v>85</v>
      </c>
    </row>
    <row r="40" spans="1:7" s="86" customFormat="1" ht="16.5" customHeight="1" x14ac:dyDescent="0.25">
      <c r="A40" s="241" t="s">
        <v>115</v>
      </c>
      <c r="B40" s="242"/>
      <c r="C40" s="243" t="s">
        <v>137</v>
      </c>
      <c r="D40" s="244"/>
      <c r="E40" s="245"/>
      <c r="F40" s="243" t="s">
        <v>138</v>
      </c>
      <c r="G40" s="245"/>
    </row>
    <row r="41" spans="1:7" s="86" customFormat="1" ht="123" customHeight="1" x14ac:dyDescent="0.25">
      <c r="A41" s="246"/>
      <c r="B41" s="247"/>
      <c r="C41" s="199"/>
      <c r="D41" s="200"/>
      <c r="E41" s="205"/>
      <c r="F41" s="250"/>
      <c r="G41" s="251"/>
    </row>
    <row r="42" spans="1:7" s="86" customFormat="1" ht="16.5" customHeight="1" thickBot="1" x14ac:dyDescent="0.3">
      <c r="A42" s="248"/>
      <c r="B42" s="249"/>
      <c r="C42" s="252" t="s">
        <v>22</v>
      </c>
      <c r="D42" s="253"/>
      <c r="E42" s="254"/>
      <c r="F42" s="252" t="s">
        <v>139</v>
      </c>
      <c r="G42" s="254"/>
    </row>
    <row r="43" spans="1:7" ht="16.5" customHeight="1" x14ac:dyDescent="0.25">
      <c r="A43" s="115"/>
      <c r="B43" s="115"/>
      <c r="C43" s="115"/>
      <c r="D43" s="115"/>
      <c r="E43" s="239"/>
      <c r="F43" s="239"/>
      <c r="G43" s="239"/>
    </row>
    <row r="44" spans="1:7" x14ac:dyDescent="0.25">
      <c r="A44" s="46" t="s">
        <v>116</v>
      </c>
      <c r="B44" s="116"/>
      <c r="C44" s="118"/>
      <c r="D44" s="115"/>
      <c r="E44" s="240"/>
      <c r="F44" s="240"/>
      <c r="G44" s="240"/>
    </row>
    <row r="46" spans="1:7" x14ac:dyDescent="0.25">
      <c r="A46" s="288" t="s">
        <v>117</v>
      </c>
      <c r="B46" s="288"/>
    </row>
    <row r="47" spans="1:7" x14ac:dyDescent="0.25">
      <c r="A47" s="288" t="s">
        <v>118</v>
      </c>
      <c r="B47" s="288"/>
    </row>
  </sheetData>
  <mergeCells count="55">
    <mergeCell ref="A46:B46"/>
    <mergeCell ref="A47:B47"/>
    <mergeCell ref="A1:G1"/>
    <mergeCell ref="A4:G4"/>
    <mergeCell ref="A5:G5"/>
    <mergeCell ref="D6:E6"/>
    <mergeCell ref="F6:F7"/>
    <mergeCell ref="G6:G7"/>
    <mergeCell ref="D7:E7"/>
    <mergeCell ref="A3:G3"/>
    <mergeCell ref="A11:A12"/>
    <mergeCell ref="B11:B12"/>
    <mergeCell ref="C11:E11"/>
    <mergeCell ref="F11:F12"/>
    <mergeCell ref="G11:G12"/>
    <mergeCell ref="D8:E8"/>
    <mergeCell ref="F8:F10"/>
    <mergeCell ref="G8:G10"/>
    <mergeCell ref="C9:C10"/>
    <mergeCell ref="D9:E10"/>
    <mergeCell ref="G15:G22"/>
    <mergeCell ref="A27:G27"/>
    <mergeCell ref="A28:B28"/>
    <mergeCell ref="C28:E28"/>
    <mergeCell ref="A29:B29"/>
    <mergeCell ref="C29:E2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A37:B37"/>
    <mergeCell ref="C37:E37"/>
    <mergeCell ref="A38:B38"/>
    <mergeCell ref="C38:E38"/>
    <mergeCell ref="A39:B39"/>
    <mergeCell ref="C39:E39"/>
    <mergeCell ref="E43:G43"/>
    <mergeCell ref="E44:G44"/>
    <mergeCell ref="A40:B40"/>
    <mergeCell ref="C40:E40"/>
    <mergeCell ref="F40:G40"/>
    <mergeCell ref="A41:B42"/>
    <mergeCell ref="C41:E41"/>
    <mergeCell ref="F41:G41"/>
    <mergeCell ref="C42:E42"/>
    <mergeCell ref="F42:G42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2025-11-09T04:54:35Z</dcterms:modified>
</cp:coreProperties>
</file>