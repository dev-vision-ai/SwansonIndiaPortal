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codeName="ThisWorkbook" defaultThemeVersion="124226"/>
  <xr:revisionPtr revIDLastSave="0" documentId="13_ncr:1_{67ACAF7A-3BFB-4C09-BB80-1499451296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6" r:id="rId1"/>
    <sheet name="Page2" sheetId="7" r:id="rId2"/>
    <sheet name="Page3" sheetId="9" r:id="rId3"/>
    <sheet name="COA Form" sheetId="10" r:id="rId4"/>
  </sheets>
  <definedNames>
    <definedName name="_xlnm.Print_Area" localSheetId="0">Page1!$A$1:$K$45</definedName>
    <definedName name="_xlnm.Print_Area" localSheetId="1">Page2!$A$1:$K$47</definedName>
    <definedName name="_xlnm.Print_Area" localSheetId="2">Page3!$A$1:$K$46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10" l="1"/>
  <c r="E24" i="10"/>
  <c r="D24" i="10"/>
  <c r="J5" i="9"/>
  <c r="H5" i="9"/>
  <c r="F5" i="9"/>
  <c r="C5" i="9"/>
  <c r="B5" i="9"/>
  <c r="J4" i="9"/>
  <c r="H4" i="9"/>
  <c r="F4" i="9"/>
  <c r="C4" i="9"/>
  <c r="B4" i="9"/>
  <c r="J5" i="7"/>
  <c r="J4" i="7"/>
  <c r="F4" i="7"/>
  <c r="C5" i="7"/>
  <c r="C4" i="7"/>
  <c r="D8" i="10"/>
  <c r="D7" i="10"/>
  <c r="B8" i="10"/>
  <c r="B10" i="10"/>
  <c r="G45" i="9"/>
  <c r="G46" i="7"/>
  <c r="B9" i="10"/>
  <c r="E41" i="9" l="1"/>
  <c r="G42" i="7"/>
  <c r="D39" i="6"/>
  <c r="F40" i="6"/>
  <c r="I41" i="6"/>
  <c r="A11" i="7"/>
  <c r="A10" i="9"/>
  <c r="A11" i="9" l="1"/>
  <c r="B11" i="9"/>
  <c r="C11" i="9"/>
  <c r="A12" i="9"/>
  <c r="B12" i="9"/>
  <c r="C12" i="9"/>
  <c r="A13" i="9"/>
  <c r="B13" i="9"/>
  <c r="C13" i="9"/>
  <c r="A14" i="9"/>
  <c r="B14" i="9"/>
  <c r="C14" i="9"/>
  <c r="A15" i="9"/>
  <c r="B15" i="9"/>
  <c r="C15" i="9"/>
  <c r="A16" i="9"/>
  <c r="B16" i="9"/>
  <c r="C16" i="9"/>
  <c r="A17" i="9"/>
  <c r="B17" i="9"/>
  <c r="C17" i="9"/>
  <c r="A18" i="9"/>
  <c r="B18" i="9"/>
  <c r="C18" i="9"/>
  <c r="A19" i="9"/>
  <c r="B19" i="9"/>
  <c r="C19" i="9"/>
  <c r="A20" i="9"/>
  <c r="B20" i="9"/>
  <c r="C20" i="9"/>
  <c r="A21" i="9"/>
  <c r="B21" i="9"/>
  <c r="C21" i="9"/>
  <c r="A22" i="9"/>
  <c r="B22" i="9"/>
  <c r="C22" i="9"/>
  <c r="A23" i="9"/>
  <c r="B23" i="9"/>
  <c r="C23" i="9"/>
  <c r="A24" i="9"/>
  <c r="B24" i="9"/>
  <c r="C24" i="9"/>
  <c r="A25" i="9"/>
  <c r="B25" i="9"/>
  <c r="C25" i="9"/>
  <c r="A26" i="9"/>
  <c r="B26" i="9"/>
  <c r="C26" i="9"/>
  <c r="A27" i="9"/>
  <c r="B27" i="9"/>
  <c r="C27" i="9"/>
  <c r="A28" i="9"/>
  <c r="B28" i="9"/>
  <c r="C28" i="9"/>
  <c r="A29" i="9"/>
  <c r="B29" i="9"/>
  <c r="C29" i="9"/>
  <c r="A30" i="9"/>
  <c r="B30" i="9"/>
  <c r="C30" i="9"/>
  <c r="A31" i="9"/>
  <c r="B31" i="9"/>
  <c r="C31" i="9"/>
  <c r="A32" i="9"/>
  <c r="B32" i="9"/>
  <c r="C32" i="9"/>
  <c r="A33" i="9"/>
  <c r="B33" i="9"/>
  <c r="C33" i="9"/>
  <c r="A34" i="9"/>
  <c r="B34" i="9"/>
  <c r="C34" i="9"/>
  <c r="A35" i="9"/>
  <c r="B35" i="9"/>
  <c r="C35" i="9"/>
  <c r="A36" i="9"/>
  <c r="B36" i="9"/>
  <c r="C36" i="9"/>
  <c r="A37" i="9"/>
  <c r="B37" i="9"/>
  <c r="C37" i="9"/>
  <c r="A38" i="9"/>
  <c r="B38" i="9"/>
  <c r="C38" i="9"/>
  <c r="A39" i="9"/>
  <c r="B39" i="9"/>
  <c r="C39" i="9"/>
  <c r="B10" i="9"/>
  <c r="C10" i="9"/>
  <c r="A12" i="7"/>
  <c r="B12" i="7"/>
  <c r="C12" i="7"/>
  <c r="A13" i="7"/>
  <c r="B13" i="7"/>
  <c r="C13" i="7"/>
  <c r="A14" i="7"/>
  <c r="B14" i="7"/>
  <c r="C14" i="7"/>
  <c r="A15" i="7"/>
  <c r="B15" i="7"/>
  <c r="C15" i="7"/>
  <c r="A16" i="7"/>
  <c r="B16" i="7"/>
  <c r="C16" i="7"/>
  <c r="A17" i="7"/>
  <c r="B17" i="7"/>
  <c r="C17" i="7"/>
  <c r="A18" i="7"/>
  <c r="B18" i="7"/>
  <c r="C18" i="7"/>
  <c r="A19" i="7"/>
  <c r="B19" i="7"/>
  <c r="C19" i="7"/>
  <c r="A20" i="7"/>
  <c r="B20" i="7"/>
  <c r="C20" i="7"/>
  <c r="A21" i="7"/>
  <c r="B21" i="7"/>
  <c r="C21" i="7"/>
  <c r="A22" i="7"/>
  <c r="B22" i="7"/>
  <c r="C22" i="7"/>
  <c r="A23" i="7"/>
  <c r="B23" i="7"/>
  <c r="C23" i="7"/>
  <c r="A24" i="7"/>
  <c r="B24" i="7"/>
  <c r="C24" i="7"/>
  <c r="A25" i="7"/>
  <c r="B25" i="7"/>
  <c r="C25" i="7"/>
  <c r="A26" i="7"/>
  <c r="B26" i="7"/>
  <c r="C26" i="7"/>
  <c r="A27" i="7"/>
  <c r="B27" i="7"/>
  <c r="C27" i="7"/>
  <c r="A28" i="7"/>
  <c r="B28" i="7"/>
  <c r="C28" i="7"/>
  <c r="A29" i="7"/>
  <c r="B29" i="7"/>
  <c r="C29" i="7"/>
  <c r="A30" i="7"/>
  <c r="B30" i="7"/>
  <c r="C30" i="7"/>
  <c r="A31" i="7"/>
  <c r="B31" i="7"/>
  <c r="C31" i="7"/>
  <c r="A32" i="7"/>
  <c r="B32" i="7"/>
  <c r="C32" i="7"/>
  <c r="A33" i="7"/>
  <c r="B33" i="7"/>
  <c r="C33" i="7"/>
  <c r="A34" i="7"/>
  <c r="B34" i="7"/>
  <c r="C34" i="7"/>
  <c r="A35" i="7"/>
  <c r="B35" i="7"/>
  <c r="C35" i="7"/>
  <c r="A36" i="7"/>
  <c r="B36" i="7"/>
  <c r="C36" i="7"/>
  <c r="A37" i="7"/>
  <c r="B37" i="7"/>
  <c r="C37" i="7"/>
  <c r="A38" i="7"/>
  <c r="B38" i="7"/>
  <c r="C38" i="7"/>
  <c r="A39" i="7"/>
  <c r="B39" i="7"/>
  <c r="C39" i="7"/>
  <c r="A40" i="7"/>
  <c r="B40" i="7"/>
  <c r="C40" i="7"/>
  <c r="B11" i="7"/>
  <c r="C11" i="7"/>
  <c r="D40" i="9" l="1"/>
  <c r="D41" i="7"/>
  <c r="D40" i="6"/>
  <c r="H42" i="9"/>
  <c r="H41" i="9"/>
  <c r="G42" i="9"/>
  <c r="G41" i="9"/>
  <c r="F42" i="9"/>
  <c r="F41" i="9"/>
  <c r="E42" i="9"/>
  <c r="D42" i="9"/>
  <c r="D41" i="9"/>
  <c r="B4" i="7"/>
  <c r="F42" i="7"/>
  <c r="E42" i="7"/>
  <c r="D42" i="7"/>
  <c r="E41" i="7"/>
  <c r="F41" i="7"/>
  <c r="G41" i="7"/>
  <c r="I41" i="7"/>
  <c r="K41" i="7"/>
  <c r="D41" i="6"/>
  <c r="H5" i="7" l="1"/>
  <c r="F5" i="7"/>
  <c r="F24" i="10" l="1"/>
  <c r="G8" i="10"/>
  <c r="G6" i="10"/>
  <c r="I42" i="7" l="1"/>
  <c r="I43" i="7"/>
  <c r="H4" i="7" l="1"/>
  <c r="B5" i="7"/>
  <c r="G43" i="7" l="1"/>
  <c r="K43" i="7"/>
  <c r="K42" i="7"/>
  <c r="F26" i="10"/>
  <c r="H40" i="9" l="1"/>
  <c r="G40" i="9"/>
  <c r="F40" i="9"/>
  <c r="E40" i="9"/>
  <c r="J39" i="6" l="1"/>
  <c r="F19" i="10" s="1"/>
  <c r="F16" i="10" l="1"/>
  <c r="F43" i="7"/>
  <c r="F20" i="10"/>
  <c r="E43" i="7"/>
  <c r="F18" i="10" l="1"/>
  <c r="D43" i="7"/>
  <c r="E40" i="6" l="1"/>
  <c r="E39" i="6"/>
  <c r="F14" i="10" s="1"/>
  <c r="F41" i="6" l="1"/>
  <c r="G41" i="6"/>
  <c r="H41" i="6"/>
  <c r="J41" i="6"/>
  <c r="K41" i="6"/>
  <c r="G40" i="6"/>
  <c r="H40" i="6"/>
  <c r="I40" i="6"/>
  <c r="J40" i="6"/>
  <c r="K40" i="6"/>
  <c r="K39" i="6"/>
  <c r="F15" i="10" s="1"/>
  <c r="F39" i="6"/>
  <c r="F23" i="10" s="1"/>
  <c r="G39" i="6"/>
  <c r="F21" i="10" s="1"/>
  <c r="H39" i="6"/>
  <c r="F22" i="10" s="1"/>
  <c r="I39" i="6"/>
  <c r="F17" i="10" s="1"/>
  <c r="E41" i="6"/>
  <c r="F13" i="10"/>
</calcChain>
</file>

<file path=xl/sharedStrings.xml><?xml version="1.0" encoding="utf-8"?>
<sst xmlns="http://schemas.openxmlformats.org/spreadsheetml/2006/main" count="234" uniqueCount="142">
  <si>
    <t>Sample No.</t>
  </si>
  <si>
    <t>MD</t>
  </si>
  <si>
    <t>CD</t>
  </si>
  <si>
    <t>Gauges (microns-µ)</t>
  </si>
  <si>
    <t>Prod. Order</t>
  </si>
  <si>
    <t>Machine</t>
  </si>
  <si>
    <t>Production Date</t>
  </si>
  <si>
    <t>PO</t>
  </si>
  <si>
    <t>Quantity</t>
  </si>
  <si>
    <t>Inspection Date</t>
  </si>
  <si>
    <t>Tensile Break 
(g/25mm)
L-900 U-1200</t>
  </si>
  <si>
    <t>Elongation Break 
(%/25mm)
L-350</t>
  </si>
  <si>
    <t>10% Modulus 
(g/25mm)
L-300</t>
  </si>
  <si>
    <t>Tensile Break 
(g/25mm)
L-700 U-1000</t>
  </si>
  <si>
    <t>Elongation Break 
(%/25mm)
L-400</t>
  </si>
  <si>
    <t>Thickness
(µm)
L-18 T-23 U-28</t>
  </si>
  <si>
    <t>SWANSON PLASTICS (INDIA) PVT. LTD.</t>
  </si>
  <si>
    <t>Product Code</t>
  </si>
  <si>
    <t>Specification</t>
  </si>
  <si>
    <t>Film Inspection Form</t>
  </si>
  <si>
    <t>Inspected by:</t>
  </si>
  <si>
    <t>Distribution:Department Concerned</t>
  </si>
  <si>
    <t>(QC Inspector)</t>
  </si>
  <si>
    <t>Verified by:</t>
  </si>
  <si>
    <t>(QC HOD)</t>
  </si>
  <si>
    <t>Wettability
(µN/cm)
L-360 T-380 U-400</t>
  </si>
  <si>
    <t>Average</t>
  </si>
  <si>
    <t>FQP-QC02-04</t>
  </si>
  <si>
    <t xml:space="preserve">  </t>
  </si>
  <si>
    <t>Eff. Date: 01/08/2017</t>
  </si>
  <si>
    <t xml:space="preserve">Ref: </t>
  </si>
  <si>
    <t>Minimum</t>
  </si>
  <si>
    <t>Maximum</t>
  </si>
  <si>
    <t>COF
(R-R)                                       L-0.30 T-0.45 U-0.60</t>
  </si>
  <si>
    <t xml:space="preserve">Printed Ink Film </t>
  </si>
  <si>
    <t>Page 1 of 3</t>
  </si>
  <si>
    <t>Page 2 of 3</t>
  </si>
  <si>
    <t>Page 3 of 3</t>
  </si>
  <si>
    <t>Film Weight
(g/m2)
L-17.00 T-18.00 U-20.00</t>
  </si>
  <si>
    <t>-</t>
  </si>
  <si>
    <t>Verified By:</t>
  </si>
  <si>
    <t>FWI-QC13-01</t>
  </si>
  <si>
    <t>Eff.Date:01/08/2017</t>
  </si>
  <si>
    <t>Address:Plot No. 2, GIDC, Honda, Bhuipal, Sattari Goa, India 403 530</t>
  </si>
  <si>
    <t>Certificate of Analysis</t>
  </si>
  <si>
    <t xml:space="preserve">Customer: </t>
  </si>
  <si>
    <t>Unicharm</t>
  </si>
  <si>
    <t xml:space="preserve">Production Date </t>
  </si>
  <si>
    <t>Lot No.</t>
  </si>
  <si>
    <t>P/O NO.</t>
  </si>
  <si>
    <t xml:space="preserve">Product Code </t>
  </si>
  <si>
    <t xml:space="preserve">Quantity </t>
  </si>
  <si>
    <t>Material Code</t>
  </si>
  <si>
    <t>Embossed</t>
  </si>
  <si>
    <t>Matte</t>
  </si>
  <si>
    <t>Product Specification</t>
  </si>
  <si>
    <t>Test Items</t>
  </si>
  <si>
    <t>Unit</t>
  </si>
  <si>
    <t>Result</t>
  </si>
  <si>
    <t xml:space="preserve">Test Method </t>
  </si>
  <si>
    <t>LSL</t>
  </si>
  <si>
    <t>TGT</t>
  </si>
  <si>
    <t>USL</t>
  </si>
  <si>
    <t>Film Weight</t>
  </si>
  <si>
    <t>g/m²</t>
  </si>
  <si>
    <t>Weighing Scale</t>
  </si>
  <si>
    <t>Thickness</t>
  </si>
  <si>
    <t>µm</t>
  </si>
  <si>
    <t>Thickness Gauge</t>
  </si>
  <si>
    <t>10% Modulus-MD</t>
  </si>
  <si>
    <t>g/25mm</t>
  </si>
  <si>
    <t>UTM</t>
  </si>
  <si>
    <t>10% Modulus-CD</t>
  </si>
  <si>
    <t>Tensile Break-MD</t>
  </si>
  <si>
    <t>Tensile Break-CD</t>
  </si>
  <si>
    <t>Elongation-MD</t>
  </si>
  <si>
    <t>%/25mm</t>
  </si>
  <si>
    <t>Elongation-CD</t>
  </si>
  <si>
    <t>COF (R-R)</t>
  </si>
  <si>
    <t>COF (C-C)</t>
  </si>
  <si>
    <t>Wettability</t>
  </si>
  <si>
    <t>µN/cm</t>
  </si>
  <si>
    <t>Dyne Test</t>
  </si>
  <si>
    <t>Width</t>
  </si>
  <si>
    <t>mm</t>
  </si>
  <si>
    <t>Measuring Tape</t>
  </si>
  <si>
    <t>Roll Length</t>
  </si>
  <si>
    <t>Meter</t>
  </si>
  <si>
    <t>Length Counter</t>
  </si>
  <si>
    <t>Roll Diameter</t>
  </si>
  <si>
    <t>Film Appearance</t>
  </si>
  <si>
    <t>Opacity</t>
  </si>
  <si>
    <t>O</t>
  </si>
  <si>
    <t>Visual</t>
  </si>
  <si>
    <t xml:space="preserve">Glossiness </t>
  </si>
  <si>
    <t>No Glossy</t>
  </si>
  <si>
    <t>Colour</t>
  </si>
  <si>
    <t>Within QC Standard Colour Tolerance</t>
  </si>
  <si>
    <t>Smell</t>
  </si>
  <si>
    <t>No odd smell</t>
  </si>
  <si>
    <t>Sensory</t>
  </si>
  <si>
    <t>Colour Fading</t>
  </si>
  <si>
    <t>No colour fade</t>
  </si>
  <si>
    <t>Pin Hole</t>
  </si>
  <si>
    <t>No pin hole is allowed</t>
  </si>
  <si>
    <t>Fish-Eyes</t>
  </si>
  <si>
    <t>Width &lt; 3 mm
Area &lt; 60 Sq. mm</t>
  </si>
  <si>
    <t>Printing</t>
  </si>
  <si>
    <t>Print Colour</t>
  </si>
  <si>
    <t>Misprint</t>
  </si>
  <si>
    <r>
      <t>5mmX5mm/m</t>
    </r>
    <r>
      <rPr>
        <vertAlign val="superscript"/>
        <sz val="11"/>
        <color indexed="8"/>
        <rFont val="Times New Roman"/>
        <family val="1"/>
      </rPr>
      <t xml:space="preserve">2 </t>
    </r>
    <r>
      <rPr>
        <sz val="11"/>
        <color indexed="8"/>
        <rFont val="Times New Roman"/>
        <family val="1"/>
      </rPr>
      <t>(Non-continuous)</t>
    </r>
  </si>
  <si>
    <t>Printing dirty</t>
  </si>
  <si>
    <t>No Dirty Print</t>
  </si>
  <si>
    <t>Centralisation</t>
  </si>
  <si>
    <t>≦ 5 mm from side to printing</t>
  </si>
  <si>
    <t>Remarks:</t>
  </si>
  <si>
    <t>Note : 'O' means good</t>
  </si>
  <si>
    <t>Distribution :Department Concerned</t>
  </si>
  <si>
    <t>Retension Period: 05 years</t>
  </si>
  <si>
    <t>Spectrophotometer</t>
  </si>
  <si>
    <t>Web Defect Detector</t>
  </si>
  <si>
    <t>Diameter
(mm)
L-410 T-430 U-450</t>
  </si>
  <si>
    <t>COF
(C-C)                                 L-0.60 T- 0.80, U-1.40</t>
  </si>
  <si>
    <t>T-</t>
  </si>
  <si>
    <t>U-</t>
  </si>
  <si>
    <t>Opacity
L-45.0 T-50.0 U-55.0</t>
  </si>
  <si>
    <t xml:space="preserve"> Delta E
(Base Film White) 
T-0.00   U-5.00</t>
  </si>
  <si>
    <t>LSL-45, TGT-50, USL-55</t>
  </si>
  <si>
    <t>Delta E
T-0.00  U-4.00</t>
  </si>
  <si>
    <t>Colour L
L-55.00 T-60.00 U-65.00</t>
  </si>
  <si>
    <t>Colour A
L-45.00 T-50.00 U-55.00</t>
  </si>
  <si>
    <t>Colour B
L-(-16.00) T-(-11.00) U-(-6.00)</t>
  </si>
  <si>
    <t>Reference:</t>
  </si>
  <si>
    <t>Retention period: 5 years</t>
  </si>
  <si>
    <t>Testing Equipment Identification Number</t>
  </si>
  <si>
    <t>Roll Cut Width</t>
  </si>
  <si>
    <t>(mm)</t>
  </si>
  <si>
    <t xml:space="preserve">Inspected By
</t>
  </si>
  <si>
    <t xml:space="preserve">Approved By
</t>
  </si>
  <si>
    <t>(QA)</t>
  </si>
  <si>
    <t>Swanson Plastics(India) Pvt. Ltd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</si>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</sst>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;0\-0;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vertAlign val="superscript"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i/>
      <sz val="8"/>
      <color theme="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5">
    <xf numFmtId="0" fontId="0" fillId="0" borderId="0" xfId="0"/>
    <xf numFmtId="0" fontId="1" fillId="2" borderId="4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right" vertical="center" wrapText="1"/>
    </xf>
    <xf numFmtId="0" fontId="1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34" xfId="0" applyFont="1" applyFill="1" applyBorder="1" applyAlignment="1">
      <alignment vertical="center" wrapText="1"/>
    </xf>
    <xf numFmtId="0" fontId="1" fillId="2" borderId="3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vertical="center" wrapText="1"/>
    </xf>
    <xf numFmtId="0" fontId="1" fillId="2" borderId="26" xfId="0" applyFont="1" applyFill="1" applyBorder="1" applyAlignment="1" applyProtection="1">
      <alignment horizontal="center" vertical="center" wrapText="1"/>
      <protection locked="0"/>
    </xf>
    <xf numFmtId="0" fontId="1" fillId="2" borderId="45" xfId="0" applyFont="1" applyFill="1" applyBorder="1" applyAlignment="1" applyProtection="1">
      <alignment horizontal="center" vertical="center" wrapText="1"/>
      <protection locked="0"/>
    </xf>
    <xf numFmtId="0" fontId="1" fillId="2" borderId="26" xfId="0" applyFont="1" applyFill="1" applyBorder="1" applyAlignment="1">
      <alignment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0" fontId="1" fillId="2" borderId="46" xfId="0" applyFont="1" applyFill="1" applyBorder="1" applyAlignment="1">
      <alignment horizontal="center" vertical="center" wrapText="1"/>
    </xf>
    <xf numFmtId="49" fontId="1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38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4" xfId="0" quotePrefix="1" applyNumberFormat="1" applyFont="1" applyFill="1" applyBorder="1" applyAlignment="1" applyProtection="1">
      <alignment horizontal="center" vertical="center" wrapText="1"/>
      <protection locked="0"/>
    </xf>
    <xf numFmtId="49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15" xfId="0" quotePrefix="1" applyNumberFormat="1" applyFont="1" applyFill="1" applyBorder="1" applyAlignment="1" applyProtection="1">
      <alignment horizontal="center" vertical="center" wrapText="1"/>
      <protection locked="0"/>
    </xf>
    <xf numFmtId="1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1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60" xfId="0" applyNumberFormat="1" applyFont="1" applyFill="1" applyBorder="1" applyAlignment="1">
      <alignment horizontal="center" vertical="center" wrapText="1"/>
    </xf>
    <xf numFmtId="1" fontId="1" fillId="2" borderId="60" xfId="0" applyNumberFormat="1" applyFont="1" applyFill="1" applyBorder="1" applyAlignment="1">
      <alignment horizontal="center" vertical="center" wrapText="1"/>
    </xf>
    <xf numFmtId="1" fontId="1" fillId="2" borderId="56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1" fillId="2" borderId="39" xfId="0" applyNumberFormat="1" applyFont="1" applyFill="1" applyBorder="1" applyAlignment="1">
      <alignment horizontal="center" vertical="center" wrapText="1"/>
    </xf>
    <xf numFmtId="2" fontId="1" fillId="2" borderId="22" xfId="0" applyNumberFormat="1" applyFont="1" applyFill="1" applyBorder="1" applyAlignment="1">
      <alignment horizontal="center" vertical="center" wrapText="1"/>
    </xf>
    <xf numFmtId="1" fontId="1" fillId="2" borderId="22" xfId="0" applyNumberFormat="1" applyFont="1" applyFill="1" applyBorder="1" applyAlignment="1">
      <alignment horizontal="center" vertical="center" wrapText="1"/>
    </xf>
    <xf numFmtId="1" fontId="1" fillId="2" borderId="23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49" fontId="1" fillId="2" borderId="0" xfId="0" applyNumberFormat="1" applyFont="1" applyFill="1" applyAlignment="1">
      <alignment horizontal="right" vertical="center" wrapText="1"/>
    </xf>
    <xf numFmtId="0" fontId="6" fillId="2" borderId="5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9" fontId="4" fillId="2" borderId="0" xfId="0" applyNumberFormat="1" applyFont="1" applyFill="1" applyAlignment="1">
      <alignment wrapText="1"/>
    </xf>
    <xf numFmtId="0" fontId="4" fillId="2" borderId="0" xfId="0" applyFont="1" applyFill="1" applyAlignment="1">
      <alignment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right" vertical="center" wrapText="1"/>
    </xf>
    <xf numFmtId="0" fontId="1" fillId="2" borderId="55" xfId="0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43" xfId="0" applyFont="1" applyFill="1" applyBorder="1" applyAlignment="1" applyProtection="1">
      <alignment horizontal="center" vertical="center" wrapText="1"/>
      <protection locked="0"/>
    </xf>
    <xf numFmtId="1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39" xfId="0" applyFont="1" applyFill="1" applyBorder="1" applyAlignment="1" applyProtection="1">
      <alignment horizontal="center" vertical="center" wrapText="1"/>
      <protection locked="0"/>
    </xf>
    <xf numFmtId="1" fontId="1" fillId="2" borderId="31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55" xfId="0" applyNumberFormat="1" applyFont="1" applyFill="1" applyBorder="1" applyAlignment="1">
      <alignment horizontal="center" wrapText="1"/>
    </xf>
    <xf numFmtId="1" fontId="1" fillId="2" borderId="22" xfId="0" applyNumberFormat="1" applyFont="1" applyFill="1" applyBorder="1" applyAlignment="1">
      <alignment horizontal="center" wrapText="1"/>
    </xf>
    <xf numFmtId="1" fontId="1" fillId="2" borderId="23" xfId="0" applyNumberFormat="1" applyFont="1" applyFill="1" applyBorder="1" applyAlignment="1">
      <alignment horizont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2" fontId="1" fillId="2" borderId="16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4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31" xfId="0" applyNumberFormat="1" applyFont="1" applyFill="1" applyBorder="1" applyAlignment="1">
      <alignment horizontal="center" vertical="center" wrapText="1"/>
    </xf>
    <xf numFmtId="2" fontId="1" fillId="2" borderId="56" xfId="0" applyNumberFormat="1" applyFont="1" applyFill="1" applyBorder="1" applyAlignment="1">
      <alignment horizontal="center" vertical="center" wrapText="1"/>
    </xf>
    <xf numFmtId="2" fontId="1" fillId="2" borderId="5" xfId="0" applyNumberFormat="1" applyFont="1" applyFill="1" applyBorder="1" applyAlignment="1">
      <alignment horizontal="center" vertical="center" wrapText="1"/>
    </xf>
    <xf numFmtId="2" fontId="1" fillId="2" borderId="39" xfId="0" applyNumberFormat="1" applyFont="1" applyFill="1" applyBorder="1" applyAlignment="1">
      <alignment horizontal="center" vertical="center" wrapText="1"/>
    </xf>
    <xf numFmtId="2" fontId="1" fillId="2" borderId="55" xfId="0" applyNumberFormat="1" applyFont="1" applyFill="1" applyBorder="1" applyAlignment="1">
      <alignment horizontal="center" wrapText="1"/>
    </xf>
    <xf numFmtId="2" fontId="1" fillId="2" borderId="22" xfId="0" applyNumberFormat="1" applyFont="1" applyFill="1" applyBorder="1" applyAlignment="1">
      <alignment horizontal="center" wrapText="1"/>
    </xf>
    <xf numFmtId="2" fontId="1" fillId="2" borderId="23" xfId="0" applyNumberFormat="1" applyFont="1" applyFill="1" applyBorder="1" applyAlignment="1">
      <alignment horizontal="center" wrapText="1"/>
    </xf>
    <xf numFmtId="0" fontId="1" fillId="2" borderId="0" xfId="0" applyFont="1" applyFill="1"/>
    <xf numFmtId="0" fontId="0" fillId="2" borderId="0" xfId="0" applyFill="1" applyAlignment="1">
      <alignment wrapText="1"/>
    </xf>
    <xf numFmtId="0" fontId="12" fillId="2" borderId="52" xfId="0" applyFont="1" applyFill="1" applyBorder="1" applyAlignment="1">
      <alignment horizontal="right" vertical="center" wrapText="1"/>
    </xf>
    <xf numFmtId="0" fontId="12" fillId="2" borderId="0" xfId="0" applyFont="1" applyFill="1" applyAlignment="1">
      <alignment horizontal="right" vertical="center" wrapText="1"/>
    </xf>
    <xf numFmtId="0" fontId="11" fillId="2" borderId="53" xfId="0" applyFont="1" applyFill="1" applyBorder="1" applyAlignment="1">
      <alignment horizontal="right" vertical="center" wrapText="1"/>
    </xf>
    <xf numFmtId="0" fontId="1" fillId="2" borderId="6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 applyProtection="1">
      <alignment horizontal="left" vertical="center" wrapText="1"/>
      <protection locked="0"/>
    </xf>
    <xf numFmtId="0" fontId="1" fillId="2" borderId="2" xfId="0" applyFont="1" applyFill="1" applyBorder="1" applyAlignment="1">
      <alignment horizontal="left" vertical="center" wrapText="1"/>
    </xf>
    <xf numFmtId="0" fontId="1" fillId="2" borderId="62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horizontal="left" vertical="center" wrapText="1"/>
    </xf>
    <xf numFmtId="0" fontId="1" fillId="2" borderId="45" xfId="0" applyFont="1" applyFill="1" applyBorder="1" applyAlignment="1">
      <alignment horizontal="left" vertical="center" wrapText="1"/>
    </xf>
    <xf numFmtId="0" fontId="6" fillId="2" borderId="45" xfId="0" applyFont="1" applyFill="1" applyBorder="1" applyAlignment="1">
      <alignment horizontal="center" wrapText="1"/>
    </xf>
    <xf numFmtId="0" fontId="1" fillId="2" borderId="48" xfId="0" applyFont="1" applyFill="1" applyBorder="1" applyAlignment="1">
      <alignment horizontal="left" vertical="center" wrapText="1"/>
    </xf>
    <xf numFmtId="0" fontId="1" fillId="2" borderId="17" xfId="0" applyFont="1" applyFill="1" applyBorder="1" applyAlignment="1">
      <alignment horizontal="center" vertical="center" wrapText="1"/>
    </xf>
    <xf numFmtId="2" fontId="1" fillId="2" borderId="6" xfId="0" applyNumberFormat="1" applyFont="1" applyFill="1" applyBorder="1" applyAlignment="1">
      <alignment horizontal="center" vertical="center" wrapText="1"/>
    </xf>
    <xf numFmtId="2" fontId="1" fillId="2" borderId="34" xfId="0" applyNumberFormat="1" applyFont="1" applyFill="1" applyBorder="1" applyAlignment="1">
      <alignment horizontal="center" vertical="center" wrapText="1"/>
    </xf>
    <xf numFmtId="0" fontId="1" fillId="2" borderId="6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6" xfId="0" applyNumberFormat="1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6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16" xfId="0" applyNumberFormat="1" applyFont="1" applyFill="1" applyBorder="1" applyAlignment="1">
      <alignment horizontal="center" vertical="center" wrapText="1"/>
    </xf>
    <xf numFmtId="1" fontId="1" fillId="2" borderId="27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9" fillId="2" borderId="0" xfId="0" applyFont="1" applyFill="1" applyAlignment="1">
      <alignment horizontal="center" wrapText="1"/>
    </xf>
    <xf numFmtId="0" fontId="0" fillId="2" borderId="0" xfId="0" applyFill="1"/>
    <xf numFmtId="49" fontId="9" fillId="2" borderId="0" xfId="0" applyNumberFormat="1" applyFont="1" applyFill="1" applyAlignment="1">
      <alignment wrapText="1"/>
    </xf>
    <xf numFmtId="0" fontId="1" fillId="2" borderId="35" xfId="0" applyFont="1" applyFill="1" applyBorder="1" applyAlignment="1">
      <alignment horizontal="center" vertical="center" wrapText="1"/>
    </xf>
    <xf numFmtId="165" fontId="1" fillId="2" borderId="63" xfId="0" applyNumberFormat="1" applyFont="1" applyFill="1" applyBorder="1" applyAlignment="1">
      <alignment horizontal="center" vertical="center" wrapText="1"/>
    </xf>
    <xf numFmtId="165" fontId="1" fillId="2" borderId="36" xfId="0" applyNumberFormat="1" applyFont="1" applyFill="1" applyBorder="1" applyAlignment="1">
      <alignment horizontal="center" vertical="center" wrapText="1"/>
    </xf>
    <xf numFmtId="165" fontId="1" fillId="2" borderId="38" xfId="0" applyNumberFormat="1" applyFont="1" applyFill="1" applyBorder="1" applyAlignment="1">
      <alignment horizontal="center" vertical="center" wrapText="1"/>
    </xf>
    <xf numFmtId="165" fontId="1" fillId="2" borderId="4" xfId="0" quotePrefix="1" applyNumberFormat="1" applyFont="1" applyFill="1" applyBorder="1" applyAlignment="1">
      <alignment horizontal="center" vertical="center" wrapText="1"/>
    </xf>
    <xf numFmtId="165" fontId="1" fillId="2" borderId="15" xfId="0" quotePrefix="1" applyNumberFormat="1" applyFont="1" applyFill="1" applyBorder="1" applyAlignment="1">
      <alignment horizontal="center" vertical="center" wrapText="1"/>
    </xf>
    <xf numFmtId="165" fontId="1" fillId="2" borderId="15" xfId="0" applyNumberFormat="1" applyFont="1" applyFill="1" applyBorder="1" applyAlignment="1">
      <alignment horizontal="center" vertical="center" wrapText="1"/>
    </xf>
    <xf numFmtId="165" fontId="1" fillId="2" borderId="42" xfId="0" applyNumberFormat="1" applyFont="1" applyFill="1" applyBorder="1" applyAlignment="1">
      <alignment horizontal="center" vertical="center" wrapText="1"/>
    </xf>
    <xf numFmtId="165" fontId="1" fillId="2" borderId="57" xfId="0" applyNumberFormat="1" applyFont="1" applyFill="1" applyBorder="1" applyAlignment="1">
      <alignment horizontal="center" vertical="center" wrapText="1"/>
    </xf>
    <xf numFmtId="165" fontId="1" fillId="2" borderId="58" xfId="0" quotePrefix="1" applyNumberFormat="1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3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7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4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1" fillId="2" borderId="63" xfId="0" applyFont="1" applyFill="1" applyBorder="1" applyAlignment="1">
      <alignment horizontal="left" vertical="center" wrapText="1"/>
    </xf>
    <xf numFmtId="0" fontId="1" fillId="2" borderId="54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 applyProtection="1">
      <alignment horizontal="center" vertical="center" wrapText="1"/>
      <protection locked="0"/>
    </xf>
    <xf numFmtId="0" fontId="1" fillId="2" borderId="54" xfId="0" applyFont="1" applyFill="1" applyBorder="1" applyAlignment="1" applyProtection="1">
      <alignment horizontal="center" vertical="center" wrapText="1"/>
      <protection locked="0"/>
    </xf>
    <xf numFmtId="0" fontId="1" fillId="2" borderId="57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12" xfId="0" applyFont="1" applyFill="1" applyBorder="1" applyAlignment="1">
      <alignment horizontal="left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4" xfId="0" applyFont="1" applyFill="1" applyBorder="1" applyAlignment="1">
      <alignment horizontal="center" vertical="center" wrapText="1"/>
    </xf>
    <xf numFmtId="49" fontId="1" fillId="2" borderId="32" xfId="0" applyNumberFormat="1" applyFont="1" applyFill="1" applyBorder="1" applyAlignment="1">
      <alignment horizontal="center" vertical="center" wrapText="1"/>
    </xf>
    <xf numFmtId="49" fontId="1" fillId="2" borderId="25" xfId="0" applyNumberFormat="1" applyFont="1" applyFill="1" applyBorder="1" applyAlignment="1">
      <alignment horizontal="center" vertical="center" wrapText="1"/>
    </xf>
    <xf numFmtId="49" fontId="1" fillId="2" borderId="55" xfId="0" applyNumberFormat="1" applyFont="1" applyFill="1" applyBorder="1" applyAlignment="1">
      <alignment horizontal="center" vertical="center" wrapText="1"/>
    </xf>
    <xf numFmtId="49" fontId="1" fillId="2" borderId="38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49" xfId="0" applyNumberFormat="1" applyFont="1" applyFill="1" applyBorder="1" applyAlignment="1">
      <alignment horizontal="center" vertical="center" wrapText="1"/>
    </xf>
    <xf numFmtId="49" fontId="1" fillId="2" borderId="50" xfId="0" applyNumberFormat="1" applyFont="1" applyFill="1" applyBorder="1" applyAlignment="1">
      <alignment horizontal="center" vertical="center" wrapText="1"/>
    </xf>
    <xf numFmtId="49" fontId="1" fillId="2" borderId="31" xfId="0" applyNumberFormat="1" applyFont="1" applyFill="1" applyBorder="1" applyAlignment="1">
      <alignment horizontal="center" vertical="center" wrapText="1"/>
    </xf>
    <xf numFmtId="49" fontId="6" fillId="2" borderId="50" xfId="0" applyNumberFormat="1" applyFont="1" applyFill="1" applyBorder="1" applyAlignment="1">
      <alignment horizontal="center" vertical="center" wrapText="1"/>
    </xf>
    <xf numFmtId="49" fontId="6" fillId="2" borderId="0" xfId="0" applyNumberFormat="1" applyFont="1" applyFill="1" applyAlignment="1">
      <alignment horizontal="center" vertical="center" wrapText="1"/>
    </xf>
    <xf numFmtId="49" fontId="1" fillId="2" borderId="65" xfId="0" applyNumberFormat="1" applyFont="1" applyFill="1" applyBorder="1" applyAlignment="1">
      <alignment horizontal="center" vertical="center" wrapText="1"/>
    </xf>
    <xf numFmtId="49" fontId="1" fillId="2" borderId="18" xfId="0" applyNumberFormat="1" applyFont="1" applyFill="1" applyBorder="1" applyAlignment="1">
      <alignment horizontal="center" vertical="center" wrapText="1"/>
    </xf>
    <xf numFmtId="49" fontId="1" fillId="2" borderId="6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 applyProtection="1">
      <alignment horizontal="center" vertical="center" wrapText="1"/>
    </xf>
    <xf numFmtId="14" fontId="1" fillId="2" borderId="37" xfId="0" applyNumberFormat="1" applyFont="1" applyFill="1" applyBorder="1" applyAlignment="1" applyProtection="1">
      <alignment horizontal="center" vertical="center" wrapText="1"/>
    </xf>
    <xf numFmtId="0" fontId="1" fillId="2" borderId="17" xfId="0" applyFont="1" applyFill="1" applyBorder="1" applyAlignment="1" applyProtection="1">
      <alignment horizontal="center" vertical="center" wrapText="1"/>
      <protection locked="0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3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0" xfId="0" applyNumberFormat="1" applyFont="1" applyFill="1" applyBorder="1" applyAlignment="1">
      <alignment horizontal="center" vertical="center" wrapText="1"/>
    </xf>
    <xf numFmtId="164" fontId="1" fillId="2" borderId="3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6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26" xfId="0" applyNumberFormat="1" applyFont="1" applyFill="1" applyBorder="1" applyAlignment="1" applyProtection="1">
      <alignment horizontal="center" vertical="center" wrapText="1"/>
    </xf>
    <xf numFmtId="14" fontId="1" fillId="2" borderId="47" xfId="0" applyNumberFormat="1" applyFont="1" applyFill="1" applyBorder="1" applyAlignment="1" applyProtection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wrapText="1"/>
    </xf>
    <xf numFmtId="0" fontId="1" fillId="2" borderId="31" xfId="0" applyFont="1" applyFill="1" applyBorder="1" applyAlignment="1">
      <alignment horizontal="center" wrapText="1"/>
    </xf>
    <xf numFmtId="0" fontId="1" fillId="2" borderId="59" xfId="0" applyFont="1" applyFill="1" applyBorder="1" applyAlignment="1">
      <alignment horizontal="left" vertical="center" wrapText="1"/>
    </xf>
    <xf numFmtId="0" fontId="1" fillId="2" borderId="60" xfId="0" applyFont="1" applyFill="1" applyBorder="1" applyAlignment="1">
      <alignment horizontal="left" vertical="center" wrapText="1"/>
    </xf>
    <xf numFmtId="164" fontId="1" fillId="2" borderId="24" xfId="0" applyNumberFormat="1" applyFont="1" applyFill="1" applyBorder="1" applyAlignment="1">
      <alignment horizontal="center" wrapText="1"/>
    </xf>
    <xf numFmtId="164" fontId="1" fillId="2" borderId="55" xfId="0" applyNumberFormat="1" applyFont="1" applyFill="1" applyBorder="1" applyAlignment="1">
      <alignment horizontal="center" wrapText="1"/>
    </xf>
    <xf numFmtId="1" fontId="1" fillId="2" borderId="24" xfId="0" applyNumberFormat="1" applyFont="1" applyFill="1" applyBorder="1" applyAlignment="1">
      <alignment horizontal="center" wrapText="1"/>
    </xf>
    <xf numFmtId="1" fontId="1" fillId="2" borderId="55" xfId="0" applyNumberFormat="1" applyFont="1" applyFill="1" applyBorder="1" applyAlignment="1">
      <alignment horizontal="center" wrapText="1"/>
    </xf>
    <xf numFmtId="49" fontId="1" fillId="2" borderId="21" xfId="0" applyNumberFormat="1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1" fontId="1" fillId="2" borderId="5" xfId="0" applyNumberFormat="1" applyFont="1" applyFill="1" applyBorder="1" applyAlignment="1">
      <alignment horizontal="center" vertical="center" wrapText="1"/>
    </xf>
    <xf numFmtId="1" fontId="1" fillId="2" borderId="30" xfId="0" applyNumberFormat="1" applyFont="1" applyFill="1" applyBorder="1" applyAlignment="1">
      <alignment horizontal="center" vertical="center" wrapText="1"/>
    </xf>
    <xf numFmtId="1" fontId="1" fillId="2" borderId="31" xfId="0" applyNumberFormat="1" applyFont="1" applyFill="1" applyBorder="1" applyAlignment="1">
      <alignment horizontal="center" vertical="center" wrapText="1"/>
    </xf>
    <xf numFmtId="0" fontId="1" fillId="2" borderId="56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center" vertical="center" wrapText="1"/>
    </xf>
    <xf numFmtId="49" fontId="1" fillId="2" borderId="48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wrapText="1"/>
    </xf>
    <xf numFmtId="49" fontId="9" fillId="2" borderId="0" xfId="0" applyNumberFormat="1" applyFont="1" applyFill="1" applyAlignment="1">
      <alignment horizontal="center" wrapText="1"/>
    </xf>
    <xf numFmtId="0" fontId="6" fillId="2" borderId="49" xfId="0" applyFont="1" applyFill="1" applyBorder="1" applyAlignment="1">
      <alignment horizontal="left" vertical="top" wrapText="1"/>
    </xf>
    <xf numFmtId="0" fontId="6" fillId="2" borderId="51" xfId="0" applyFont="1" applyFill="1" applyBorder="1" applyAlignment="1">
      <alignment horizontal="left" vertical="top" wrapText="1"/>
    </xf>
    <xf numFmtId="0" fontId="6" fillId="2" borderId="49" xfId="0" applyFont="1" applyFill="1" applyBorder="1" applyAlignment="1">
      <alignment horizontal="center" vertical="top" wrapText="1"/>
    </xf>
    <xf numFmtId="0" fontId="6" fillId="2" borderId="50" xfId="0" applyFont="1" applyFill="1" applyBorder="1" applyAlignment="1">
      <alignment horizontal="center" vertical="top" wrapText="1"/>
    </xf>
    <xf numFmtId="0" fontId="6" fillId="2" borderId="51" xfId="0" applyFont="1" applyFill="1" applyBorder="1" applyAlignment="1">
      <alignment horizontal="center" vertical="top" wrapText="1"/>
    </xf>
    <xf numFmtId="0" fontId="1" fillId="2" borderId="52" xfId="0" applyFont="1" applyFill="1" applyBorder="1" applyAlignment="1">
      <alignment horizontal="left" vertical="top" wrapText="1"/>
    </xf>
    <xf numFmtId="0" fontId="1" fillId="2" borderId="53" xfId="0" applyFont="1" applyFill="1" applyBorder="1" applyAlignment="1">
      <alignment horizontal="left" vertical="top" wrapText="1"/>
    </xf>
    <xf numFmtId="0" fontId="1" fillId="2" borderId="32" xfId="0" applyFont="1" applyFill="1" applyBorder="1" applyAlignment="1">
      <alignment horizontal="left" vertical="top" wrapText="1"/>
    </xf>
    <xf numFmtId="0" fontId="1" fillId="2" borderId="33" xfId="0" applyFont="1" applyFill="1" applyBorder="1" applyAlignment="1">
      <alignment horizontal="left" vertical="top" wrapText="1"/>
    </xf>
    <xf numFmtId="0" fontId="1" fillId="2" borderId="52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wrapText="1"/>
    </xf>
    <xf numFmtId="0" fontId="1" fillId="2" borderId="53" xfId="0" applyFont="1" applyFill="1" applyBorder="1" applyAlignment="1">
      <alignment horizontal="center" wrapText="1"/>
    </xf>
    <xf numFmtId="0" fontId="6" fillId="2" borderId="32" xfId="0" applyFont="1" applyFill="1" applyBorder="1" applyAlignment="1">
      <alignment horizontal="center" vertical="center" wrapText="1"/>
    </xf>
    <xf numFmtId="0" fontId="6" fillId="2" borderId="25" xfId="0" applyFont="1" applyFill="1" applyBorder="1" applyAlignment="1">
      <alignment horizontal="center" vertical="center" wrapText="1"/>
    </xf>
    <xf numFmtId="0" fontId="6" fillId="2" borderId="33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" fillId="2" borderId="38" xfId="0" applyFont="1" applyFill="1" applyBorder="1" applyAlignment="1">
      <alignment horizontal="left" vertical="center" wrapText="1"/>
    </xf>
    <xf numFmtId="0" fontId="1" fillId="2" borderId="26" xfId="0" applyFont="1" applyFill="1" applyBorder="1" applyAlignment="1">
      <alignment horizontal="left" vertical="center" wrapText="1"/>
    </xf>
    <xf numFmtId="0" fontId="1" fillId="2" borderId="58" xfId="0" applyFont="1" applyFill="1" applyBorder="1" applyAlignment="1">
      <alignment horizontal="left" vertical="center" wrapText="1"/>
    </xf>
    <xf numFmtId="0" fontId="1" fillId="2" borderId="35" xfId="0" applyFont="1" applyFill="1" applyBorder="1" applyAlignment="1">
      <alignment horizontal="left" vertical="center" wrapText="1"/>
    </xf>
    <xf numFmtId="0" fontId="1" fillId="2" borderId="36" xfId="0" applyFont="1" applyFill="1" applyBorder="1" applyAlignment="1">
      <alignment horizontal="left" vertical="center" wrapText="1"/>
    </xf>
    <xf numFmtId="1" fontId="1" fillId="2" borderId="3" xfId="0" applyNumberFormat="1" applyFont="1" applyFill="1" applyBorder="1" applyAlignment="1">
      <alignment horizontal="left" vertical="center" wrapText="1"/>
    </xf>
    <xf numFmtId="1" fontId="1" fillId="2" borderId="4" xfId="0" applyNumberFormat="1" applyFont="1" applyFill="1" applyBorder="1" applyAlignment="1">
      <alignment horizontal="left" vertical="center" wrapText="1"/>
    </xf>
    <xf numFmtId="1" fontId="1" fillId="2" borderId="5" xfId="0" applyNumberFormat="1" applyFont="1" applyFill="1" applyBorder="1" applyAlignment="1">
      <alignment horizontal="left" vertical="center" wrapText="1"/>
    </xf>
    <xf numFmtId="1" fontId="1" fillId="2" borderId="26" xfId="0" applyNumberFormat="1" applyFont="1" applyFill="1" applyBorder="1" applyAlignment="1">
      <alignment horizontal="left" vertical="center" wrapText="1"/>
    </xf>
    <xf numFmtId="1" fontId="1" fillId="2" borderId="58" xfId="0" applyNumberFormat="1" applyFont="1" applyFill="1" applyBorder="1" applyAlignment="1">
      <alignment horizontal="left" vertical="center" wrapText="1"/>
    </xf>
    <xf numFmtId="1" fontId="1" fillId="2" borderId="27" xfId="0" applyNumberFormat="1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left" vertical="center" wrapText="1"/>
    </xf>
    <xf numFmtId="0" fontId="6" fillId="2" borderId="29" xfId="0" applyFont="1" applyFill="1" applyBorder="1" applyAlignment="1">
      <alignment horizontal="left" vertical="center" wrapText="1"/>
    </xf>
    <xf numFmtId="1" fontId="1" fillId="2" borderId="17" xfId="0" applyNumberFormat="1" applyFont="1" applyFill="1" applyBorder="1" applyAlignment="1">
      <alignment horizontal="left" vertical="center" wrapText="1"/>
    </xf>
    <xf numFmtId="1" fontId="1" fillId="2" borderId="15" xfId="0" applyNumberFormat="1" applyFont="1" applyFill="1" applyBorder="1" applyAlignment="1">
      <alignment horizontal="left" vertical="center" wrapText="1"/>
    </xf>
    <xf numFmtId="1" fontId="1" fillId="2" borderId="16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14" fontId="1" fillId="2" borderId="40" xfId="0" applyNumberFormat="1" applyFont="1" applyFill="1" applyBorder="1" applyAlignment="1">
      <alignment horizontal="left" vertical="center" wrapText="1"/>
    </xf>
    <xf numFmtId="0" fontId="1" fillId="2" borderId="41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24" xfId="0" applyFont="1" applyFill="1" applyBorder="1" applyAlignment="1">
      <alignment horizontal="left" vertical="center" wrapText="1"/>
    </xf>
    <xf numFmtId="0" fontId="1" fillId="2" borderId="55" xfId="0" applyFont="1" applyFill="1" applyBorder="1" applyAlignment="1">
      <alignment horizontal="left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2" fillId="2" borderId="49" xfId="0" applyFont="1" applyFill="1" applyBorder="1" applyAlignment="1">
      <alignment horizontal="right" vertical="center" wrapText="1"/>
    </xf>
    <xf numFmtId="0" fontId="12" fillId="2" borderId="50" xfId="0" applyFont="1" applyFill="1" applyBorder="1" applyAlignment="1">
      <alignment horizontal="right" vertical="center" wrapText="1"/>
    </xf>
    <xf numFmtId="0" fontId="12" fillId="2" borderId="51" xfId="0" applyFont="1" applyFill="1" applyBorder="1" applyAlignment="1">
      <alignment horizontal="right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14" fontId="1" fillId="2" borderId="43" xfId="0" applyNumberFormat="1" applyFont="1" applyFill="1" applyBorder="1" applyAlignment="1">
      <alignment horizontal="left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3" xfId="0" applyFont="1" applyFill="1" applyBorder="1" applyAlignment="1">
      <alignment horizontal="center" vertical="center" wrapText="1"/>
    </xf>
    <xf numFmtId="0" fontId="6" fillId="2" borderId="59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6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35" xfId="0" applyFont="1" applyFill="1" applyBorder="1" applyAlignment="1">
      <alignment horizontal="center" vertical="center" wrapText="1"/>
    </xf>
    <xf numFmtId="0" fontId="6" fillId="2" borderId="36" xfId="0" applyFont="1" applyFill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 wrapText="1"/>
    </xf>
    <xf numFmtId="0" fontId="6" fillId="2" borderId="56" xfId="0" applyFont="1" applyFill="1" applyBorder="1" applyAlignment="1">
      <alignment horizontal="center" vertical="center" wrapText="1"/>
    </xf>
    <xf numFmtId="0" fontId="6" fillId="2" borderId="2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165" fontId="1" fillId="2" borderId="54" xfId="0" applyNumberFormat="1" applyFont="1" applyFill="1" applyBorder="1" applyAlignment="1">
      <alignment horizontal="center" vertical="center" wrapText="1"/>
    </xf>
    <xf numFmtId="165" fontId="1" fillId="2" borderId="5" xfId="0" applyNumberFormat="1" applyFont="1" applyFill="1" applyBorder="1" applyAlignment="1">
      <alignment horizontal="center" vertical="center" wrapText="1"/>
    </xf>
    <xf numFmtId="165" fontId="1" fillId="2" borderId="16" xfId="0" applyNumberFormat="1" applyFont="1" applyFill="1" applyBorder="1" applyAlignment="1">
      <alignment horizontal="center" vertical="center" wrapText="1"/>
    </xf>
    <xf numFmtId="165" fontId="1" fillId="2" borderId="27" xfId="0" applyNumberFormat="1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b val="0"/>
        <i val="0"/>
        <strike/>
        <u val="none"/>
        <color rgb="FFFF0000"/>
      </font>
      <numFmt numFmtId="0" formatCode="General"/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  <fill>
        <patternFill patternType="none">
          <bgColor auto="1"/>
        </patternFill>
      </fill>
    </dxf>
    <dxf>
      <font>
        <strike/>
        <color rgb="FFFF0000"/>
      </font>
    </dxf>
  </dxfs>
  <tableStyles count="0" defaultTableStyle="TableStyleMedium2" defaultPivotStyle="PivotStyleMedium9"/>
  <colors>
    <mruColors>
      <color rgb="FFF34735"/>
      <color rgb="FFFF7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26</xdr:row>
      <xdr:rowOff>104118</xdr:rowOff>
    </xdr:from>
    <xdr:ext cx="227242" cy="252633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2981325" y="5009493"/>
          <a:ext cx="227242" cy="2526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22860" rIns="0" bIns="22860" anchor="ctr" upright="1">
          <a:spAutoFit/>
        </a:bodyPr>
        <a:lstStyle/>
        <a:p>
          <a:pPr algn="l" rtl="0">
            <a:defRPr sz="1000"/>
          </a:pPr>
          <a:r>
            <a:rPr lang="ja-JP" altLang="en-US" sz="1400" b="0" i="0" u="none" strike="noStrike" baseline="0">
              <a:solidFill>
                <a:srgbClr val="000000"/>
              </a:solidFill>
              <a:latin typeface="平成角ｺﾞｼｯｸ体W5"/>
            </a:rPr>
            <a:t>   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50"/>
  <sheetViews>
    <sheetView tabSelected="1" view="pageBreakPreview" zoomScaleNormal="100" zoomScaleSheetLayoutView="100" workbookViewId="0">
      <selection activeCell="A9" sqref="A9"/>
    </sheetView>
  </sheetViews>
  <sheetFormatPr defaultRowHeight="15" x14ac:dyDescent="0.25"/>
  <cols>
    <col min="1" max="3" width="14" style="5" customWidth="1"/>
    <col min="4" max="11" width="21.7109375" style="5" customWidth="1"/>
    <col min="12" max="12" width="10.5703125" style="85" bestFit="1" customWidth="1"/>
    <col min="13" max="13" width="9.140625" style="85"/>
    <col min="14" max="14" width="9.42578125" style="85" bestFit="1" customWidth="1"/>
    <col min="15" max="16384" width="9.140625" style="85"/>
  </cols>
  <sheetData>
    <row r="1" spans="1:13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3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3" s="45" customFormat="1" ht="15.75" customHeight="1" thickBot="1" x14ac:dyDescent="0.3">
      <c r="A3" s="2"/>
      <c r="B3" s="2"/>
      <c r="C3" s="2"/>
      <c r="D3" s="2"/>
      <c r="E3" s="2"/>
      <c r="F3" s="2"/>
      <c r="G3" s="2"/>
      <c r="H3" s="2"/>
      <c r="I3" s="5"/>
      <c r="J3" s="6" t="s">
        <v>30</v>
      </c>
      <c r="K3" s="7"/>
    </row>
    <row r="4" spans="1:13" s="45" customFormat="1" ht="23.25" customHeight="1" x14ac:dyDescent="0.25">
      <c r="A4" s="140" t="s">
        <v>17</v>
      </c>
      <c r="B4" s="141"/>
      <c r="C4" s="142"/>
      <c r="D4" s="143"/>
      <c r="E4" s="9" t="s">
        <v>4</v>
      </c>
      <c r="F4" s="8"/>
      <c r="G4" s="9" t="s">
        <v>5</v>
      </c>
      <c r="H4" s="10"/>
      <c r="I4" s="11" t="s">
        <v>6</v>
      </c>
      <c r="J4" s="135"/>
      <c r="K4" s="136"/>
      <c r="M4" s="45" t="s">
        <v>28</v>
      </c>
    </row>
    <row r="5" spans="1:13" s="45" customFormat="1" ht="23.25" customHeight="1" thickBot="1" x14ac:dyDescent="0.3">
      <c r="A5" s="144" t="s">
        <v>18</v>
      </c>
      <c r="B5" s="145"/>
      <c r="C5" s="146"/>
      <c r="D5" s="147"/>
      <c r="E5" s="13" t="s">
        <v>7</v>
      </c>
      <c r="F5" s="14"/>
      <c r="G5" s="13" t="s">
        <v>8</v>
      </c>
      <c r="H5" s="15"/>
      <c r="I5" s="16" t="s">
        <v>9</v>
      </c>
      <c r="J5" s="137"/>
      <c r="K5" s="138"/>
    </row>
    <row r="6" spans="1:13" s="45" customFormat="1" ht="15.75" customHeight="1" thickBot="1" x14ac:dyDescent="0.3">
      <c r="A6" s="153" t="s">
        <v>134</v>
      </c>
      <c r="B6" s="154"/>
      <c r="C6" s="155"/>
      <c r="D6" s="17"/>
      <c r="E6" s="17"/>
      <c r="F6" s="17" t="s">
        <v>141</v>
      </c>
      <c r="G6" s="130"/>
      <c r="H6" s="151"/>
      <c r="I6" s="130"/>
      <c r="J6" s="131"/>
      <c r="K6" s="132"/>
    </row>
    <row r="7" spans="1:13" s="5" customFormat="1" ht="15" customHeight="1" x14ac:dyDescent="0.25">
      <c r="A7" s="156" t="s">
        <v>0</v>
      </c>
      <c r="B7" s="133"/>
      <c r="C7" s="133"/>
      <c r="D7" s="133" t="s">
        <v>38</v>
      </c>
      <c r="E7" s="133" t="s">
        <v>15</v>
      </c>
      <c r="F7" s="133" t="s">
        <v>25</v>
      </c>
      <c r="G7" s="148" t="s">
        <v>33</v>
      </c>
      <c r="H7" s="148" t="s">
        <v>122</v>
      </c>
      <c r="I7" s="133" t="s">
        <v>1</v>
      </c>
      <c r="J7" s="133"/>
      <c r="K7" s="134"/>
    </row>
    <row r="8" spans="1:13" s="5" customFormat="1" ht="48.75" customHeight="1" thickBot="1" x14ac:dyDescent="0.3">
      <c r="A8" s="157"/>
      <c r="B8" s="150"/>
      <c r="C8" s="150"/>
      <c r="D8" s="150"/>
      <c r="E8" s="150" t="s">
        <v>3</v>
      </c>
      <c r="F8" s="150"/>
      <c r="G8" s="149"/>
      <c r="H8" s="149"/>
      <c r="I8" s="1" t="s">
        <v>10</v>
      </c>
      <c r="J8" s="1" t="s">
        <v>11</v>
      </c>
      <c r="K8" s="19" t="s">
        <v>12</v>
      </c>
    </row>
    <row r="9" spans="1:13" s="45" customFormat="1" ht="19.5" customHeight="1" x14ac:dyDescent="0.25">
      <c r="A9" s="20"/>
      <c r="B9" s="21"/>
      <c r="C9" s="22"/>
      <c r="D9" s="23"/>
      <c r="E9" s="24"/>
      <c r="F9" s="25"/>
      <c r="G9" s="26"/>
      <c r="H9" s="26"/>
      <c r="I9" s="25"/>
      <c r="J9" s="27"/>
      <c r="K9" s="28"/>
    </row>
    <row r="10" spans="1:13" s="45" customFormat="1" ht="19.5" customHeight="1" x14ac:dyDescent="0.25">
      <c r="A10" s="29"/>
      <c r="B10" s="30"/>
      <c r="C10" s="31"/>
      <c r="D10" s="26"/>
      <c r="E10" s="25"/>
      <c r="F10" s="24"/>
      <c r="G10" s="26"/>
      <c r="H10" s="26"/>
      <c r="I10" s="25"/>
      <c r="J10" s="27"/>
      <c r="K10" s="28"/>
    </row>
    <row r="11" spans="1:13" s="45" customFormat="1" ht="19.5" customHeight="1" x14ac:dyDescent="0.25">
      <c r="A11" s="29"/>
      <c r="B11" s="30"/>
      <c r="C11" s="22"/>
      <c r="D11" s="26"/>
      <c r="E11" s="25"/>
      <c r="F11" s="25"/>
      <c r="G11" s="26"/>
      <c r="H11" s="26"/>
      <c r="I11" s="25"/>
      <c r="J11" s="27"/>
      <c r="K11" s="28"/>
    </row>
    <row r="12" spans="1:13" s="45" customFormat="1" ht="19.5" customHeight="1" x14ac:dyDescent="0.25">
      <c r="A12" s="29"/>
      <c r="B12" s="32"/>
      <c r="C12" s="22"/>
      <c r="D12" s="26"/>
      <c r="E12" s="25"/>
      <c r="F12" s="24"/>
      <c r="G12" s="26"/>
      <c r="H12" s="26"/>
      <c r="I12" s="25"/>
      <c r="J12" s="27"/>
      <c r="K12" s="28"/>
    </row>
    <row r="13" spans="1:13" s="45" customFormat="1" ht="19.5" customHeight="1" x14ac:dyDescent="0.25">
      <c r="A13" s="29"/>
      <c r="B13" s="30"/>
      <c r="C13" s="31"/>
      <c r="D13" s="26"/>
      <c r="E13" s="25"/>
      <c r="F13" s="25"/>
      <c r="G13" s="26"/>
      <c r="H13" s="26"/>
      <c r="I13" s="25"/>
      <c r="J13" s="27"/>
      <c r="K13" s="28"/>
    </row>
    <row r="14" spans="1:13" s="45" customFormat="1" ht="19.5" customHeight="1" x14ac:dyDescent="0.25">
      <c r="A14" s="29"/>
      <c r="B14" s="30"/>
      <c r="C14" s="31"/>
      <c r="D14" s="26"/>
      <c r="E14" s="25"/>
      <c r="F14" s="24"/>
      <c r="G14" s="23"/>
      <c r="H14" s="23"/>
      <c r="I14" s="24"/>
      <c r="J14" s="33"/>
      <c r="K14" s="34"/>
    </row>
    <row r="15" spans="1:13" s="45" customFormat="1" ht="19.5" customHeight="1" x14ac:dyDescent="0.25">
      <c r="A15" s="29"/>
      <c r="B15" s="30"/>
      <c r="C15" s="31"/>
      <c r="D15" s="26"/>
      <c r="E15" s="25"/>
      <c r="F15" s="25"/>
      <c r="G15" s="26"/>
      <c r="H15" s="26"/>
      <c r="I15" s="25"/>
      <c r="J15" s="27"/>
      <c r="K15" s="28"/>
    </row>
    <row r="16" spans="1:13" s="45" customFormat="1" ht="19.5" customHeight="1" x14ac:dyDescent="0.25">
      <c r="A16" s="29"/>
      <c r="B16" s="30"/>
      <c r="C16" s="31"/>
      <c r="D16" s="26"/>
      <c r="E16" s="25"/>
      <c r="F16" s="24"/>
      <c r="G16" s="26"/>
      <c r="H16" s="26"/>
      <c r="I16" s="25"/>
      <c r="J16" s="27"/>
      <c r="K16" s="28"/>
    </row>
    <row r="17" spans="1:11" s="45" customFormat="1" ht="19.5" customHeight="1" x14ac:dyDescent="0.25">
      <c r="A17" s="29"/>
      <c r="B17" s="21"/>
      <c r="C17" s="31"/>
      <c r="D17" s="26"/>
      <c r="E17" s="25"/>
      <c r="F17" s="24"/>
      <c r="G17" s="26"/>
      <c r="H17" s="26"/>
      <c r="I17" s="25"/>
      <c r="J17" s="27"/>
      <c r="K17" s="28"/>
    </row>
    <row r="18" spans="1:11" s="45" customFormat="1" ht="19.5" customHeight="1" x14ac:dyDescent="0.25">
      <c r="A18" s="29"/>
      <c r="B18" s="30"/>
      <c r="C18" s="31"/>
      <c r="D18" s="26"/>
      <c r="E18" s="25"/>
      <c r="F18" s="24"/>
      <c r="G18" s="26"/>
      <c r="H18" s="26"/>
      <c r="I18" s="25"/>
      <c r="J18" s="27"/>
      <c r="K18" s="28"/>
    </row>
    <row r="19" spans="1:11" s="45" customFormat="1" ht="19.5" customHeight="1" x14ac:dyDescent="0.25">
      <c r="A19" s="20"/>
      <c r="B19" s="21"/>
      <c r="C19" s="22"/>
      <c r="D19" s="26"/>
      <c r="E19" s="25"/>
      <c r="F19" s="24"/>
      <c r="G19" s="26"/>
      <c r="H19" s="26"/>
      <c r="I19" s="25"/>
      <c r="J19" s="27"/>
      <c r="K19" s="28"/>
    </row>
    <row r="20" spans="1:11" s="45" customFormat="1" ht="19.5" customHeight="1" x14ac:dyDescent="0.25">
      <c r="A20" s="29"/>
      <c r="B20" s="30"/>
      <c r="C20" s="31"/>
      <c r="D20" s="26"/>
      <c r="E20" s="25"/>
      <c r="F20" s="24"/>
      <c r="G20" s="26"/>
      <c r="H20" s="26"/>
      <c r="I20" s="25"/>
      <c r="J20" s="27"/>
      <c r="K20" s="28"/>
    </row>
    <row r="21" spans="1:11" s="45" customFormat="1" ht="19.5" customHeight="1" x14ac:dyDescent="0.25">
      <c r="A21" s="29"/>
      <c r="B21" s="30"/>
      <c r="C21" s="22"/>
      <c r="D21" s="26"/>
      <c r="E21" s="25"/>
      <c r="F21" s="24"/>
      <c r="G21" s="26"/>
      <c r="H21" s="26"/>
      <c r="I21" s="25"/>
      <c r="J21" s="27"/>
      <c r="K21" s="28"/>
    </row>
    <row r="22" spans="1:11" s="45" customFormat="1" ht="19.5" customHeight="1" x14ac:dyDescent="0.25">
      <c r="A22" s="29"/>
      <c r="B22" s="32"/>
      <c r="C22" s="22"/>
      <c r="D22" s="26"/>
      <c r="E22" s="25"/>
      <c r="F22" s="24"/>
      <c r="G22" s="26"/>
      <c r="H22" s="26"/>
      <c r="I22" s="25"/>
      <c r="J22" s="27"/>
      <c r="K22" s="28"/>
    </row>
    <row r="23" spans="1:11" s="45" customFormat="1" ht="19.5" customHeight="1" x14ac:dyDescent="0.25">
      <c r="A23" s="29"/>
      <c r="B23" s="30"/>
      <c r="C23" s="31"/>
      <c r="D23" s="26"/>
      <c r="E23" s="25"/>
      <c r="F23" s="24"/>
      <c r="G23" s="26"/>
      <c r="H23" s="26"/>
      <c r="I23" s="25"/>
      <c r="J23" s="27"/>
      <c r="K23" s="28"/>
    </row>
    <row r="24" spans="1:11" s="45" customFormat="1" ht="19.5" customHeight="1" x14ac:dyDescent="0.25">
      <c r="A24" s="29"/>
      <c r="B24" s="30"/>
      <c r="C24" s="31"/>
      <c r="D24" s="26"/>
      <c r="E24" s="25"/>
      <c r="F24" s="24"/>
      <c r="G24" s="26"/>
      <c r="H24" s="26"/>
      <c r="I24" s="25"/>
      <c r="J24" s="27"/>
      <c r="K24" s="28"/>
    </row>
    <row r="25" spans="1:11" s="45" customFormat="1" ht="19.5" customHeight="1" x14ac:dyDescent="0.25">
      <c r="A25" s="29"/>
      <c r="B25" s="30"/>
      <c r="C25" s="31"/>
      <c r="D25" s="26"/>
      <c r="E25" s="25"/>
      <c r="F25" s="24"/>
      <c r="G25" s="26"/>
      <c r="H25" s="26"/>
      <c r="I25" s="25"/>
      <c r="J25" s="27"/>
      <c r="K25" s="28"/>
    </row>
    <row r="26" spans="1:11" s="45" customFormat="1" ht="19.5" customHeight="1" x14ac:dyDescent="0.25">
      <c r="A26" s="29"/>
      <c r="B26" s="30"/>
      <c r="C26" s="31"/>
      <c r="D26" s="26"/>
      <c r="E26" s="25"/>
      <c r="F26" s="24"/>
      <c r="G26" s="26"/>
      <c r="H26" s="26"/>
      <c r="I26" s="25"/>
      <c r="J26" s="27"/>
      <c r="K26" s="28"/>
    </row>
    <row r="27" spans="1:11" s="45" customFormat="1" ht="19.5" customHeight="1" x14ac:dyDescent="0.25">
      <c r="A27" s="29"/>
      <c r="B27" s="21"/>
      <c r="C27" s="31"/>
      <c r="D27" s="26"/>
      <c r="E27" s="25"/>
      <c r="F27" s="24"/>
      <c r="G27" s="26"/>
      <c r="H27" s="26"/>
      <c r="I27" s="25"/>
      <c r="J27" s="27"/>
      <c r="K27" s="28"/>
    </row>
    <row r="28" spans="1:11" s="45" customFormat="1" ht="19.5" customHeight="1" x14ac:dyDescent="0.25">
      <c r="A28" s="29"/>
      <c r="B28" s="30"/>
      <c r="C28" s="31"/>
      <c r="D28" s="26"/>
      <c r="E28" s="25"/>
      <c r="F28" s="24"/>
      <c r="G28" s="26"/>
      <c r="H28" s="26"/>
      <c r="I28" s="25"/>
      <c r="J28" s="27"/>
      <c r="K28" s="28"/>
    </row>
    <row r="29" spans="1:11" s="45" customFormat="1" ht="19.5" customHeight="1" x14ac:dyDescent="0.25">
      <c r="A29" s="20"/>
      <c r="B29" s="21"/>
      <c r="C29" s="22"/>
      <c r="D29" s="26"/>
      <c r="E29" s="25"/>
      <c r="F29" s="24"/>
      <c r="G29" s="26"/>
      <c r="H29" s="26"/>
      <c r="I29" s="25"/>
      <c r="J29" s="27"/>
      <c r="K29" s="28"/>
    </row>
    <row r="30" spans="1:11" s="45" customFormat="1" ht="19.5" customHeight="1" x14ac:dyDescent="0.25">
      <c r="A30" s="29"/>
      <c r="B30" s="30"/>
      <c r="C30" s="31"/>
      <c r="D30" s="26"/>
      <c r="E30" s="25"/>
      <c r="F30" s="24"/>
      <c r="G30" s="26"/>
      <c r="H30" s="26"/>
      <c r="I30" s="25"/>
      <c r="J30" s="27"/>
      <c r="K30" s="28"/>
    </row>
    <row r="31" spans="1:11" s="45" customFormat="1" ht="19.5" customHeight="1" x14ac:dyDescent="0.25">
      <c r="A31" s="29"/>
      <c r="B31" s="30"/>
      <c r="C31" s="22"/>
      <c r="D31" s="26"/>
      <c r="E31" s="25"/>
      <c r="F31" s="24"/>
      <c r="G31" s="26"/>
      <c r="H31" s="26"/>
      <c r="I31" s="25"/>
      <c r="J31" s="27"/>
      <c r="K31" s="28"/>
    </row>
    <row r="32" spans="1:11" s="45" customFormat="1" ht="19.5" customHeight="1" x14ac:dyDescent="0.25">
      <c r="A32" s="29"/>
      <c r="B32" s="32"/>
      <c r="C32" s="22"/>
      <c r="D32" s="26"/>
      <c r="E32" s="25"/>
      <c r="F32" s="24"/>
      <c r="G32" s="26"/>
      <c r="H32" s="26"/>
      <c r="I32" s="25"/>
      <c r="J32" s="27"/>
      <c r="K32" s="28"/>
    </row>
    <row r="33" spans="1:14" s="45" customFormat="1" ht="19.5" customHeight="1" x14ac:dyDescent="0.25">
      <c r="A33" s="29"/>
      <c r="B33" s="30"/>
      <c r="C33" s="31"/>
      <c r="D33" s="26"/>
      <c r="E33" s="25"/>
      <c r="F33" s="24"/>
      <c r="G33" s="26"/>
      <c r="H33" s="26"/>
      <c r="I33" s="25"/>
      <c r="J33" s="27"/>
      <c r="K33" s="28"/>
    </row>
    <row r="34" spans="1:14" s="45" customFormat="1" ht="19.5" customHeight="1" x14ac:dyDescent="0.25">
      <c r="A34" s="29"/>
      <c r="B34" s="30"/>
      <c r="C34" s="31"/>
      <c r="D34" s="26"/>
      <c r="E34" s="25"/>
      <c r="F34" s="24"/>
      <c r="G34" s="26"/>
      <c r="H34" s="26"/>
      <c r="I34" s="25"/>
      <c r="J34" s="27"/>
      <c r="K34" s="28"/>
    </row>
    <row r="35" spans="1:14" s="45" customFormat="1" ht="19.5" customHeight="1" x14ac:dyDescent="0.25">
      <c r="A35" s="29"/>
      <c r="B35" s="30"/>
      <c r="C35" s="31"/>
      <c r="D35" s="26"/>
      <c r="E35" s="25"/>
      <c r="F35" s="24"/>
      <c r="G35" s="26"/>
      <c r="H35" s="26"/>
      <c r="I35" s="25"/>
      <c r="J35" s="27"/>
      <c r="K35" s="28"/>
    </row>
    <row r="36" spans="1:14" s="45" customFormat="1" ht="19.5" customHeight="1" x14ac:dyDescent="0.25">
      <c r="A36" s="29"/>
      <c r="B36" s="30"/>
      <c r="C36" s="31"/>
      <c r="D36" s="26"/>
      <c r="E36" s="25"/>
      <c r="F36" s="24"/>
      <c r="G36" s="26"/>
      <c r="H36" s="26"/>
      <c r="I36" s="25"/>
      <c r="J36" s="27"/>
      <c r="K36" s="28"/>
    </row>
    <row r="37" spans="1:14" s="45" customFormat="1" ht="19.5" customHeight="1" x14ac:dyDescent="0.25">
      <c r="A37" s="29"/>
      <c r="B37" s="30"/>
      <c r="C37" s="31"/>
      <c r="D37" s="26"/>
      <c r="E37" s="25"/>
      <c r="F37" s="24"/>
      <c r="G37" s="26"/>
      <c r="H37" s="26"/>
      <c r="I37" s="25"/>
      <c r="J37" s="27"/>
      <c r="K37" s="28"/>
    </row>
    <row r="38" spans="1:14" s="45" customFormat="1" ht="19.5" customHeight="1" thickBot="1" x14ac:dyDescent="0.3">
      <c r="A38" s="29"/>
      <c r="B38" s="30"/>
      <c r="C38" s="31"/>
      <c r="D38" s="26"/>
      <c r="E38" s="25"/>
      <c r="F38" s="24"/>
      <c r="G38" s="26"/>
      <c r="H38" s="26"/>
      <c r="I38" s="25"/>
      <c r="J38" s="27"/>
      <c r="K38" s="28"/>
    </row>
    <row r="39" spans="1:14" s="45" customFormat="1" ht="19.5" customHeight="1" x14ac:dyDescent="0.25">
      <c r="A39" s="164" t="s">
        <v>26</v>
      </c>
      <c r="B39" s="165"/>
      <c r="C39" s="166"/>
      <c r="D39" s="35" t="e">
        <f t="shared" ref="D39:K39" si="0">AVERAGE(D9:D38)</f>
        <v>#DIV/0!</v>
      </c>
      <c r="E39" s="36" t="e">
        <f t="shared" si="0"/>
        <v>#DIV/0!</v>
      </c>
      <c r="F39" s="36" t="e">
        <f t="shared" si="0"/>
        <v>#DIV/0!</v>
      </c>
      <c r="G39" s="35" t="e">
        <f t="shared" si="0"/>
        <v>#DIV/0!</v>
      </c>
      <c r="H39" s="35" t="e">
        <f t="shared" si="0"/>
        <v>#DIV/0!</v>
      </c>
      <c r="I39" s="36" t="e">
        <f t="shared" si="0"/>
        <v>#DIV/0!</v>
      </c>
      <c r="J39" s="36" t="e">
        <f t="shared" si="0"/>
        <v>#DIV/0!</v>
      </c>
      <c r="K39" s="37" t="e">
        <f t="shared" si="0"/>
        <v>#DIV/0!</v>
      </c>
    </row>
    <row r="40" spans="1:14" s="45" customFormat="1" ht="19.5" customHeight="1" x14ac:dyDescent="0.25">
      <c r="A40" s="161" t="s">
        <v>31</v>
      </c>
      <c r="B40" s="162"/>
      <c r="C40" s="163"/>
      <c r="D40" s="38">
        <f t="shared" ref="D40:K40" si="1">MIN(D9:D38)</f>
        <v>0</v>
      </c>
      <c r="E40" s="39">
        <f t="shared" si="1"/>
        <v>0</v>
      </c>
      <c r="F40" s="39">
        <f t="shared" si="1"/>
        <v>0</v>
      </c>
      <c r="G40" s="38">
        <f t="shared" si="1"/>
        <v>0</v>
      </c>
      <c r="H40" s="38">
        <f t="shared" si="1"/>
        <v>0</v>
      </c>
      <c r="I40" s="39">
        <f t="shared" si="1"/>
        <v>0</v>
      </c>
      <c r="J40" s="39">
        <f t="shared" si="1"/>
        <v>0</v>
      </c>
      <c r="K40" s="40">
        <f t="shared" si="1"/>
        <v>0</v>
      </c>
    </row>
    <row r="41" spans="1:14" s="45" customFormat="1" ht="19.5" customHeight="1" thickBot="1" x14ac:dyDescent="0.3">
      <c r="A41" s="158" t="s">
        <v>32</v>
      </c>
      <c r="B41" s="159"/>
      <c r="C41" s="160"/>
      <c r="D41" s="41">
        <f t="shared" ref="D41:K41" si="2">MAX(D9:D38)</f>
        <v>0</v>
      </c>
      <c r="E41" s="42">
        <f t="shared" si="2"/>
        <v>0</v>
      </c>
      <c r="F41" s="42">
        <f t="shared" si="2"/>
        <v>0</v>
      </c>
      <c r="G41" s="41">
        <f t="shared" si="2"/>
        <v>0</v>
      </c>
      <c r="H41" s="41">
        <f t="shared" si="2"/>
        <v>0</v>
      </c>
      <c r="I41" s="42">
        <f t="shared" si="2"/>
        <v>0</v>
      </c>
      <c r="J41" s="42">
        <f t="shared" si="2"/>
        <v>0</v>
      </c>
      <c r="K41" s="43">
        <f t="shared" si="2"/>
        <v>0</v>
      </c>
      <c r="L41" s="5"/>
      <c r="M41" s="5"/>
      <c r="N41" s="5"/>
    </row>
    <row r="42" spans="1:14" s="45" customFormat="1" ht="16.5" customHeight="1" x14ac:dyDescent="0.25">
      <c r="A42" s="44" t="s">
        <v>20</v>
      </c>
      <c r="B42" s="167"/>
      <c r="C42" s="167"/>
      <c r="D42" s="44" t="s">
        <v>22</v>
      </c>
      <c r="F42" s="46"/>
      <c r="G42" s="47"/>
      <c r="H42" s="6"/>
      <c r="I42" s="6" t="s">
        <v>23</v>
      </c>
      <c r="J42" s="48"/>
      <c r="K42" s="49" t="s">
        <v>24</v>
      </c>
    </row>
    <row r="43" spans="1:14" s="45" customFormat="1" ht="16.5" customHeight="1" x14ac:dyDescent="0.25">
      <c r="A43" s="50"/>
      <c r="B43" s="168"/>
      <c r="C43" s="168"/>
      <c r="D43" s="44"/>
      <c r="F43" s="46"/>
      <c r="G43" s="47"/>
      <c r="H43" s="6"/>
      <c r="I43" s="7"/>
      <c r="J43" s="51"/>
    </row>
    <row r="44" spans="1:14" s="45" customFormat="1" ht="16.5" customHeight="1" x14ac:dyDescent="0.25">
      <c r="A44" s="152" t="s">
        <v>21</v>
      </c>
      <c r="B44" s="152"/>
      <c r="C44" s="152"/>
      <c r="D44" s="44"/>
      <c r="E44" s="44"/>
      <c r="F44" s="47" t="s">
        <v>132</v>
      </c>
      <c r="G44" s="46">
        <v>461359700</v>
      </c>
      <c r="H44" s="44"/>
    </row>
    <row r="45" spans="1:14" s="45" customFormat="1" ht="16.5" customHeight="1" x14ac:dyDescent="0.25">
      <c r="A45" s="152" t="s">
        <v>133</v>
      </c>
      <c r="B45" s="152"/>
      <c r="C45" s="152"/>
      <c r="D45" s="44"/>
      <c r="E45" s="44"/>
      <c r="F45" s="44"/>
      <c r="I45" s="44"/>
      <c r="J45" s="52"/>
      <c r="K45" s="52" t="s">
        <v>35</v>
      </c>
    </row>
    <row r="46" spans="1:14" x14ac:dyDescent="0.25">
      <c r="A46" s="44"/>
      <c r="B46" s="44"/>
      <c r="C46" s="44"/>
      <c r="D46" s="44"/>
      <c r="E46" s="44"/>
      <c r="F46" s="44"/>
      <c r="G46" s="45"/>
      <c r="H46" s="45"/>
      <c r="I46" s="44"/>
      <c r="J46" s="52"/>
      <c r="K46" s="52"/>
    </row>
    <row r="47" spans="1:14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  <row r="50" spans="11:11" x14ac:dyDescent="0.25">
      <c r="K50" s="7"/>
    </row>
  </sheetData>
  <dataConsolidate/>
  <mergeCells count="25">
    <mergeCell ref="A45:C45"/>
    <mergeCell ref="A6:C6"/>
    <mergeCell ref="A7:C8"/>
    <mergeCell ref="A41:C41"/>
    <mergeCell ref="A40:C40"/>
    <mergeCell ref="A39:C39"/>
    <mergeCell ref="B42:C42"/>
    <mergeCell ref="A44:C44"/>
    <mergeCell ref="B43:C43"/>
    <mergeCell ref="I6:K6"/>
    <mergeCell ref="I7:K7"/>
    <mergeCell ref="J4:K4"/>
    <mergeCell ref="J5:K5"/>
    <mergeCell ref="A1:J1"/>
    <mergeCell ref="A2:J2"/>
    <mergeCell ref="A4:B4"/>
    <mergeCell ref="C4:D4"/>
    <mergeCell ref="A5:B5"/>
    <mergeCell ref="C5:D5"/>
    <mergeCell ref="G7:G8"/>
    <mergeCell ref="H7:H8"/>
    <mergeCell ref="E7:E8"/>
    <mergeCell ref="F7:F8"/>
    <mergeCell ref="G6:H6"/>
    <mergeCell ref="D7:D8"/>
  </mergeCells>
  <phoneticPr fontId="10" type="noConversion"/>
  <conditionalFormatting sqref="D9:D41">
    <cfRule type="cellIs" dxfId="17" priority="13" operator="notBetween">
      <formula>17</formula>
      <formula>20</formula>
    </cfRule>
  </conditionalFormatting>
  <conditionalFormatting sqref="E9:E41">
    <cfRule type="cellIs" dxfId="16" priority="11" operator="notBetween">
      <formula>18</formula>
      <formula>28</formula>
    </cfRule>
  </conditionalFormatting>
  <conditionalFormatting sqref="F9:F41">
    <cfRule type="cellIs" dxfId="15" priority="9" operator="notBetween">
      <formula>360</formula>
      <formula>400</formula>
    </cfRule>
  </conditionalFormatting>
  <conditionalFormatting sqref="G9:G41">
    <cfRule type="cellIs" dxfId="14" priority="7" operator="notBetween">
      <formula>0.3</formula>
      <formula>0.6</formula>
    </cfRule>
  </conditionalFormatting>
  <conditionalFormatting sqref="H9:H38">
    <cfRule type="cellIs" dxfId="13" priority="1" stopIfTrue="1" operator="notBetween">
      <formula>0.6</formula>
      <formula>1.4</formula>
    </cfRule>
  </conditionalFormatting>
  <conditionalFormatting sqref="I9:I41">
    <cfRule type="cellIs" dxfId="12" priority="5" operator="notBetween">
      <formula>900</formula>
      <formula>1200</formula>
    </cfRule>
  </conditionalFormatting>
  <conditionalFormatting sqref="J9:J41">
    <cfRule type="cellIs" dxfId="11" priority="4" operator="lessThan">
      <formula>350</formula>
    </cfRule>
  </conditionalFormatting>
  <conditionalFormatting sqref="K9:K41">
    <cfRule type="cellIs" dxfId="10" priority="3" operator="lessThan">
      <formula>300</formula>
    </cfRule>
  </conditionalFormatting>
  <pageMargins left="0.39370078740157483" right="0.19685039370078741" top="0.11811023622047245" bottom="0" header="0" footer="0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K60"/>
  <sheetViews>
    <sheetView view="pageBreakPreview" zoomScaleNormal="100" zoomScaleSheetLayoutView="100" workbookViewId="0">
      <selection activeCell="C16" sqref="C16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5"/>
  </cols>
  <sheetData>
    <row r="1" spans="1:11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1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40" t="s">
        <v>17</v>
      </c>
      <c r="B4" s="141">
        <f>Page1!B4:D4</f>
        <v>0</v>
      </c>
      <c r="C4" s="173">
        <f>Page1!C4</f>
        <v>0</v>
      </c>
      <c r="D4" s="174"/>
      <c r="E4" s="9" t="s">
        <v>4</v>
      </c>
      <c r="F4" s="119">
        <f>Page1!F4</f>
        <v>0</v>
      </c>
      <c r="G4" s="9" t="s">
        <v>5</v>
      </c>
      <c r="H4" s="10">
        <f>Page1!H4</f>
        <v>0</v>
      </c>
      <c r="I4" s="11" t="s">
        <v>6</v>
      </c>
      <c r="J4" s="175">
        <f>Page1!J4</f>
        <v>0</v>
      </c>
      <c r="K4" s="176"/>
    </row>
    <row r="5" spans="1:11" s="45" customFormat="1" ht="23.25" customHeight="1" thickBot="1" x14ac:dyDescent="0.3">
      <c r="A5" s="144" t="s">
        <v>18</v>
      </c>
      <c r="B5" s="145">
        <f>Page1!B5:D5</f>
        <v>0</v>
      </c>
      <c r="C5" s="146">
        <f>Page1!C5</f>
        <v>0</v>
      </c>
      <c r="D5" s="147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91">
        <f>Page1!J5</f>
        <v>0</v>
      </c>
      <c r="K5" s="192"/>
    </row>
    <row r="6" spans="1:11" s="45" customFormat="1" ht="15.75" customHeight="1" thickBot="1" x14ac:dyDescent="0.3">
      <c r="A6" s="208" t="s">
        <v>134</v>
      </c>
      <c r="B6" s="209"/>
      <c r="C6" s="209"/>
      <c r="D6" s="194"/>
      <c r="E6" s="194"/>
      <c r="F6" s="182"/>
      <c r="G6" s="181"/>
      <c r="H6" s="182"/>
      <c r="I6" s="206"/>
      <c r="J6" s="207"/>
      <c r="K6" s="55"/>
    </row>
    <row r="7" spans="1:11" s="5" customFormat="1" ht="15" customHeight="1" x14ac:dyDescent="0.25">
      <c r="A7" s="193" t="s">
        <v>0</v>
      </c>
      <c r="B7" s="194"/>
      <c r="C7" s="182"/>
      <c r="D7" s="225" t="s">
        <v>2</v>
      </c>
      <c r="E7" s="194"/>
      <c r="F7" s="174"/>
      <c r="G7" s="181" t="s">
        <v>125</v>
      </c>
      <c r="H7" s="194"/>
      <c r="I7" s="181" t="s">
        <v>135</v>
      </c>
      <c r="J7" s="182"/>
      <c r="K7" s="200" t="s">
        <v>121</v>
      </c>
    </row>
    <row r="8" spans="1:11" s="5" customFormat="1" ht="15" customHeight="1" x14ac:dyDescent="0.25">
      <c r="A8" s="195"/>
      <c r="B8" s="299"/>
      <c r="C8" s="204"/>
      <c r="D8" s="299" t="s">
        <v>13</v>
      </c>
      <c r="E8" s="203" t="s">
        <v>14</v>
      </c>
      <c r="F8" s="204" t="s">
        <v>12</v>
      </c>
      <c r="G8" s="197"/>
      <c r="H8" s="196"/>
      <c r="I8" s="197" t="s">
        <v>136</v>
      </c>
      <c r="J8" s="204"/>
      <c r="K8" s="201"/>
    </row>
    <row r="9" spans="1:11" s="5" customFormat="1" ht="15" customHeight="1" x14ac:dyDescent="0.25">
      <c r="A9" s="195"/>
      <c r="B9" s="299"/>
      <c r="C9" s="204"/>
      <c r="D9" s="299"/>
      <c r="E9" s="148"/>
      <c r="F9" s="204"/>
      <c r="G9" s="197"/>
      <c r="H9" s="196"/>
      <c r="I9" s="57" t="s">
        <v>123</v>
      </c>
      <c r="J9" s="58">
        <v>210</v>
      </c>
      <c r="K9" s="201"/>
    </row>
    <row r="10" spans="1:11" s="5" customFormat="1" ht="18.75" customHeight="1" thickBot="1" x14ac:dyDescent="0.3">
      <c r="A10" s="195"/>
      <c r="B10" s="299"/>
      <c r="C10" s="204"/>
      <c r="D10" s="199"/>
      <c r="E10" s="149"/>
      <c r="F10" s="205"/>
      <c r="G10" s="198"/>
      <c r="H10" s="199"/>
      <c r="I10" s="59" t="s">
        <v>124</v>
      </c>
      <c r="J10" s="60">
        <v>213</v>
      </c>
      <c r="K10" s="202"/>
    </row>
    <row r="11" spans="1:11" s="45" customFormat="1" ht="19.5" customHeight="1" x14ac:dyDescent="0.25">
      <c r="A11" s="120">
        <f>Page1!A9</f>
        <v>0</v>
      </c>
      <c r="B11" s="121">
        <f>Page1!B9</f>
        <v>0</v>
      </c>
      <c r="C11" s="300">
        <f>Page1!C9</f>
        <v>0</v>
      </c>
      <c r="D11" s="61"/>
      <c r="E11" s="24"/>
      <c r="F11" s="24"/>
      <c r="G11" s="190"/>
      <c r="H11" s="190"/>
      <c r="I11" s="177"/>
      <c r="J11" s="178"/>
      <c r="K11" s="62"/>
    </row>
    <row r="12" spans="1:11" s="45" customFormat="1" ht="19.5" customHeight="1" x14ac:dyDescent="0.25">
      <c r="A12" s="122">
        <f>Page1!A10</f>
        <v>0</v>
      </c>
      <c r="B12" s="123">
        <f>Page1!B10</f>
        <v>0</v>
      </c>
      <c r="C12" s="301">
        <f>Page1!C10</f>
        <v>0</v>
      </c>
      <c r="D12" s="63"/>
      <c r="E12" s="25"/>
      <c r="F12" s="25"/>
      <c r="G12" s="189"/>
      <c r="H12" s="189"/>
      <c r="I12" s="179"/>
      <c r="J12" s="180"/>
      <c r="K12" s="64"/>
    </row>
    <row r="13" spans="1:11" s="45" customFormat="1" ht="19.5" customHeight="1" x14ac:dyDescent="0.25">
      <c r="A13" s="122">
        <f>Page1!A11</f>
        <v>0</v>
      </c>
      <c r="B13" s="123">
        <f>Page1!B11</f>
        <v>0</v>
      </c>
      <c r="C13" s="302">
        <f>Page1!C11</f>
        <v>0</v>
      </c>
      <c r="D13" s="63"/>
      <c r="E13" s="25"/>
      <c r="F13" s="25"/>
      <c r="G13" s="189"/>
      <c r="H13" s="189"/>
      <c r="I13" s="179"/>
      <c r="J13" s="180"/>
      <c r="K13" s="64"/>
    </row>
    <row r="14" spans="1:11" s="45" customFormat="1" ht="19.5" customHeight="1" x14ac:dyDescent="0.25">
      <c r="A14" s="122">
        <f>Page1!A12</f>
        <v>0</v>
      </c>
      <c r="B14" s="124">
        <f>Page1!B12</f>
        <v>0</v>
      </c>
      <c r="C14" s="302">
        <f>Page1!C12</f>
        <v>0</v>
      </c>
      <c r="D14" s="63"/>
      <c r="E14" s="25"/>
      <c r="F14" s="25"/>
      <c r="G14" s="189"/>
      <c r="H14" s="189"/>
      <c r="I14" s="179"/>
      <c r="J14" s="180"/>
      <c r="K14" s="64"/>
    </row>
    <row r="15" spans="1:11" s="45" customFormat="1" ht="19.5" customHeight="1" x14ac:dyDescent="0.25">
      <c r="A15" s="122">
        <f>Page1!A13</f>
        <v>0</v>
      </c>
      <c r="B15" s="123">
        <f>Page1!B13</f>
        <v>0</v>
      </c>
      <c r="C15" s="301">
        <f>Page1!C13</f>
        <v>0</v>
      </c>
      <c r="D15" s="63"/>
      <c r="E15" s="25"/>
      <c r="F15" s="25"/>
      <c r="G15" s="189"/>
      <c r="H15" s="189"/>
      <c r="I15" s="179"/>
      <c r="J15" s="180"/>
      <c r="K15" s="64"/>
    </row>
    <row r="16" spans="1:11" s="45" customFormat="1" ht="19.5" customHeight="1" x14ac:dyDescent="0.25">
      <c r="A16" s="122">
        <f>Page1!A14</f>
        <v>0</v>
      </c>
      <c r="B16" s="123">
        <f>Page1!B14</f>
        <v>0</v>
      </c>
      <c r="C16" s="301">
        <f>Page1!C14</f>
        <v>0</v>
      </c>
      <c r="D16" s="61"/>
      <c r="E16" s="24"/>
      <c r="F16" s="24"/>
      <c r="G16" s="190"/>
      <c r="H16" s="190"/>
      <c r="I16" s="179"/>
      <c r="J16" s="180"/>
      <c r="K16" s="62"/>
    </row>
    <row r="17" spans="1:11" s="45" customFormat="1" ht="19.5" customHeight="1" x14ac:dyDescent="0.25">
      <c r="A17" s="122">
        <f>Page1!A15</f>
        <v>0</v>
      </c>
      <c r="B17" s="123">
        <f>Page1!B15</f>
        <v>0</v>
      </c>
      <c r="C17" s="301">
        <f>Page1!C15</f>
        <v>0</v>
      </c>
      <c r="D17" s="63"/>
      <c r="E17" s="25"/>
      <c r="F17" s="25"/>
      <c r="G17" s="189"/>
      <c r="H17" s="189"/>
      <c r="I17" s="179"/>
      <c r="J17" s="180"/>
      <c r="K17" s="64"/>
    </row>
    <row r="18" spans="1:11" s="45" customFormat="1" ht="19.5" customHeight="1" x14ac:dyDescent="0.25">
      <c r="A18" s="122">
        <f>Page1!A16</f>
        <v>0</v>
      </c>
      <c r="B18" s="123">
        <f>Page1!B16</f>
        <v>0</v>
      </c>
      <c r="C18" s="301">
        <f>Page1!C16</f>
        <v>0</v>
      </c>
      <c r="D18" s="63"/>
      <c r="E18" s="25"/>
      <c r="F18" s="25"/>
      <c r="G18" s="189"/>
      <c r="H18" s="189"/>
      <c r="I18" s="179"/>
      <c r="J18" s="180"/>
      <c r="K18" s="64"/>
    </row>
    <row r="19" spans="1:11" s="45" customFormat="1" ht="19.5" customHeight="1" x14ac:dyDescent="0.25">
      <c r="A19" s="122">
        <f>Page1!A17</f>
        <v>0</v>
      </c>
      <c r="B19" s="125">
        <f>Page1!B17</f>
        <v>0</v>
      </c>
      <c r="C19" s="301">
        <f>Page1!C17</f>
        <v>0</v>
      </c>
      <c r="D19" s="63"/>
      <c r="E19" s="25"/>
      <c r="F19" s="25"/>
      <c r="G19" s="189"/>
      <c r="H19" s="189"/>
      <c r="I19" s="179"/>
      <c r="J19" s="180"/>
      <c r="K19" s="64"/>
    </row>
    <row r="20" spans="1:11" s="45" customFormat="1" ht="19.5" customHeight="1" x14ac:dyDescent="0.25">
      <c r="A20" s="122">
        <f>Page1!A18</f>
        <v>0</v>
      </c>
      <c r="B20" s="123">
        <f>Page1!B18</f>
        <v>0</v>
      </c>
      <c r="C20" s="301">
        <f>Page1!C18</f>
        <v>0</v>
      </c>
      <c r="D20" s="63"/>
      <c r="E20" s="25"/>
      <c r="F20" s="25"/>
      <c r="G20" s="185"/>
      <c r="H20" s="186"/>
      <c r="I20" s="179"/>
      <c r="J20" s="180"/>
      <c r="K20" s="64"/>
    </row>
    <row r="21" spans="1:11" s="45" customFormat="1" ht="19.5" customHeight="1" x14ac:dyDescent="0.25">
      <c r="A21" s="126">
        <f>Page1!A19</f>
        <v>0</v>
      </c>
      <c r="B21" s="125">
        <f>Page1!B19</f>
        <v>0</v>
      </c>
      <c r="C21" s="302">
        <f>Page1!C19</f>
        <v>0</v>
      </c>
      <c r="D21" s="63"/>
      <c r="E21" s="25"/>
      <c r="F21" s="25"/>
      <c r="G21" s="185"/>
      <c r="H21" s="186"/>
      <c r="I21" s="179"/>
      <c r="J21" s="180"/>
      <c r="K21" s="64"/>
    </row>
    <row r="22" spans="1:11" s="45" customFormat="1" ht="19.5" customHeight="1" x14ac:dyDescent="0.25">
      <c r="A22" s="122">
        <f>Page1!A20</f>
        <v>0</v>
      </c>
      <c r="B22" s="123">
        <f>Page1!B20</f>
        <v>0</v>
      </c>
      <c r="C22" s="301">
        <f>Page1!C20</f>
        <v>0</v>
      </c>
      <c r="D22" s="63"/>
      <c r="E22" s="25"/>
      <c r="F22" s="25"/>
      <c r="G22" s="185"/>
      <c r="H22" s="186"/>
      <c r="I22" s="179"/>
      <c r="J22" s="180"/>
      <c r="K22" s="64"/>
    </row>
    <row r="23" spans="1:11" s="45" customFormat="1" ht="19.5" customHeight="1" x14ac:dyDescent="0.25">
      <c r="A23" s="122">
        <f>Page1!A21</f>
        <v>0</v>
      </c>
      <c r="B23" s="123">
        <f>Page1!B21</f>
        <v>0</v>
      </c>
      <c r="C23" s="302">
        <f>Page1!C21</f>
        <v>0</v>
      </c>
      <c r="D23" s="63"/>
      <c r="E23" s="25"/>
      <c r="F23" s="25"/>
      <c r="G23" s="185"/>
      <c r="H23" s="186"/>
      <c r="I23" s="179"/>
      <c r="J23" s="180"/>
      <c r="K23" s="64"/>
    </row>
    <row r="24" spans="1:11" s="45" customFormat="1" ht="19.5" customHeight="1" x14ac:dyDescent="0.25">
      <c r="A24" s="122">
        <f>Page1!A22</f>
        <v>0</v>
      </c>
      <c r="B24" s="124">
        <f>Page1!B22</f>
        <v>0</v>
      </c>
      <c r="C24" s="302">
        <f>Page1!C22</f>
        <v>0</v>
      </c>
      <c r="D24" s="63"/>
      <c r="E24" s="25"/>
      <c r="F24" s="25"/>
      <c r="G24" s="185"/>
      <c r="H24" s="186"/>
      <c r="I24" s="179"/>
      <c r="J24" s="180"/>
      <c r="K24" s="64"/>
    </row>
    <row r="25" spans="1:11" s="45" customFormat="1" ht="19.5" customHeight="1" x14ac:dyDescent="0.25">
      <c r="A25" s="122">
        <f>Page1!A23</f>
        <v>0</v>
      </c>
      <c r="B25" s="123">
        <f>Page1!B23</f>
        <v>0</v>
      </c>
      <c r="C25" s="301">
        <f>Page1!C23</f>
        <v>0</v>
      </c>
      <c r="D25" s="63"/>
      <c r="E25" s="25"/>
      <c r="F25" s="25"/>
      <c r="G25" s="185"/>
      <c r="H25" s="186"/>
      <c r="I25" s="179"/>
      <c r="J25" s="180"/>
      <c r="K25" s="64"/>
    </row>
    <row r="26" spans="1:11" s="45" customFormat="1" ht="19.5" customHeight="1" x14ac:dyDescent="0.25">
      <c r="A26" s="122">
        <f>Page1!A24</f>
        <v>0</v>
      </c>
      <c r="B26" s="123">
        <f>Page1!B24</f>
        <v>0</v>
      </c>
      <c r="C26" s="301">
        <f>Page1!C24</f>
        <v>0</v>
      </c>
      <c r="D26" s="63"/>
      <c r="E26" s="25"/>
      <c r="F26" s="25"/>
      <c r="G26" s="185"/>
      <c r="H26" s="186"/>
      <c r="I26" s="179"/>
      <c r="J26" s="180"/>
      <c r="K26" s="64"/>
    </row>
    <row r="27" spans="1:11" s="45" customFormat="1" ht="19.5" customHeight="1" x14ac:dyDescent="0.25">
      <c r="A27" s="122">
        <f>Page1!A25</f>
        <v>0</v>
      </c>
      <c r="B27" s="123">
        <f>Page1!B25</f>
        <v>0</v>
      </c>
      <c r="C27" s="301">
        <f>Page1!C25</f>
        <v>0</v>
      </c>
      <c r="D27" s="63"/>
      <c r="E27" s="25"/>
      <c r="F27" s="25"/>
      <c r="G27" s="185"/>
      <c r="H27" s="186"/>
      <c r="I27" s="179"/>
      <c r="J27" s="180"/>
      <c r="K27" s="64"/>
    </row>
    <row r="28" spans="1:11" s="45" customFormat="1" ht="19.5" customHeight="1" x14ac:dyDescent="0.25">
      <c r="A28" s="122">
        <f>Page1!A26</f>
        <v>0</v>
      </c>
      <c r="B28" s="123">
        <f>Page1!B26</f>
        <v>0</v>
      </c>
      <c r="C28" s="301">
        <f>Page1!C26</f>
        <v>0</v>
      </c>
      <c r="D28" s="63"/>
      <c r="E28" s="25"/>
      <c r="F28" s="25"/>
      <c r="G28" s="185"/>
      <c r="H28" s="186"/>
      <c r="I28" s="179"/>
      <c r="J28" s="180"/>
      <c r="K28" s="64"/>
    </row>
    <row r="29" spans="1:11" s="45" customFormat="1" ht="19.5" customHeight="1" x14ac:dyDescent="0.25">
      <c r="A29" s="122">
        <f>Page1!A27</f>
        <v>0</v>
      </c>
      <c r="B29" s="125">
        <f>Page1!B27</f>
        <v>0</v>
      </c>
      <c r="C29" s="301">
        <f>Page1!C27</f>
        <v>0</v>
      </c>
      <c r="D29" s="63"/>
      <c r="E29" s="25"/>
      <c r="F29" s="25"/>
      <c r="G29" s="185"/>
      <c r="H29" s="186"/>
      <c r="I29" s="179"/>
      <c r="J29" s="180"/>
      <c r="K29" s="64"/>
    </row>
    <row r="30" spans="1:11" s="45" customFormat="1" ht="19.5" customHeight="1" x14ac:dyDescent="0.25">
      <c r="A30" s="122">
        <f>Page1!A28</f>
        <v>0</v>
      </c>
      <c r="B30" s="123">
        <f>Page1!B28</f>
        <v>0</v>
      </c>
      <c r="C30" s="301">
        <f>Page1!C28</f>
        <v>0</v>
      </c>
      <c r="D30" s="63"/>
      <c r="E30" s="25"/>
      <c r="F30" s="25"/>
      <c r="G30" s="185"/>
      <c r="H30" s="186"/>
      <c r="I30" s="179"/>
      <c r="J30" s="180"/>
      <c r="K30" s="64"/>
    </row>
    <row r="31" spans="1:11" s="45" customFormat="1" ht="19.5" customHeight="1" x14ac:dyDescent="0.25">
      <c r="A31" s="126">
        <f>Page1!A29</f>
        <v>0</v>
      </c>
      <c r="B31" s="125">
        <f>Page1!B29</f>
        <v>0</v>
      </c>
      <c r="C31" s="302">
        <f>Page1!C29</f>
        <v>0</v>
      </c>
      <c r="D31" s="63"/>
      <c r="E31" s="25"/>
      <c r="F31" s="25"/>
      <c r="G31" s="185"/>
      <c r="H31" s="186"/>
      <c r="I31" s="179"/>
      <c r="J31" s="180"/>
      <c r="K31" s="64"/>
    </row>
    <row r="32" spans="1:11" s="45" customFormat="1" ht="19.5" customHeight="1" x14ac:dyDescent="0.25">
      <c r="A32" s="122">
        <f>Page1!A30</f>
        <v>0</v>
      </c>
      <c r="B32" s="123">
        <f>Page1!B30</f>
        <v>0</v>
      </c>
      <c r="C32" s="301">
        <f>Page1!C30</f>
        <v>0</v>
      </c>
      <c r="D32" s="63"/>
      <c r="E32" s="25"/>
      <c r="F32" s="25"/>
      <c r="G32" s="185"/>
      <c r="H32" s="186"/>
      <c r="I32" s="179"/>
      <c r="J32" s="180"/>
      <c r="K32" s="64"/>
    </row>
    <row r="33" spans="1:11" s="45" customFormat="1" ht="19.5" customHeight="1" x14ac:dyDescent="0.25">
      <c r="A33" s="122">
        <f>Page1!A31</f>
        <v>0</v>
      </c>
      <c r="B33" s="123">
        <f>Page1!B31</f>
        <v>0</v>
      </c>
      <c r="C33" s="302">
        <f>Page1!C31</f>
        <v>0</v>
      </c>
      <c r="D33" s="63"/>
      <c r="E33" s="25"/>
      <c r="F33" s="25"/>
      <c r="G33" s="185"/>
      <c r="H33" s="186"/>
      <c r="I33" s="179"/>
      <c r="J33" s="180"/>
      <c r="K33" s="64"/>
    </row>
    <row r="34" spans="1:11" s="45" customFormat="1" ht="19.5" customHeight="1" x14ac:dyDescent="0.25">
      <c r="A34" s="122">
        <f>Page1!A32</f>
        <v>0</v>
      </c>
      <c r="B34" s="124">
        <f>Page1!B32</f>
        <v>0</v>
      </c>
      <c r="C34" s="302">
        <f>Page1!C32</f>
        <v>0</v>
      </c>
      <c r="D34" s="63"/>
      <c r="E34" s="25"/>
      <c r="F34" s="25"/>
      <c r="G34" s="185"/>
      <c r="H34" s="186"/>
      <c r="I34" s="179"/>
      <c r="J34" s="180"/>
      <c r="K34" s="64"/>
    </row>
    <row r="35" spans="1:11" s="45" customFormat="1" ht="19.5" customHeight="1" x14ac:dyDescent="0.25">
      <c r="A35" s="122">
        <f>Page1!A33</f>
        <v>0</v>
      </c>
      <c r="B35" s="123">
        <f>Page1!B33</f>
        <v>0</v>
      </c>
      <c r="C35" s="301">
        <f>Page1!C33</f>
        <v>0</v>
      </c>
      <c r="D35" s="63"/>
      <c r="E35" s="25"/>
      <c r="F35" s="25"/>
      <c r="G35" s="185"/>
      <c r="H35" s="186"/>
      <c r="I35" s="179"/>
      <c r="J35" s="180"/>
      <c r="K35" s="64"/>
    </row>
    <row r="36" spans="1:11" s="45" customFormat="1" ht="19.5" customHeight="1" x14ac:dyDescent="0.25">
      <c r="A36" s="122">
        <f>Page1!A34</f>
        <v>0</v>
      </c>
      <c r="B36" s="123">
        <f>Page1!B34</f>
        <v>0</v>
      </c>
      <c r="C36" s="301">
        <f>Page1!C34</f>
        <v>0</v>
      </c>
      <c r="D36" s="63"/>
      <c r="E36" s="25"/>
      <c r="F36" s="25"/>
      <c r="G36" s="185"/>
      <c r="H36" s="186"/>
      <c r="I36" s="179"/>
      <c r="J36" s="180"/>
      <c r="K36" s="64"/>
    </row>
    <row r="37" spans="1:11" s="45" customFormat="1" ht="19.5" customHeight="1" x14ac:dyDescent="0.25">
      <c r="A37" s="122">
        <f>Page1!A35</f>
        <v>0</v>
      </c>
      <c r="B37" s="123">
        <f>Page1!B35</f>
        <v>0</v>
      </c>
      <c r="C37" s="301">
        <f>Page1!C35</f>
        <v>0</v>
      </c>
      <c r="D37" s="63"/>
      <c r="E37" s="25"/>
      <c r="F37" s="25"/>
      <c r="G37" s="185"/>
      <c r="H37" s="186"/>
      <c r="I37" s="179"/>
      <c r="J37" s="180"/>
      <c r="K37" s="64"/>
    </row>
    <row r="38" spans="1:11" s="45" customFormat="1" ht="19.5" customHeight="1" x14ac:dyDescent="0.25">
      <c r="A38" s="122">
        <f>Page1!A36</f>
        <v>0</v>
      </c>
      <c r="B38" s="123">
        <f>Page1!B36</f>
        <v>0</v>
      </c>
      <c r="C38" s="301">
        <f>Page1!C36</f>
        <v>0</v>
      </c>
      <c r="D38" s="63"/>
      <c r="E38" s="25"/>
      <c r="F38" s="25"/>
      <c r="G38" s="185"/>
      <c r="H38" s="186"/>
      <c r="I38" s="179"/>
      <c r="J38" s="180"/>
      <c r="K38" s="64"/>
    </row>
    <row r="39" spans="1:11" s="45" customFormat="1" ht="19.5" customHeight="1" x14ac:dyDescent="0.25">
      <c r="A39" s="122">
        <f>Page1!A37</f>
        <v>0</v>
      </c>
      <c r="B39" s="123">
        <f>Page1!B37</f>
        <v>0</v>
      </c>
      <c r="C39" s="301">
        <f>Page1!C37</f>
        <v>0</v>
      </c>
      <c r="D39" s="63"/>
      <c r="E39" s="25"/>
      <c r="F39" s="25"/>
      <c r="G39" s="185"/>
      <c r="H39" s="186"/>
      <c r="I39" s="179"/>
      <c r="J39" s="180"/>
      <c r="K39" s="64"/>
    </row>
    <row r="40" spans="1:11" s="45" customFormat="1" ht="19.5" customHeight="1" thickBot="1" x14ac:dyDescent="0.3">
      <c r="A40" s="127">
        <f>Page1!A38</f>
        <v>0</v>
      </c>
      <c r="B40" s="128">
        <f>Page1!B38</f>
        <v>0</v>
      </c>
      <c r="C40" s="303">
        <f>Page1!C38</f>
        <v>0</v>
      </c>
      <c r="D40" s="63"/>
      <c r="E40" s="25"/>
      <c r="F40" s="25"/>
      <c r="G40" s="189"/>
      <c r="H40" s="189"/>
      <c r="I40" s="179"/>
      <c r="J40" s="180"/>
      <c r="K40" s="64"/>
    </row>
    <row r="41" spans="1:11" s="45" customFormat="1" ht="19.5" customHeight="1" x14ac:dyDescent="0.25">
      <c r="A41" s="169" t="s">
        <v>26</v>
      </c>
      <c r="B41" s="170"/>
      <c r="C41" s="170"/>
      <c r="D41" s="65" t="e">
        <f>AVERAGE(D11:D40)</f>
        <v>#DIV/0!</v>
      </c>
      <c r="E41" s="36" t="e">
        <f>AVERAGE(E11:E40)</f>
        <v>#DIV/0!</v>
      </c>
      <c r="F41" s="36" t="e">
        <f>AVERAGE(F11:F40)</f>
        <v>#DIV/0!</v>
      </c>
      <c r="G41" s="187" t="e">
        <f>AVERAGE(G11:H40)</f>
        <v>#DIV/0!</v>
      </c>
      <c r="H41" s="188"/>
      <c r="I41" s="218" t="e">
        <f>AVERAGE(I11:J40)</f>
        <v>#DIV/0!</v>
      </c>
      <c r="J41" s="219"/>
      <c r="K41" s="37" t="e">
        <f>AVERAGE(K11:K40)</f>
        <v>#DIV/0!</v>
      </c>
    </row>
    <row r="42" spans="1:11" s="45" customFormat="1" ht="19.5" customHeight="1" x14ac:dyDescent="0.25">
      <c r="A42" s="171" t="s">
        <v>31</v>
      </c>
      <c r="B42" s="172"/>
      <c r="C42" s="172"/>
      <c r="D42" s="66">
        <f>MIN(D11:D40)</f>
        <v>0</v>
      </c>
      <c r="E42" s="39">
        <f>MIN(E11:E40)</f>
        <v>0</v>
      </c>
      <c r="F42" s="39">
        <f>MIN(F11:F40)</f>
        <v>0</v>
      </c>
      <c r="G42" s="183">
        <f>MIN(G11:H40)</f>
        <v>0</v>
      </c>
      <c r="H42" s="184"/>
      <c r="I42" s="216">
        <f>MIN(I11:J40)</f>
        <v>0</v>
      </c>
      <c r="J42" s="217"/>
      <c r="K42" s="40">
        <f>MIN(K11:K40)</f>
        <v>0</v>
      </c>
    </row>
    <row r="43" spans="1:11" s="5" customFormat="1" ht="19.5" customHeight="1" thickBot="1" x14ac:dyDescent="0.3">
      <c r="A43" s="214" t="s">
        <v>32</v>
      </c>
      <c r="B43" s="215"/>
      <c r="C43" s="215"/>
      <c r="D43" s="67">
        <f>MAX(D11:D40)</f>
        <v>0</v>
      </c>
      <c r="E43" s="68">
        <f>MAX(E11:E40)</f>
        <v>0</v>
      </c>
      <c r="F43" s="68">
        <f>MAX(F11:F40)</f>
        <v>0</v>
      </c>
      <c r="G43" s="210">
        <f>MAX(G11:H40)</f>
        <v>0</v>
      </c>
      <c r="H43" s="211"/>
      <c r="I43" s="212">
        <f>MAX(I11:J40)</f>
        <v>0</v>
      </c>
      <c r="J43" s="213"/>
      <c r="K43" s="69">
        <f>MAX(K11:K40)</f>
        <v>0</v>
      </c>
    </row>
    <row r="44" spans="1:11" s="45" customFormat="1" ht="16.5" customHeight="1" x14ac:dyDescent="0.25">
      <c r="A44" s="44" t="s">
        <v>20</v>
      </c>
      <c r="B44" s="167"/>
      <c r="C44" s="167"/>
      <c r="D44" s="44" t="s">
        <v>22</v>
      </c>
      <c r="F44" s="46"/>
      <c r="G44" s="47"/>
      <c r="H44" s="6"/>
      <c r="I44" s="6" t="s">
        <v>23</v>
      </c>
      <c r="J44" s="48"/>
      <c r="K44" s="49" t="s">
        <v>24</v>
      </c>
    </row>
    <row r="45" spans="1:11" s="45" customFormat="1" ht="16.5" customHeight="1" x14ac:dyDescent="0.25">
      <c r="A45" s="50"/>
      <c r="B45" s="168"/>
      <c r="C45" s="168"/>
      <c r="D45" s="44"/>
      <c r="F45" s="46"/>
      <c r="G45" s="47"/>
      <c r="H45" s="6"/>
      <c r="I45" s="7"/>
      <c r="J45" s="51"/>
    </row>
    <row r="46" spans="1:11" s="45" customFormat="1" ht="16.5" customHeight="1" x14ac:dyDescent="0.25">
      <c r="A46" s="152" t="s">
        <v>21</v>
      </c>
      <c r="B46" s="152"/>
      <c r="C46" s="152"/>
      <c r="D46" s="44"/>
      <c r="E46" s="44"/>
      <c r="F46" s="47" t="s">
        <v>132</v>
      </c>
      <c r="G46" s="46">
        <f>Page1!G44</f>
        <v>461359700</v>
      </c>
      <c r="H46" s="44"/>
    </row>
    <row r="47" spans="1:11" s="45" customFormat="1" ht="16.5" customHeight="1" x14ac:dyDescent="0.25">
      <c r="A47" s="152" t="s">
        <v>133</v>
      </c>
      <c r="B47" s="152"/>
      <c r="C47" s="152"/>
      <c r="D47" s="44"/>
      <c r="E47" s="44"/>
      <c r="F47" s="44"/>
      <c r="I47" s="44"/>
      <c r="J47" s="52"/>
      <c r="K47" s="52" t="s">
        <v>36</v>
      </c>
    </row>
    <row r="48" spans="1:11" x14ac:dyDescent="0.25">
      <c r="A48" s="53"/>
      <c r="B48" s="53"/>
      <c r="C48" s="53"/>
      <c r="D48" s="53"/>
      <c r="E48" s="53"/>
      <c r="F48" s="53"/>
      <c r="G48" s="53"/>
      <c r="H48" s="53"/>
      <c r="I48" s="53"/>
      <c r="J48" s="54"/>
      <c r="K48" s="54"/>
    </row>
    <row r="51" spans="9:9" x14ac:dyDescent="0.25">
      <c r="I51" s="70"/>
    </row>
    <row r="52" spans="9:9" x14ac:dyDescent="0.25">
      <c r="I52" s="70"/>
    </row>
    <row r="53" spans="9:9" x14ac:dyDescent="0.25">
      <c r="I53" s="70"/>
    </row>
    <row r="54" spans="9:9" x14ac:dyDescent="0.25">
      <c r="I54" s="70"/>
    </row>
    <row r="55" spans="9:9" x14ac:dyDescent="0.25">
      <c r="I55" s="70"/>
    </row>
    <row r="56" spans="9:9" x14ac:dyDescent="0.25">
      <c r="I56" s="70"/>
    </row>
    <row r="57" spans="9:9" x14ac:dyDescent="0.25">
      <c r="I57" s="70"/>
    </row>
    <row r="58" spans="9:9" x14ac:dyDescent="0.25">
      <c r="I58" s="70"/>
    </row>
    <row r="59" spans="9:9" x14ac:dyDescent="0.25">
      <c r="I59" s="70"/>
    </row>
    <row r="60" spans="9:9" x14ac:dyDescent="0.25">
      <c r="I60" s="70"/>
    </row>
  </sheetData>
  <mergeCells count="94">
    <mergeCell ref="I42:J42"/>
    <mergeCell ref="I37:J37"/>
    <mergeCell ref="I38:J38"/>
    <mergeCell ref="I39:J39"/>
    <mergeCell ref="I40:J40"/>
    <mergeCell ref="I41:J41"/>
    <mergeCell ref="I32:J32"/>
    <mergeCell ref="I33:J33"/>
    <mergeCell ref="I34:J34"/>
    <mergeCell ref="I35:J35"/>
    <mergeCell ref="I36:J36"/>
    <mergeCell ref="I27:J27"/>
    <mergeCell ref="I28:J28"/>
    <mergeCell ref="I29:J29"/>
    <mergeCell ref="I30:J30"/>
    <mergeCell ref="I31:J31"/>
    <mergeCell ref="I22:J22"/>
    <mergeCell ref="I23:J23"/>
    <mergeCell ref="I24:J24"/>
    <mergeCell ref="I25:J25"/>
    <mergeCell ref="I26:J26"/>
    <mergeCell ref="I15:J15"/>
    <mergeCell ref="I16:J16"/>
    <mergeCell ref="I19:J19"/>
    <mergeCell ref="I20:J20"/>
    <mergeCell ref="I21:J21"/>
    <mergeCell ref="G43:H43"/>
    <mergeCell ref="I43:J43"/>
    <mergeCell ref="B44:C44"/>
    <mergeCell ref="B45:C45"/>
    <mergeCell ref="A47:C47"/>
    <mergeCell ref="A46:C46"/>
    <mergeCell ref="A43:C43"/>
    <mergeCell ref="J5:K5"/>
    <mergeCell ref="A7:C10"/>
    <mergeCell ref="G7:H10"/>
    <mergeCell ref="K7:K10"/>
    <mergeCell ref="D8:D10"/>
    <mergeCell ref="E8:E10"/>
    <mergeCell ref="F8:F10"/>
    <mergeCell ref="I8:J8"/>
    <mergeCell ref="I6:J6"/>
    <mergeCell ref="G6:H6"/>
    <mergeCell ref="A6:C6"/>
    <mergeCell ref="D6:F6"/>
    <mergeCell ref="D7:F7"/>
    <mergeCell ref="G37:H37"/>
    <mergeCell ref="G38:H38"/>
    <mergeCell ref="G39:H39"/>
    <mergeCell ref="G11:H11"/>
    <mergeCell ref="G12:H12"/>
    <mergeCell ref="G13:H13"/>
    <mergeCell ref="G14:H14"/>
    <mergeCell ref="G15:H15"/>
    <mergeCell ref="G16:H16"/>
    <mergeCell ref="G17:H17"/>
    <mergeCell ref="G18:H18"/>
    <mergeCell ref="G34:H34"/>
    <mergeCell ref="G35:H35"/>
    <mergeCell ref="G36:H36"/>
    <mergeCell ref="G32:H32"/>
    <mergeCell ref="G33:H33"/>
    <mergeCell ref="G41:H41"/>
    <mergeCell ref="I17:J17"/>
    <mergeCell ref="I18:J18"/>
    <mergeCell ref="G20:H20"/>
    <mergeCell ref="G21:H21"/>
    <mergeCell ref="G22:H22"/>
    <mergeCell ref="G23:H23"/>
    <mergeCell ref="G24:H24"/>
    <mergeCell ref="G25:H25"/>
    <mergeCell ref="G26:H26"/>
    <mergeCell ref="G27:H27"/>
    <mergeCell ref="G19:H19"/>
    <mergeCell ref="G40:H40"/>
    <mergeCell ref="G29:H29"/>
    <mergeCell ref="G30:H30"/>
    <mergeCell ref="G31:H31"/>
    <mergeCell ref="A41:C41"/>
    <mergeCell ref="A42:C42"/>
    <mergeCell ref="A5:B5"/>
    <mergeCell ref="C5:D5"/>
    <mergeCell ref="A1:J1"/>
    <mergeCell ref="A2:J2"/>
    <mergeCell ref="A4:B4"/>
    <mergeCell ref="C4:D4"/>
    <mergeCell ref="J4:K4"/>
    <mergeCell ref="I11:J11"/>
    <mergeCell ref="I12:J12"/>
    <mergeCell ref="I13:J13"/>
    <mergeCell ref="I14:J14"/>
    <mergeCell ref="I7:J7"/>
    <mergeCell ref="G42:H42"/>
    <mergeCell ref="G28:H28"/>
  </mergeCells>
  <phoneticPr fontId="10" type="noConversion"/>
  <conditionalFormatting sqref="D11:D43">
    <cfRule type="cellIs" dxfId="9" priority="8" operator="notBetween">
      <formula>700</formula>
      <formula>1000</formula>
    </cfRule>
  </conditionalFormatting>
  <conditionalFormatting sqref="E11:E43">
    <cfRule type="cellIs" dxfId="8" priority="7" operator="lessThan">
      <formula>400</formula>
    </cfRule>
  </conditionalFormatting>
  <conditionalFormatting sqref="F11:F43">
    <cfRule type="cellIs" dxfId="7" priority="6" operator="lessThan">
      <formula>300</formula>
    </cfRule>
  </conditionalFormatting>
  <conditionalFormatting sqref="G11:H19 G20:G39 G40:H43">
    <cfRule type="cellIs" dxfId="6" priority="4" operator="notBetween">
      <formula>45</formula>
      <formula>55</formula>
    </cfRule>
  </conditionalFormatting>
  <conditionalFormatting sqref="I11:J43">
    <cfRule type="cellIs" dxfId="5" priority="1" operator="notBetween">
      <formula>210</formula>
      <formula>213</formula>
    </cfRule>
  </conditionalFormatting>
  <conditionalFormatting sqref="K11:K43">
    <cfRule type="cellIs" dxfId="4" priority="2" operator="notBetween">
      <formula>410</formula>
      <formula>450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47"/>
  <sheetViews>
    <sheetView view="pageBreakPreview" zoomScaleNormal="100" zoomScaleSheetLayoutView="100" workbookViewId="0">
      <selection activeCell="E17" sqref="E17"/>
    </sheetView>
  </sheetViews>
  <sheetFormatPr defaultRowHeight="15" x14ac:dyDescent="0.25"/>
  <cols>
    <col min="1" max="3" width="14" style="5" customWidth="1"/>
    <col min="4" max="11" width="21.7109375" style="5" customWidth="1"/>
    <col min="12" max="16384" width="9.140625" style="85"/>
  </cols>
  <sheetData>
    <row r="1" spans="1:11" s="45" customFormat="1" ht="15.75" customHeight="1" x14ac:dyDescent="0.25">
      <c r="A1" s="139" t="s">
        <v>16</v>
      </c>
      <c r="B1" s="139"/>
      <c r="C1" s="139"/>
      <c r="D1" s="139"/>
      <c r="E1" s="139"/>
      <c r="F1" s="139"/>
      <c r="G1" s="139"/>
      <c r="H1" s="139"/>
      <c r="I1" s="139"/>
      <c r="J1" s="139"/>
      <c r="K1" s="3" t="s">
        <v>27</v>
      </c>
    </row>
    <row r="2" spans="1:11" s="45" customFormat="1" ht="15.75" customHeight="1" x14ac:dyDescent="0.25">
      <c r="A2" s="139" t="s">
        <v>19</v>
      </c>
      <c r="B2" s="139"/>
      <c r="C2" s="139"/>
      <c r="D2" s="139"/>
      <c r="E2" s="139"/>
      <c r="F2" s="139"/>
      <c r="G2" s="139"/>
      <c r="H2" s="139"/>
      <c r="I2" s="139"/>
      <c r="J2" s="139"/>
      <c r="K2" s="4" t="s">
        <v>29</v>
      </c>
    </row>
    <row r="3" spans="1:11" s="45" customFormat="1" ht="15.75" customHeight="1" thickBot="1" x14ac:dyDescent="0.3">
      <c r="A3" s="51"/>
      <c r="B3" s="51"/>
      <c r="C3" s="51"/>
      <c r="D3" s="51"/>
      <c r="E3" s="51"/>
      <c r="F3" s="51"/>
      <c r="G3" s="51"/>
      <c r="H3" s="51"/>
      <c r="I3" s="5"/>
      <c r="J3" s="6" t="s">
        <v>30</v>
      </c>
      <c r="K3" s="7"/>
    </row>
    <row r="4" spans="1:11" s="45" customFormat="1" ht="23.25" customHeight="1" x14ac:dyDescent="0.25">
      <c r="A4" s="140" t="s">
        <v>17</v>
      </c>
      <c r="B4" s="141">
        <f>Page1!B4:D4</f>
        <v>0</v>
      </c>
      <c r="C4" s="173">
        <f>Page1!C4</f>
        <v>0</v>
      </c>
      <c r="D4" s="174"/>
      <c r="E4" s="9" t="s">
        <v>4</v>
      </c>
      <c r="F4" s="119">
        <f>Page1!F4</f>
        <v>0</v>
      </c>
      <c r="G4" s="9" t="s">
        <v>5</v>
      </c>
      <c r="H4" s="10">
        <f>Page1!H4</f>
        <v>0</v>
      </c>
      <c r="I4" s="11" t="s">
        <v>6</v>
      </c>
      <c r="J4" s="175">
        <f>Page1!J4</f>
        <v>0</v>
      </c>
      <c r="K4" s="176"/>
    </row>
    <row r="5" spans="1:11" s="45" customFormat="1" ht="23.25" customHeight="1" thickBot="1" x14ac:dyDescent="0.3">
      <c r="A5" s="144" t="s">
        <v>18</v>
      </c>
      <c r="B5" s="145">
        <f>Page1!B5:D5</f>
        <v>0</v>
      </c>
      <c r="C5" s="146">
        <f>Page1!C5</f>
        <v>0</v>
      </c>
      <c r="D5" s="147"/>
      <c r="E5" s="13" t="s">
        <v>7</v>
      </c>
      <c r="F5" s="12">
        <f>Page1!F5</f>
        <v>0</v>
      </c>
      <c r="G5" s="13" t="s">
        <v>8</v>
      </c>
      <c r="H5" s="1">
        <f>Page1!H5</f>
        <v>0</v>
      </c>
      <c r="I5" s="16" t="s">
        <v>9</v>
      </c>
      <c r="J5" s="191">
        <f>Page1!J5</f>
        <v>0</v>
      </c>
      <c r="K5" s="192"/>
    </row>
    <row r="6" spans="1:11" s="45" customFormat="1" ht="15.75" customHeight="1" thickBot="1" x14ac:dyDescent="0.3">
      <c r="A6" s="223" t="s">
        <v>134</v>
      </c>
      <c r="B6" s="224"/>
      <c r="C6" s="224"/>
      <c r="D6" s="131"/>
      <c r="E6" s="131"/>
      <c r="F6" s="131"/>
      <c r="G6" s="151"/>
      <c r="H6" s="71"/>
      <c r="I6" s="193"/>
      <c r="J6" s="194"/>
      <c r="K6" s="200"/>
    </row>
    <row r="7" spans="1:11" s="5" customFormat="1" ht="15" customHeight="1" x14ac:dyDescent="0.25">
      <c r="A7" s="193" t="s">
        <v>0</v>
      </c>
      <c r="B7" s="194"/>
      <c r="C7" s="182"/>
      <c r="D7" s="225" t="s">
        <v>34</v>
      </c>
      <c r="E7" s="225"/>
      <c r="F7" s="225"/>
      <c r="G7" s="174"/>
      <c r="H7" s="220" t="s">
        <v>126</v>
      </c>
      <c r="I7" s="195"/>
      <c r="J7" s="196"/>
      <c r="K7" s="201"/>
    </row>
    <row r="8" spans="1:11" s="5" customFormat="1" ht="26.25" customHeight="1" x14ac:dyDescent="0.25">
      <c r="A8" s="195"/>
      <c r="B8" s="299"/>
      <c r="C8" s="204"/>
      <c r="D8" s="304" t="s">
        <v>129</v>
      </c>
      <c r="E8" s="203" t="s">
        <v>130</v>
      </c>
      <c r="F8" s="203" t="s">
        <v>131</v>
      </c>
      <c r="G8" s="203" t="s">
        <v>128</v>
      </c>
      <c r="H8" s="221"/>
      <c r="I8" s="195"/>
      <c r="J8" s="196"/>
      <c r="K8" s="201"/>
    </row>
    <row r="9" spans="1:11" s="5" customFormat="1" ht="26.25" customHeight="1" thickBot="1" x14ac:dyDescent="0.3">
      <c r="A9" s="195"/>
      <c r="B9" s="299"/>
      <c r="C9" s="204"/>
      <c r="D9" s="205"/>
      <c r="E9" s="149"/>
      <c r="F9" s="149"/>
      <c r="G9" s="149"/>
      <c r="H9" s="222"/>
      <c r="I9" s="195"/>
      <c r="J9" s="196"/>
      <c r="K9" s="201"/>
    </row>
    <row r="10" spans="1:11" s="45" customFormat="1" ht="19.5" customHeight="1" x14ac:dyDescent="0.25">
      <c r="A10" s="120">
        <f>Page1!A9</f>
        <v>0</v>
      </c>
      <c r="B10" s="121">
        <f>Page1!B9</f>
        <v>0</v>
      </c>
      <c r="C10" s="300">
        <f>Page1!C9</f>
        <v>0</v>
      </c>
      <c r="D10" s="72"/>
      <c r="E10" s="23"/>
      <c r="F10" s="23"/>
      <c r="G10" s="73"/>
      <c r="H10" s="74"/>
      <c r="I10" s="195"/>
      <c r="J10" s="196"/>
      <c r="K10" s="201"/>
    </row>
    <row r="11" spans="1:11" s="45" customFormat="1" ht="19.5" customHeight="1" x14ac:dyDescent="0.25">
      <c r="A11" s="122">
        <f>Page1!A10</f>
        <v>0</v>
      </c>
      <c r="B11" s="123">
        <f>Page1!B10</f>
        <v>0</v>
      </c>
      <c r="C11" s="301">
        <f>Page1!C10</f>
        <v>0</v>
      </c>
      <c r="D11" s="75"/>
      <c r="E11" s="26"/>
      <c r="F11" s="26"/>
      <c r="G11" s="76"/>
      <c r="H11" s="77"/>
      <c r="I11" s="195"/>
      <c r="J11" s="196"/>
      <c r="K11" s="201"/>
    </row>
    <row r="12" spans="1:11" s="45" customFormat="1" ht="19.5" customHeight="1" x14ac:dyDescent="0.25">
      <c r="A12" s="122">
        <f>Page1!A11</f>
        <v>0</v>
      </c>
      <c r="B12" s="123">
        <f>Page1!B11</f>
        <v>0</v>
      </c>
      <c r="C12" s="302">
        <f>Page1!C11</f>
        <v>0</v>
      </c>
      <c r="D12" s="75"/>
      <c r="E12" s="26"/>
      <c r="F12" s="26"/>
      <c r="G12" s="76"/>
      <c r="H12" s="77"/>
      <c r="I12" s="195"/>
      <c r="J12" s="196"/>
      <c r="K12" s="201"/>
    </row>
    <row r="13" spans="1:11" s="45" customFormat="1" ht="19.5" customHeight="1" x14ac:dyDescent="0.25">
      <c r="A13" s="122">
        <f>Page1!A12</f>
        <v>0</v>
      </c>
      <c r="B13" s="124">
        <f>Page1!B12</f>
        <v>0</v>
      </c>
      <c r="C13" s="302">
        <f>Page1!C12</f>
        <v>0</v>
      </c>
      <c r="D13" s="72"/>
      <c r="E13" s="23"/>
      <c r="F13" s="23"/>
      <c r="G13" s="73"/>
      <c r="H13" s="77"/>
      <c r="I13" s="195"/>
      <c r="J13" s="196"/>
      <c r="K13" s="201"/>
    </row>
    <row r="14" spans="1:11" s="45" customFormat="1" ht="19.5" customHeight="1" x14ac:dyDescent="0.25">
      <c r="A14" s="122">
        <f>Page1!A13</f>
        <v>0</v>
      </c>
      <c r="B14" s="123">
        <f>Page1!B13</f>
        <v>0</v>
      </c>
      <c r="C14" s="301">
        <f>Page1!C13</f>
        <v>0</v>
      </c>
      <c r="D14" s="75"/>
      <c r="E14" s="26"/>
      <c r="F14" s="26"/>
      <c r="G14" s="76"/>
      <c r="H14" s="77"/>
      <c r="I14" s="195"/>
      <c r="J14" s="196"/>
      <c r="K14" s="201"/>
    </row>
    <row r="15" spans="1:11" s="45" customFormat="1" ht="19.5" customHeight="1" x14ac:dyDescent="0.25">
      <c r="A15" s="122">
        <f>Page1!A14</f>
        <v>0</v>
      </c>
      <c r="B15" s="123">
        <f>Page1!B14</f>
        <v>0</v>
      </c>
      <c r="C15" s="301">
        <f>Page1!C14</f>
        <v>0</v>
      </c>
      <c r="D15" s="75"/>
      <c r="E15" s="26"/>
      <c r="F15" s="26"/>
      <c r="G15" s="76"/>
      <c r="H15" s="77"/>
      <c r="I15" s="195"/>
      <c r="J15" s="196"/>
      <c r="K15" s="201"/>
    </row>
    <row r="16" spans="1:11" s="45" customFormat="1" ht="19.5" customHeight="1" x14ac:dyDescent="0.25">
      <c r="A16" s="122">
        <f>Page1!A15</f>
        <v>0</v>
      </c>
      <c r="B16" s="123">
        <f>Page1!B15</f>
        <v>0</v>
      </c>
      <c r="C16" s="301">
        <f>Page1!C15</f>
        <v>0</v>
      </c>
      <c r="D16" s="75"/>
      <c r="E16" s="26"/>
      <c r="F16" s="26"/>
      <c r="G16" s="76"/>
      <c r="H16" s="77"/>
      <c r="I16" s="195"/>
      <c r="J16" s="196"/>
      <c r="K16" s="201"/>
    </row>
    <row r="17" spans="1:11" s="45" customFormat="1" ht="19.5" customHeight="1" x14ac:dyDescent="0.25">
      <c r="A17" s="122">
        <f>Page1!A16</f>
        <v>0</v>
      </c>
      <c r="B17" s="123">
        <f>Page1!B16</f>
        <v>0</v>
      </c>
      <c r="C17" s="301">
        <f>Page1!C16</f>
        <v>0</v>
      </c>
      <c r="D17" s="75"/>
      <c r="E17" s="26"/>
      <c r="F17" s="26"/>
      <c r="G17" s="76"/>
      <c r="H17" s="77"/>
      <c r="I17" s="195"/>
      <c r="J17" s="196"/>
      <c r="K17" s="201"/>
    </row>
    <row r="18" spans="1:11" s="45" customFormat="1" ht="19.5" customHeight="1" x14ac:dyDescent="0.25">
      <c r="A18" s="122">
        <f>Page1!A17</f>
        <v>0</v>
      </c>
      <c r="B18" s="125">
        <f>Page1!B17</f>
        <v>0</v>
      </c>
      <c r="C18" s="301">
        <f>Page1!C17</f>
        <v>0</v>
      </c>
      <c r="D18" s="75"/>
      <c r="E18" s="26"/>
      <c r="F18" s="26"/>
      <c r="G18" s="76"/>
      <c r="H18" s="77"/>
      <c r="I18" s="195"/>
      <c r="J18" s="196"/>
      <c r="K18" s="201"/>
    </row>
    <row r="19" spans="1:11" s="45" customFormat="1" ht="19.5" customHeight="1" x14ac:dyDescent="0.25">
      <c r="A19" s="122">
        <f>Page1!A18</f>
        <v>0</v>
      </c>
      <c r="B19" s="123">
        <f>Page1!B18</f>
        <v>0</v>
      </c>
      <c r="C19" s="301">
        <f>Page1!C18</f>
        <v>0</v>
      </c>
      <c r="D19" s="75"/>
      <c r="E19" s="26"/>
      <c r="F19" s="26"/>
      <c r="G19" s="76"/>
      <c r="H19" s="77"/>
      <c r="I19" s="195"/>
      <c r="J19" s="196"/>
      <c r="K19" s="201"/>
    </row>
    <row r="20" spans="1:11" s="45" customFormat="1" ht="19.5" customHeight="1" x14ac:dyDescent="0.25">
      <c r="A20" s="126">
        <f>Page1!A19</f>
        <v>0</v>
      </c>
      <c r="B20" s="125">
        <f>Page1!B19</f>
        <v>0</v>
      </c>
      <c r="C20" s="302">
        <f>Page1!C19</f>
        <v>0</v>
      </c>
      <c r="D20" s="75"/>
      <c r="E20" s="26"/>
      <c r="F20" s="26"/>
      <c r="G20" s="76"/>
      <c r="H20" s="77"/>
      <c r="I20" s="195"/>
      <c r="J20" s="196"/>
      <c r="K20" s="201"/>
    </row>
    <row r="21" spans="1:11" s="45" customFormat="1" ht="19.5" customHeight="1" x14ac:dyDescent="0.25">
      <c r="A21" s="122">
        <f>Page1!A20</f>
        <v>0</v>
      </c>
      <c r="B21" s="123">
        <f>Page1!B20</f>
        <v>0</v>
      </c>
      <c r="C21" s="301">
        <f>Page1!C20</f>
        <v>0</v>
      </c>
      <c r="D21" s="75"/>
      <c r="E21" s="26"/>
      <c r="F21" s="26"/>
      <c r="G21" s="76"/>
      <c r="H21" s="77"/>
      <c r="I21" s="195"/>
      <c r="J21" s="196"/>
      <c r="K21" s="201"/>
    </row>
    <row r="22" spans="1:11" s="45" customFormat="1" ht="19.5" customHeight="1" x14ac:dyDescent="0.25">
      <c r="A22" s="122">
        <f>Page1!A21</f>
        <v>0</v>
      </c>
      <c r="B22" s="123">
        <f>Page1!B21</f>
        <v>0</v>
      </c>
      <c r="C22" s="302">
        <f>Page1!C21</f>
        <v>0</v>
      </c>
      <c r="D22" s="75"/>
      <c r="E22" s="26"/>
      <c r="F22" s="26"/>
      <c r="G22" s="76"/>
      <c r="H22" s="77"/>
      <c r="I22" s="195"/>
      <c r="J22" s="196"/>
      <c r="K22" s="201"/>
    </row>
    <row r="23" spans="1:11" s="45" customFormat="1" ht="19.5" customHeight="1" x14ac:dyDescent="0.25">
      <c r="A23" s="122">
        <f>Page1!A22</f>
        <v>0</v>
      </c>
      <c r="B23" s="124">
        <f>Page1!B22</f>
        <v>0</v>
      </c>
      <c r="C23" s="302">
        <f>Page1!C22</f>
        <v>0</v>
      </c>
      <c r="D23" s="75"/>
      <c r="E23" s="26"/>
      <c r="F23" s="26"/>
      <c r="G23" s="76"/>
      <c r="H23" s="77"/>
      <c r="I23" s="195"/>
      <c r="J23" s="196"/>
      <c r="K23" s="201"/>
    </row>
    <row r="24" spans="1:11" s="45" customFormat="1" ht="19.5" customHeight="1" x14ac:dyDescent="0.25">
      <c r="A24" s="122">
        <f>Page1!A23</f>
        <v>0</v>
      </c>
      <c r="B24" s="123">
        <f>Page1!B23</f>
        <v>0</v>
      </c>
      <c r="C24" s="301">
        <f>Page1!C23</f>
        <v>0</v>
      </c>
      <c r="D24" s="75"/>
      <c r="E24" s="26"/>
      <c r="F24" s="26"/>
      <c r="G24" s="76"/>
      <c r="H24" s="77"/>
      <c r="I24" s="195"/>
      <c r="J24" s="196"/>
      <c r="K24" s="201"/>
    </row>
    <row r="25" spans="1:11" s="45" customFormat="1" ht="19.5" customHeight="1" x14ac:dyDescent="0.25">
      <c r="A25" s="122">
        <f>Page1!A24</f>
        <v>0</v>
      </c>
      <c r="B25" s="123">
        <f>Page1!B24</f>
        <v>0</v>
      </c>
      <c r="C25" s="301">
        <f>Page1!C24</f>
        <v>0</v>
      </c>
      <c r="D25" s="75"/>
      <c r="E25" s="26"/>
      <c r="F25" s="26"/>
      <c r="G25" s="76"/>
      <c r="H25" s="77"/>
      <c r="I25" s="195"/>
      <c r="J25" s="196"/>
      <c r="K25" s="201"/>
    </row>
    <row r="26" spans="1:11" s="45" customFormat="1" ht="19.5" customHeight="1" x14ac:dyDescent="0.25">
      <c r="A26" s="122">
        <f>Page1!A25</f>
        <v>0</v>
      </c>
      <c r="B26" s="123">
        <f>Page1!B25</f>
        <v>0</v>
      </c>
      <c r="C26" s="301">
        <f>Page1!C25</f>
        <v>0</v>
      </c>
      <c r="D26" s="75"/>
      <c r="E26" s="26"/>
      <c r="F26" s="26"/>
      <c r="G26" s="76"/>
      <c r="H26" s="77"/>
      <c r="I26" s="195"/>
      <c r="J26" s="196"/>
      <c r="K26" s="201"/>
    </row>
    <row r="27" spans="1:11" s="45" customFormat="1" ht="19.5" customHeight="1" x14ac:dyDescent="0.25">
      <c r="A27" s="122">
        <f>Page1!A26</f>
        <v>0</v>
      </c>
      <c r="B27" s="123">
        <f>Page1!B26</f>
        <v>0</v>
      </c>
      <c r="C27" s="301">
        <f>Page1!C26</f>
        <v>0</v>
      </c>
      <c r="D27" s="75"/>
      <c r="E27" s="26"/>
      <c r="F27" s="26"/>
      <c r="G27" s="76"/>
      <c r="H27" s="77"/>
      <c r="I27" s="195"/>
      <c r="J27" s="196"/>
      <c r="K27" s="201"/>
    </row>
    <row r="28" spans="1:11" s="45" customFormat="1" ht="19.5" customHeight="1" x14ac:dyDescent="0.25">
      <c r="A28" s="122">
        <f>Page1!A27</f>
        <v>0</v>
      </c>
      <c r="B28" s="125">
        <f>Page1!B27</f>
        <v>0</v>
      </c>
      <c r="C28" s="301">
        <f>Page1!C27</f>
        <v>0</v>
      </c>
      <c r="D28" s="75"/>
      <c r="E28" s="26"/>
      <c r="F28" s="26"/>
      <c r="G28" s="76"/>
      <c r="H28" s="77"/>
      <c r="I28" s="195"/>
      <c r="J28" s="196"/>
      <c r="K28" s="201"/>
    </row>
    <row r="29" spans="1:11" s="45" customFormat="1" ht="19.5" customHeight="1" x14ac:dyDescent="0.25">
      <c r="A29" s="122">
        <f>Page1!A28</f>
        <v>0</v>
      </c>
      <c r="B29" s="123">
        <f>Page1!B28</f>
        <v>0</v>
      </c>
      <c r="C29" s="301">
        <f>Page1!C28</f>
        <v>0</v>
      </c>
      <c r="D29" s="75"/>
      <c r="E29" s="26"/>
      <c r="F29" s="26"/>
      <c r="G29" s="76"/>
      <c r="H29" s="77"/>
      <c r="I29" s="195"/>
      <c r="J29" s="196"/>
      <c r="K29" s="201"/>
    </row>
    <row r="30" spans="1:11" s="45" customFormat="1" ht="19.5" customHeight="1" x14ac:dyDescent="0.25">
      <c r="A30" s="126">
        <f>Page1!A29</f>
        <v>0</v>
      </c>
      <c r="B30" s="125">
        <f>Page1!B29</f>
        <v>0</v>
      </c>
      <c r="C30" s="302">
        <f>Page1!C29</f>
        <v>0</v>
      </c>
      <c r="D30" s="75"/>
      <c r="E30" s="26"/>
      <c r="F30" s="26"/>
      <c r="G30" s="76"/>
      <c r="H30" s="77"/>
      <c r="I30" s="195"/>
      <c r="J30" s="196"/>
      <c r="K30" s="201"/>
    </row>
    <row r="31" spans="1:11" s="45" customFormat="1" ht="19.5" customHeight="1" x14ac:dyDescent="0.25">
      <c r="A31" s="122">
        <f>Page1!A30</f>
        <v>0</v>
      </c>
      <c r="B31" s="123">
        <f>Page1!B30</f>
        <v>0</v>
      </c>
      <c r="C31" s="301">
        <f>Page1!C30</f>
        <v>0</v>
      </c>
      <c r="D31" s="75"/>
      <c r="E31" s="26"/>
      <c r="F31" s="26"/>
      <c r="G31" s="76"/>
      <c r="H31" s="77"/>
      <c r="I31" s="195"/>
      <c r="J31" s="196"/>
      <c r="K31" s="201"/>
    </row>
    <row r="32" spans="1:11" s="45" customFormat="1" ht="19.5" customHeight="1" x14ac:dyDescent="0.25">
      <c r="A32" s="122">
        <f>Page1!A31</f>
        <v>0</v>
      </c>
      <c r="B32" s="123">
        <f>Page1!B31</f>
        <v>0</v>
      </c>
      <c r="C32" s="302">
        <f>Page1!C31</f>
        <v>0</v>
      </c>
      <c r="D32" s="75"/>
      <c r="E32" s="26"/>
      <c r="F32" s="26"/>
      <c r="G32" s="76"/>
      <c r="H32" s="77"/>
      <c r="I32" s="195"/>
      <c r="J32" s="196"/>
      <c r="K32" s="201"/>
    </row>
    <row r="33" spans="1:11" s="45" customFormat="1" ht="19.5" customHeight="1" x14ac:dyDescent="0.25">
      <c r="A33" s="122">
        <f>Page1!A32</f>
        <v>0</v>
      </c>
      <c r="B33" s="124">
        <f>Page1!B32</f>
        <v>0</v>
      </c>
      <c r="C33" s="302">
        <f>Page1!C32</f>
        <v>0</v>
      </c>
      <c r="D33" s="75"/>
      <c r="E33" s="26"/>
      <c r="F33" s="26"/>
      <c r="G33" s="76"/>
      <c r="H33" s="77"/>
      <c r="I33" s="195"/>
      <c r="J33" s="196"/>
      <c r="K33" s="201"/>
    </row>
    <row r="34" spans="1:11" s="45" customFormat="1" ht="19.5" customHeight="1" x14ac:dyDescent="0.25">
      <c r="A34" s="122">
        <f>Page1!A33</f>
        <v>0</v>
      </c>
      <c r="B34" s="123">
        <f>Page1!B33</f>
        <v>0</v>
      </c>
      <c r="C34" s="301">
        <f>Page1!C33</f>
        <v>0</v>
      </c>
      <c r="D34" s="75"/>
      <c r="E34" s="26"/>
      <c r="F34" s="26"/>
      <c r="G34" s="76"/>
      <c r="H34" s="77"/>
      <c r="I34" s="195"/>
      <c r="J34" s="196"/>
      <c r="K34" s="201"/>
    </row>
    <row r="35" spans="1:11" s="45" customFormat="1" ht="19.5" customHeight="1" x14ac:dyDescent="0.25">
      <c r="A35" s="122">
        <f>Page1!A34</f>
        <v>0</v>
      </c>
      <c r="B35" s="123">
        <f>Page1!B34</f>
        <v>0</v>
      </c>
      <c r="C35" s="301">
        <f>Page1!C34</f>
        <v>0</v>
      </c>
      <c r="D35" s="75"/>
      <c r="E35" s="26"/>
      <c r="F35" s="26"/>
      <c r="G35" s="76"/>
      <c r="H35" s="77"/>
      <c r="I35" s="195"/>
      <c r="J35" s="196"/>
      <c r="K35" s="201"/>
    </row>
    <row r="36" spans="1:11" s="45" customFormat="1" ht="19.5" customHeight="1" x14ac:dyDescent="0.25">
      <c r="A36" s="122">
        <f>Page1!A35</f>
        <v>0</v>
      </c>
      <c r="B36" s="123">
        <f>Page1!B35</f>
        <v>0</v>
      </c>
      <c r="C36" s="301">
        <f>Page1!C35</f>
        <v>0</v>
      </c>
      <c r="D36" s="75"/>
      <c r="E36" s="26"/>
      <c r="F36" s="26"/>
      <c r="G36" s="76"/>
      <c r="H36" s="77"/>
      <c r="I36" s="195"/>
      <c r="J36" s="196"/>
      <c r="K36" s="201"/>
    </row>
    <row r="37" spans="1:11" s="45" customFormat="1" ht="19.5" customHeight="1" x14ac:dyDescent="0.25">
      <c r="A37" s="122">
        <f>Page1!A36</f>
        <v>0</v>
      </c>
      <c r="B37" s="123">
        <f>Page1!B36</f>
        <v>0</v>
      </c>
      <c r="C37" s="301">
        <f>Page1!C36</f>
        <v>0</v>
      </c>
      <c r="D37" s="75"/>
      <c r="E37" s="26"/>
      <c r="F37" s="26"/>
      <c r="G37" s="76"/>
      <c r="H37" s="77"/>
      <c r="I37" s="195"/>
      <c r="J37" s="196"/>
      <c r="K37" s="201"/>
    </row>
    <row r="38" spans="1:11" s="45" customFormat="1" ht="19.5" customHeight="1" x14ac:dyDescent="0.25">
      <c r="A38" s="122">
        <f>Page1!A37</f>
        <v>0</v>
      </c>
      <c r="B38" s="123">
        <f>Page1!B37</f>
        <v>0</v>
      </c>
      <c r="C38" s="301">
        <f>Page1!C37</f>
        <v>0</v>
      </c>
      <c r="D38" s="75"/>
      <c r="E38" s="26"/>
      <c r="F38" s="26"/>
      <c r="G38" s="76"/>
      <c r="H38" s="77"/>
      <c r="I38" s="195"/>
      <c r="J38" s="196"/>
      <c r="K38" s="201"/>
    </row>
    <row r="39" spans="1:11" s="45" customFormat="1" ht="19.5" customHeight="1" thickBot="1" x14ac:dyDescent="0.3">
      <c r="A39" s="127">
        <f>Page1!A38</f>
        <v>0</v>
      </c>
      <c r="B39" s="128">
        <f>Page1!B38</f>
        <v>0</v>
      </c>
      <c r="C39" s="303">
        <f>Page1!C38</f>
        <v>0</v>
      </c>
      <c r="D39" s="75"/>
      <c r="E39" s="26"/>
      <c r="F39" s="26"/>
      <c r="G39" s="76"/>
      <c r="H39" s="77"/>
      <c r="I39" s="195"/>
      <c r="J39" s="196"/>
      <c r="K39" s="201"/>
    </row>
    <row r="40" spans="1:11" s="45" customFormat="1" ht="19.5" customHeight="1" x14ac:dyDescent="0.25">
      <c r="A40" s="226" t="s">
        <v>26</v>
      </c>
      <c r="B40" s="227"/>
      <c r="C40" s="227"/>
      <c r="D40" s="78" t="e">
        <f>AVERAGE(D10:D39)</f>
        <v>#DIV/0!</v>
      </c>
      <c r="E40" s="35" t="e">
        <f>AVERAGE(E10:E39)</f>
        <v>#DIV/0!</v>
      </c>
      <c r="F40" s="35" t="e">
        <f>AVERAGE(F10:F39)</f>
        <v>#DIV/0!</v>
      </c>
      <c r="G40" s="35" t="e">
        <f>AVERAGE(G10:G39)</f>
        <v>#DIV/0!</v>
      </c>
      <c r="H40" s="79" t="e">
        <f>AVERAGE(H10:H39)</f>
        <v>#DIV/0!</v>
      </c>
      <c r="I40" s="196"/>
      <c r="J40" s="196"/>
      <c r="K40" s="201"/>
    </row>
    <row r="41" spans="1:11" s="45" customFormat="1" ht="19.5" customHeight="1" x14ac:dyDescent="0.25">
      <c r="A41" s="171" t="s">
        <v>31</v>
      </c>
      <c r="B41" s="172"/>
      <c r="C41" s="172"/>
      <c r="D41" s="80">
        <f>MIN(D10:D39)</f>
        <v>0</v>
      </c>
      <c r="E41" s="38">
        <f>MIN(E10:E39)</f>
        <v>0</v>
      </c>
      <c r="F41" s="38">
        <f>MIN(F10:F39)</f>
        <v>0</v>
      </c>
      <c r="G41" s="38">
        <f>MIN(G10:G39)</f>
        <v>0</v>
      </c>
      <c r="H41" s="81">
        <f>MIN(H10:H39)</f>
        <v>0</v>
      </c>
      <c r="I41" s="196"/>
      <c r="J41" s="196"/>
      <c r="K41" s="201"/>
    </row>
    <row r="42" spans="1:11" s="5" customFormat="1" ht="19.5" customHeight="1" thickBot="1" x14ac:dyDescent="0.3">
      <c r="A42" s="214" t="s">
        <v>32</v>
      </c>
      <c r="B42" s="215"/>
      <c r="C42" s="215"/>
      <c r="D42" s="82">
        <f>MAX(D10:D39)</f>
        <v>0</v>
      </c>
      <c r="E42" s="83">
        <f>MAX(E10:E39)</f>
        <v>0</v>
      </c>
      <c r="F42" s="83">
        <f>MAX(F10:F39)</f>
        <v>0</v>
      </c>
      <c r="G42" s="83">
        <f>MAX(G10:G39)</f>
        <v>0</v>
      </c>
      <c r="H42" s="84">
        <f>MAX(H10:H39)</f>
        <v>0</v>
      </c>
      <c r="I42" s="199"/>
      <c r="J42" s="199"/>
      <c r="K42" s="202"/>
    </row>
    <row r="43" spans="1:11" s="45" customFormat="1" ht="16.5" customHeight="1" x14ac:dyDescent="0.25">
      <c r="A43" s="44" t="s">
        <v>20</v>
      </c>
      <c r="B43" s="167"/>
      <c r="C43" s="167"/>
      <c r="D43" s="44" t="s">
        <v>22</v>
      </c>
      <c r="F43" s="46"/>
      <c r="G43" s="47"/>
      <c r="H43" s="6"/>
      <c r="I43" s="6" t="s">
        <v>40</v>
      </c>
      <c r="J43" s="48"/>
      <c r="K43" s="49" t="s">
        <v>24</v>
      </c>
    </row>
    <row r="44" spans="1:11" s="45" customFormat="1" ht="16.5" customHeight="1" x14ac:dyDescent="0.25">
      <c r="A44" s="50"/>
      <c r="B44" s="168"/>
      <c r="C44" s="168"/>
      <c r="D44" s="44"/>
      <c r="F44" s="46"/>
      <c r="G44" s="47"/>
      <c r="H44" s="6"/>
      <c r="I44" s="7"/>
      <c r="J44" s="51"/>
    </row>
    <row r="45" spans="1:11" s="45" customFormat="1" ht="16.5" customHeight="1" x14ac:dyDescent="0.25">
      <c r="A45" s="152" t="s">
        <v>21</v>
      </c>
      <c r="B45" s="152"/>
      <c r="C45" s="152"/>
      <c r="D45" s="44"/>
      <c r="E45" s="44"/>
      <c r="F45" s="47" t="s">
        <v>132</v>
      </c>
      <c r="G45" s="46">
        <f>Page1!G44</f>
        <v>461359700</v>
      </c>
      <c r="H45" s="44"/>
    </row>
    <row r="46" spans="1:11" s="45" customFormat="1" ht="16.5" customHeight="1" x14ac:dyDescent="0.25">
      <c r="A46" s="152" t="s">
        <v>133</v>
      </c>
      <c r="B46" s="152"/>
      <c r="C46" s="152"/>
      <c r="D46" s="44"/>
      <c r="E46" s="44"/>
      <c r="F46" s="44"/>
      <c r="I46" s="44"/>
      <c r="J46" s="52"/>
      <c r="K46" s="52" t="s">
        <v>37</v>
      </c>
    </row>
    <row r="47" spans="1:11" x14ac:dyDescent="0.25">
      <c r="A47" s="53"/>
      <c r="B47" s="53"/>
      <c r="C47" s="53"/>
      <c r="D47" s="53"/>
      <c r="E47" s="53"/>
      <c r="F47" s="53"/>
      <c r="G47" s="53"/>
      <c r="H47" s="53"/>
      <c r="I47" s="54"/>
      <c r="J47" s="54"/>
      <c r="K47" s="54"/>
    </row>
  </sheetData>
  <mergeCells count="25">
    <mergeCell ref="A46:C46"/>
    <mergeCell ref="I6:K42"/>
    <mergeCell ref="H7:H9"/>
    <mergeCell ref="A6:C6"/>
    <mergeCell ref="D6:G6"/>
    <mergeCell ref="A45:C45"/>
    <mergeCell ref="D7:G7"/>
    <mergeCell ref="A40:C40"/>
    <mergeCell ref="A41:C41"/>
    <mergeCell ref="A42:C42"/>
    <mergeCell ref="A7:C9"/>
    <mergeCell ref="D8:D9"/>
    <mergeCell ref="E8:E9"/>
    <mergeCell ref="F8:F9"/>
    <mergeCell ref="G8:G9"/>
    <mergeCell ref="B43:C43"/>
    <mergeCell ref="B44:C44"/>
    <mergeCell ref="J4:K4"/>
    <mergeCell ref="J5:K5"/>
    <mergeCell ref="A1:J1"/>
    <mergeCell ref="A2:J2"/>
    <mergeCell ref="A4:B4"/>
    <mergeCell ref="C4:D4"/>
    <mergeCell ref="A5:B5"/>
    <mergeCell ref="C5:D5"/>
  </mergeCells>
  <conditionalFormatting sqref="D10:D42">
    <cfRule type="cellIs" dxfId="3" priority="4" operator="notBetween">
      <formula>55</formula>
      <formula>65</formula>
    </cfRule>
  </conditionalFormatting>
  <conditionalFormatting sqref="E10:E42">
    <cfRule type="cellIs" dxfId="2" priority="3" operator="notBetween">
      <formula>45</formula>
      <formula>55</formula>
    </cfRule>
  </conditionalFormatting>
  <conditionalFormatting sqref="F10:F42">
    <cfRule type="cellIs" dxfId="1" priority="2" operator="notBetween">
      <formula>-16</formula>
      <formula>-6</formula>
    </cfRule>
  </conditionalFormatting>
  <conditionalFormatting sqref="G10:H42">
    <cfRule type="cellIs" dxfId="0" priority="1" operator="notBetween">
      <formula>0</formula>
      <formula>4</formula>
    </cfRule>
  </conditionalFormatting>
  <pageMargins left="0.39370078740157483" right="0.19685039370078741" top="0.11811023622047245" bottom="0.11811023622047245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G47"/>
  <sheetViews>
    <sheetView view="pageBreakPreview" zoomScaleNormal="100" zoomScaleSheetLayoutView="100" workbookViewId="0">
      <selection activeCell="B7" sqref="B7"/>
    </sheetView>
  </sheetViews>
  <sheetFormatPr defaultRowHeight="15" x14ac:dyDescent="0.25"/>
  <cols>
    <col min="1" max="2" width="21.42578125" style="86" customWidth="1"/>
    <col min="3" max="5" width="12.85546875" style="86" customWidth="1"/>
    <col min="6" max="6" width="17.140625" style="86" customWidth="1"/>
    <col min="7" max="7" width="21.42578125" style="86" customWidth="1"/>
    <col min="8" max="16384" width="9.140625" style="117"/>
  </cols>
  <sheetData>
    <row r="1" spans="1:7" s="86" customFormat="1" x14ac:dyDescent="0.25">
      <c r="A1" s="279" t="s">
        <v>41</v>
      </c>
      <c r="B1" s="280"/>
      <c r="C1" s="280"/>
      <c r="D1" s="280"/>
      <c r="E1" s="280"/>
      <c r="F1" s="280"/>
      <c r="G1" s="281"/>
    </row>
    <row r="2" spans="1:7" s="86" customFormat="1" x14ac:dyDescent="0.25">
      <c r="A2" s="87"/>
      <c r="B2" s="88"/>
      <c r="C2" s="88"/>
      <c r="D2" s="88"/>
      <c r="E2" s="88"/>
      <c r="F2" s="88"/>
      <c r="G2" s="89" t="s">
        <v>42</v>
      </c>
    </row>
    <row r="3" spans="1:7" s="86" customFormat="1" ht="19.5" customHeight="1" x14ac:dyDescent="0.25">
      <c r="A3" s="287" t="s">
        <v>140</v>
      </c>
      <c r="B3" s="288"/>
      <c r="C3" s="288"/>
      <c r="D3" s="288"/>
      <c r="E3" s="288"/>
      <c r="F3" s="288"/>
      <c r="G3" s="289"/>
    </row>
    <row r="4" spans="1:7" s="86" customFormat="1" ht="19.5" customHeight="1" x14ac:dyDescent="0.25">
      <c r="A4" s="195" t="s">
        <v>43</v>
      </c>
      <c r="B4" s="196"/>
      <c r="C4" s="196"/>
      <c r="D4" s="196"/>
      <c r="E4" s="196"/>
      <c r="F4" s="196"/>
      <c r="G4" s="201"/>
    </row>
    <row r="5" spans="1:7" s="86" customFormat="1" ht="19.5" customHeight="1" x14ac:dyDescent="0.25">
      <c r="A5" s="282" t="s">
        <v>44</v>
      </c>
      <c r="B5" s="283"/>
      <c r="C5" s="283"/>
      <c r="D5" s="283"/>
      <c r="E5" s="283"/>
      <c r="F5" s="283"/>
      <c r="G5" s="284"/>
    </row>
    <row r="6" spans="1:7" s="86" customFormat="1" ht="16.5" customHeight="1" x14ac:dyDescent="0.25">
      <c r="A6" s="90" t="s">
        <v>45</v>
      </c>
      <c r="B6" s="91" t="s">
        <v>46</v>
      </c>
      <c r="C6" s="92" t="s">
        <v>5</v>
      </c>
      <c r="D6" s="247">
        <f>Page1!H4</f>
        <v>0</v>
      </c>
      <c r="E6" s="249"/>
      <c r="F6" s="285" t="s">
        <v>47</v>
      </c>
      <c r="G6" s="270">
        <f>Page1!J4</f>
        <v>0</v>
      </c>
    </row>
    <row r="7" spans="1:7" s="86" customFormat="1" ht="16.5" customHeight="1" x14ac:dyDescent="0.25">
      <c r="A7" s="90" t="s">
        <v>48</v>
      </c>
      <c r="B7" s="94"/>
      <c r="C7" s="92" t="s">
        <v>49</v>
      </c>
      <c r="D7" s="247">
        <f>Page1!F5</f>
        <v>0</v>
      </c>
      <c r="E7" s="249"/>
      <c r="F7" s="285"/>
      <c r="G7" s="286"/>
    </row>
    <row r="8" spans="1:7" s="86" customFormat="1" ht="37.5" customHeight="1" x14ac:dyDescent="0.25">
      <c r="A8" s="90" t="s">
        <v>50</v>
      </c>
      <c r="B8" s="93">
        <f>Page1!C4</f>
        <v>0</v>
      </c>
      <c r="C8" s="92" t="s">
        <v>51</v>
      </c>
      <c r="D8" s="285">
        <f>Page1!H5</f>
        <v>0</v>
      </c>
      <c r="E8" s="285"/>
      <c r="F8" s="267" t="s">
        <v>9</v>
      </c>
      <c r="G8" s="270">
        <f>Page1!J5</f>
        <v>0</v>
      </c>
    </row>
    <row r="9" spans="1:7" s="86" customFormat="1" ht="16.5" customHeight="1" x14ac:dyDescent="0.25">
      <c r="A9" s="96" t="s">
        <v>52</v>
      </c>
      <c r="B9" s="95">
        <f>Page1!G44</f>
        <v>461359700</v>
      </c>
      <c r="C9" s="267" t="s">
        <v>53</v>
      </c>
      <c r="D9" s="273" t="s">
        <v>54</v>
      </c>
      <c r="E9" s="274"/>
      <c r="F9" s="268"/>
      <c r="G9" s="271"/>
    </row>
    <row r="10" spans="1:7" s="86" customFormat="1" ht="15.75" thickBot="1" x14ac:dyDescent="0.3">
      <c r="A10" s="97" t="s">
        <v>55</v>
      </c>
      <c r="B10" s="98">
        <f>Page1!C5</f>
        <v>0</v>
      </c>
      <c r="C10" s="269"/>
      <c r="D10" s="275"/>
      <c r="E10" s="276"/>
      <c r="F10" s="269"/>
      <c r="G10" s="272"/>
    </row>
    <row r="11" spans="1:7" s="86" customFormat="1" ht="16.5" customHeight="1" x14ac:dyDescent="0.25">
      <c r="A11" s="290" t="s">
        <v>56</v>
      </c>
      <c r="B11" s="292" t="s">
        <v>57</v>
      </c>
      <c r="C11" s="294" t="s">
        <v>18</v>
      </c>
      <c r="D11" s="295"/>
      <c r="E11" s="296"/>
      <c r="F11" s="292" t="s">
        <v>58</v>
      </c>
      <c r="G11" s="297" t="s">
        <v>59</v>
      </c>
    </row>
    <row r="12" spans="1:7" s="86" customFormat="1" ht="16.5" customHeight="1" thickBot="1" x14ac:dyDescent="0.3">
      <c r="A12" s="291"/>
      <c r="B12" s="293"/>
      <c r="C12" s="99" t="s">
        <v>60</v>
      </c>
      <c r="D12" s="99" t="s">
        <v>61</v>
      </c>
      <c r="E12" s="99" t="s">
        <v>62</v>
      </c>
      <c r="F12" s="293"/>
      <c r="G12" s="298"/>
    </row>
    <row r="13" spans="1:7" s="86" customFormat="1" ht="16.5" customHeight="1" x14ac:dyDescent="0.25">
      <c r="A13" s="100" t="s">
        <v>63</v>
      </c>
      <c r="B13" s="101" t="s">
        <v>64</v>
      </c>
      <c r="C13" s="102">
        <v>17</v>
      </c>
      <c r="D13" s="102">
        <v>18</v>
      </c>
      <c r="E13" s="102">
        <v>20</v>
      </c>
      <c r="F13" s="103" t="e">
        <f>Page1!D39</f>
        <v>#DIV/0!</v>
      </c>
      <c r="G13" s="18" t="s">
        <v>65</v>
      </c>
    </row>
    <row r="14" spans="1:7" s="86" customFormat="1" ht="16.5" customHeight="1" x14ac:dyDescent="0.25">
      <c r="A14" s="104" t="s">
        <v>66</v>
      </c>
      <c r="B14" s="105" t="s">
        <v>67</v>
      </c>
      <c r="C14" s="106">
        <v>18</v>
      </c>
      <c r="D14" s="106">
        <v>23</v>
      </c>
      <c r="E14" s="106">
        <v>28</v>
      </c>
      <c r="F14" s="107" t="e">
        <f>Page1!E39</f>
        <v>#DIV/0!</v>
      </c>
      <c r="G14" s="108" t="s">
        <v>68</v>
      </c>
    </row>
    <row r="15" spans="1:7" s="86" customFormat="1" ht="16.5" customHeight="1" x14ac:dyDescent="0.25">
      <c r="A15" s="104" t="s">
        <v>69</v>
      </c>
      <c r="B15" s="105" t="s">
        <v>70</v>
      </c>
      <c r="C15" s="106">
        <v>300</v>
      </c>
      <c r="D15" s="106" t="s">
        <v>39</v>
      </c>
      <c r="E15" s="106" t="s">
        <v>39</v>
      </c>
      <c r="F15" s="39" t="e">
        <f>Page1!K39</f>
        <v>#DIV/0!</v>
      </c>
      <c r="G15" s="277" t="s">
        <v>71</v>
      </c>
    </row>
    <row r="16" spans="1:7" s="86" customFormat="1" ht="16.5" customHeight="1" x14ac:dyDescent="0.25">
      <c r="A16" s="104" t="s">
        <v>72</v>
      </c>
      <c r="B16" s="105" t="s">
        <v>70</v>
      </c>
      <c r="C16" s="106">
        <v>300</v>
      </c>
      <c r="D16" s="106" t="s">
        <v>39</v>
      </c>
      <c r="E16" s="106" t="s">
        <v>39</v>
      </c>
      <c r="F16" s="39" t="e">
        <f>Page2!F41</f>
        <v>#DIV/0!</v>
      </c>
      <c r="G16" s="221"/>
    </row>
    <row r="17" spans="1:7" s="86" customFormat="1" ht="16.5" customHeight="1" x14ac:dyDescent="0.25">
      <c r="A17" s="104" t="s">
        <v>73</v>
      </c>
      <c r="B17" s="105" t="s">
        <v>70</v>
      </c>
      <c r="C17" s="106">
        <v>900</v>
      </c>
      <c r="D17" s="106" t="s">
        <v>39</v>
      </c>
      <c r="E17" s="106">
        <v>1200</v>
      </c>
      <c r="F17" s="39" t="e">
        <f>Page1!I39</f>
        <v>#DIV/0!</v>
      </c>
      <c r="G17" s="221"/>
    </row>
    <row r="18" spans="1:7" s="86" customFormat="1" ht="16.5" customHeight="1" x14ac:dyDescent="0.25">
      <c r="A18" s="104" t="s">
        <v>74</v>
      </c>
      <c r="B18" s="105" t="s">
        <v>70</v>
      </c>
      <c r="C18" s="106">
        <v>700</v>
      </c>
      <c r="D18" s="106" t="s">
        <v>39</v>
      </c>
      <c r="E18" s="106">
        <v>1000</v>
      </c>
      <c r="F18" s="39" t="e">
        <f>Page2!D41</f>
        <v>#DIV/0!</v>
      </c>
      <c r="G18" s="221"/>
    </row>
    <row r="19" spans="1:7" s="86" customFormat="1" ht="16.5" customHeight="1" x14ac:dyDescent="0.25">
      <c r="A19" s="104" t="s">
        <v>75</v>
      </c>
      <c r="B19" s="105" t="s">
        <v>76</v>
      </c>
      <c r="C19" s="106">
        <v>350</v>
      </c>
      <c r="D19" s="106" t="s">
        <v>39</v>
      </c>
      <c r="E19" s="106" t="s">
        <v>39</v>
      </c>
      <c r="F19" s="39" t="e">
        <f>Page1!J39</f>
        <v>#DIV/0!</v>
      </c>
      <c r="G19" s="221"/>
    </row>
    <row r="20" spans="1:7" s="86" customFormat="1" ht="16.5" customHeight="1" x14ac:dyDescent="0.25">
      <c r="A20" s="104" t="s">
        <v>77</v>
      </c>
      <c r="B20" s="105" t="s">
        <v>76</v>
      </c>
      <c r="C20" s="106">
        <v>400</v>
      </c>
      <c r="D20" s="106" t="s">
        <v>39</v>
      </c>
      <c r="E20" s="106" t="s">
        <v>39</v>
      </c>
      <c r="F20" s="39" t="e">
        <f>Page2!E41</f>
        <v>#DIV/0!</v>
      </c>
      <c r="G20" s="221"/>
    </row>
    <row r="21" spans="1:7" s="86" customFormat="1" ht="16.5" customHeight="1" x14ac:dyDescent="0.25">
      <c r="A21" s="104" t="s">
        <v>78</v>
      </c>
      <c r="B21" s="105" t="s">
        <v>39</v>
      </c>
      <c r="C21" s="38">
        <v>0.3</v>
      </c>
      <c r="D21" s="38">
        <v>0.45</v>
      </c>
      <c r="E21" s="38">
        <v>0.6</v>
      </c>
      <c r="F21" s="38" t="e">
        <f>Page1!G39</f>
        <v>#DIV/0!</v>
      </c>
      <c r="G21" s="221"/>
    </row>
    <row r="22" spans="1:7" s="86" customFormat="1" ht="16.5" customHeight="1" x14ac:dyDescent="0.25">
      <c r="A22" s="104" t="s">
        <v>79</v>
      </c>
      <c r="B22" s="105" t="s">
        <v>39</v>
      </c>
      <c r="C22" s="38">
        <v>0.6</v>
      </c>
      <c r="D22" s="38">
        <v>0.8</v>
      </c>
      <c r="E22" s="38">
        <v>1.4</v>
      </c>
      <c r="F22" s="38" t="e">
        <f>Page1!H39</f>
        <v>#DIV/0!</v>
      </c>
      <c r="G22" s="134"/>
    </row>
    <row r="23" spans="1:7" s="86" customFormat="1" ht="16.5" customHeight="1" x14ac:dyDescent="0.25">
      <c r="A23" s="104" t="s">
        <v>80</v>
      </c>
      <c r="B23" s="105" t="s">
        <v>81</v>
      </c>
      <c r="C23" s="39">
        <v>360</v>
      </c>
      <c r="D23" s="39">
        <v>380</v>
      </c>
      <c r="E23" s="39">
        <v>400</v>
      </c>
      <c r="F23" s="39" t="e">
        <f>Page1!F39</f>
        <v>#DIV/0!</v>
      </c>
      <c r="G23" s="108" t="s">
        <v>82</v>
      </c>
    </row>
    <row r="24" spans="1:7" s="86" customFormat="1" ht="16.5" customHeight="1" x14ac:dyDescent="0.25">
      <c r="A24" s="104" t="s">
        <v>83</v>
      </c>
      <c r="B24" s="105" t="s">
        <v>84</v>
      </c>
      <c r="C24" s="106" t="s">
        <v>39</v>
      </c>
      <c r="D24" s="39">
        <f>Page2!J9</f>
        <v>210</v>
      </c>
      <c r="E24" s="39">
        <f>Page2!J10</f>
        <v>213</v>
      </c>
      <c r="F24" s="39" t="e">
        <f>Page2!I41</f>
        <v>#DIV/0!</v>
      </c>
      <c r="G24" s="108" t="s">
        <v>85</v>
      </c>
    </row>
    <row r="25" spans="1:7" s="86" customFormat="1" ht="16.5" customHeight="1" x14ac:dyDescent="0.25">
      <c r="A25" s="104" t="s">
        <v>86</v>
      </c>
      <c r="B25" s="105" t="s">
        <v>87</v>
      </c>
      <c r="C25" s="39">
        <v>6000</v>
      </c>
      <c r="D25" s="106" t="s">
        <v>39</v>
      </c>
      <c r="E25" s="106" t="s">
        <v>39</v>
      </c>
      <c r="F25" s="39">
        <v>6000</v>
      </c>
      <c r="G25" s="108" t="s">
        <v>88</v>
      </c>
    </row>
    <row r="26" spans="1:7" s="86" customFormat="1" ht="16.5" customHeight="1" thickBot="1" x14ac:dyDescent="0.3">
      <c r="A26" s="110" t="s">
        <v>89</v>
      </c>
      <c r="B26" s="111" t="s">
        <v>84</v>
      </c>
      <c r="C26" s="56">
        <v>410</v>
      </c>
      <c r="D26" s="56">
        <v>430</v>
      </c>
      <c r="E26" s="112">
        <v>450</v>
      </c>
      <c r="F26" s="112" t="e">
        <f>Page2!K41</f>
        <v>#DIV/0!</v>
      </c>
      <c r="G26" s="109" t="s">
        <v>85</v>
      </c>
    </row>
    <row r="27" spans="1:7" s="86" customFormat="1" ht="16.5" customHeight="1" thickBot="1" x14ac:dyDescent="0.3">
      <c r="A27" s="261" t="s">
        <v>90</v>
      </c>
      <c r="B27" s="262"/>
      <c r="C27" s="262"/>
      <c r="D27" s="262"/>
      <c r="E27" s="262"/>
      <c r="F27" s="262"/>
      <c r="G27" s="263"/>
    </row>
    <row r="28" spans="1:7" s="86" customFormat="1" ht="16.5" customHeight="1" x14ac:dyDescent="0.25">
      <c r="A28" s="245" t="s">
        <v>91</v>
      </c>
      <c r="B28" s="246"/>
      <c r="C28" s="264" t="s">
        <v>127</v>
      </c>
      <c r="D28" s="265"/>
      <c r="E28" s="266"/>
      <c r="F28" s="113" t="s">
        <v>92</v>
      </c>
      <c r="G28" s="18" t="s">
        <v>119</v>
      </c>
    </row>
    <row r="29" spans="1:7" s="86" customFormat="1" ht="16.5" customHeight="1" x14ac:dyDescent="0.25">
      <c r="A29" s="250" t="s">
        <v>94</v>
      </c>
      <c r="B29" s="249"/>
      <c r="C29" s="255" t="s">
        <v>95</v>
      </c>
      <c r="D29" s="256"/>
      <c r="E29" s="257"/>
      <c r="F29" s="66" t="s">
        <v>92</v>
      </c>
      <c r="G29" s="108" t="s">
        <v>93</v>
      </c>
    </row>
    <row r="30" spans="1:7" s="86" customFormat="1" ht="16.5" customHeight="1" x14ac:dyDescent="0.25">
      <c r="A30" s="250" t="s">
        <v>96</v>
      </c>
      <c r="B30" s="249"/>
      <c r="C30" s="255" t="s">
        <v>97</v>
      </c>
      <c r="D30" s="256"/>
      <c r="E30" s="257"/>
      <c r="F30" s="66" t="s">
        <v>92</v>
      </c>
      <c r="G30" s="18" t="s">
        <v>119</v>
      </c>
    </row>
    <row r="31" spans="1:7" s="86" customFormat="1" ht="16.5" customHeight="1" x14ac:dyDescent="0.25">
      <c r="A31" s="250" t="s">
        <v>98</v>
      </c>
      <c r="B31" s="249"/>
      <c r="C31" s="255" t="s">
        <v>99</v>
      </c>
      <c r="D31" s="256"/>
      <c r="E31" s="257"/>
      <c r="F31" s="66" t="s">
        <v>92</v>
      </c>
      <c r="G31" s="108" t="s">
        <v>100</v>
      </c>
    </row>
    <row r="32" spans="1:7" s="86" customFormat="1" ht="16.5" customHeight="1" x14ac:dyDescent="0.25">
      <c r="A32" s="250" t="s">
        <v>101</v>
      </c>
      <c r="B32" s="249"/>
      <c r="C32" s="255" t="s">
        <v>102</v>
      </c>
      <c r="D32" s="256"/>
      <c r="E32" s="257"/>
      <c r="F32" s="66" t="s">
        <v>92</v>
      </c>
      <c r="G32" s="108" t="s">
        <v>93</v>
      </c>
    </row>
    <row r="33" spans="1:7" s="86" customFormat="1" ht="16.5" customHeight="1" x14ac:dyDescent="0.25">
      <c r="A33" s="250" t="s">
        <v>103</v>
      </c>
      <c r="B33" s="249"/>
      <c r="C33" s="255" t="s">
        <v>104</v>
      </c>
      <c r="D33" s="256"/>
      <c r="E33" s="257"/>
      <c r="F33" s="66" t="s">
        <v>92</v>
      </c>
      <c r="G33" s="108" t="s">
        <v>120</v>
      </c>
    </row>
    <row r="34" spans="1:7" s="86" customFormat="1" ht="33" customHeight="1" thickBot="1" x14ac:dyDescent="0.3">
      <c r="A34" s="144" t="s">
        <v>105</v>
      </c>
      <c r="B34" s="145"/>
      <c r="C34" s="258" t="s">
        <v>106</v>
      </c>
      <c r="D34" s="259"/>
      <c r="E34" s="260"/>
      <c r="F34" s="114" t="s">
        <v>92</v>
      </c>
      <c r="G34" s="129" t="s">
        <v>120</v>
      </c>
    </row>
    <row r="35" spans="1:7" s="86" customFormat="1" ht="16.5" customHeight="1" thickBot="1" x14ac:dyDescent="0.3">
      <c r="A35" s="261" t="s">
        <v>107</v>
      </c>
      <c r="B35" s="262"/>
      <c r="C35" s="262"/>
      <c r="D35" s="262"/>
      <c r="E35" s="262"/>
      <c r="F35" s="262"/>
      <c r="G35" s="263"/>
    </row>
    <row r="36" spans="1:7" s="86" customFormat="1" ht="16.5" customHeight="1" x14ac:dyDescent="0.25">
      <c r="A36" s="140" t="s">
        <v>108</v>
      </c>
      <c r="B36" s="141"/>
      <c r="C36" s="253" t="s">
        <v>97</v>
      </c>
      <c r="D36" s="254"/>
      <c r="E36" s="141"/>
      <c r="F36" s="10" t="s">
        <v>92</v>
      </c>
      <c r="G36" s="18" t="s">
        <v>119</v>
      </c>
    </row>
    <row r="37" spans="1:7" s="86" customFormat="1" ht="16.5" customHeight="1" x14ac:dyDescent="0.25">
      <c r="A37" s="245" t="s">
        <v>109</v>
      </c>
      <c r="B37" s="246"/>
      <c r="C37" s="247" t="s">
        <v>110</v>
      </c>
      <c r="D37" s="248"/>
      <c r="E37" s="249"/>
      <c r="F37" s="106" t="s">
        <v>92</v>
      </c>
      <c r="G37" s="108" t="s">
        <v>93</v>
      </c>
    </row>
    <row r="38" spans="1:7" s="86" customFormat="1" ht="16.5" customHeight="1" x14ac:dyDescent="0.25">
      <c r="A38" s="250" t="s">
        <v>111</v>
      </c>
      <c r="B38" s="249"/>
      <c r="C38" s="247" t="s">
        <v>112</v>
      </c>
      <c r="D38" s="248"/>
      <c r="E38" s="249"/>
      <c r="F38" s="106" t="s">
        <v>92</v>
      </c>
      <c r="G38" s="108" t="s">
        <v>93</v>
      </c>
    </row>
    <row r="39" spans="1:7" s="86" customFormat="1" ht="16.5" customHeight="1" thickBot="1" x14ac:dyDescent="0.3">
      <c r="A39" s="144" t="s">
        <v>113</v>
      </c>
      <c r="B39" s="145"/>
      <c r="C39" s="251" t="s">
        <v>114</v>
      </c>
      <c r="D39" s="252"/>
      <c r="E39" s="145"/>
      <c r="F39" s="1" t="s">
        <v>92</v>
      </c>
      <c r="G39" s="109" t="s">
        <v>85</v>
      </c>
    </row>
    <row r="40" spans="1:7" s="86" customFormat="1" ht="16.5" customHeight="1" x14ac:dyDescent="0.25">
      <c r="A40" s="230" t="s">
        <v>115</v>
      </c>
      <c r="B40" s="231"/>
      <c r="C40" s="232" t="s">
        <v>137</v>
      </c>
      <c r="D40" s="233"/>
      <c r="E40" s="234"/>
      <c r="F40" s="232" t="s">
        <v>138</v>
      </c>
      <c r="G40" s="234"/>
    </row>
    <row r="41" spans="1:7" s="86" customFormat="1" ht="101.25" customHeight="1" x14ac:dyDescent="0.25">
      <c r="A41" s="235"/>
      <c r="B41" s="236"/>
      <c r="C41" s="239"/>
      <c r="D41" s="240"/>
      <c r="E41" s="241"/>
      <c r="F41" s="239"/>
      <c r="G41" s="241"/>
    </row>
    <row r="42" spans="1:7" s="86" customFormat="1" ht="26.25" customHeight="1" thickBot="1" x14ac:dyDescent="0.3">
      <c r="A42" s="237"/>
      <c r="B42" s="238"/>
      <c r="C42" s="242" t="s">
        <v>22</v>
      </c>
      <c r="D42" s="243"/>
      <c r="E42" s="244"/>
      <c r="F42" s="242" t="s">
        <v>139</v>
      </c>
      <c r="G42" s="244"/>
    </row>
    <row r="43" spans="1:7" ht="16.5" customHeight="1" x14ac:dyDescent="0.25">
      <c r="A43" s="115"/>
      <c r="B43" s="115"/>
      <c r="C43" s="115"/>
      <c r="D43" s="115"/>
      <c r="E43" s="228"/>
      <c r="F43" s="228"/>
      <c r="G43" s="228"/>
    </row>
    <row r="44" spans="1:7" x14ac:dyDescent="0.25">
      <c r="A44" s="46" t="s">
        <v>116</v>
      </c>
      <c r="B44" s="116"/>
      <c r="C44" s="118"/>
      <c r="D44" s="115"/>
      <c r="E44" s="229"/>
      <c r="F44" s="229"/>
      <c r="G44" s="229"/>
    </row>
    <row r="46" spans="1:7" x14ac:dyDescent="0.25">
      <c r="A46" s="278" t="s">
        <v>117</v>
      </c>
      <c r="B46" s="278"/>
    </row>
    <row r="47" spans="1:7" x14ac:dyDescent="0.25">
      <c r="A47" s="278" t="s">
        <v>118</v>
      </c>
      <c r="B47" s="278"/>
    </row>
  </sheetData>
  <mergeCells count="55">
    <mergeCell ref="A46:B46"/>
    <mergeCell ref="A47:B47"/>
    <mergeCell ref="A1:G1"/>
    <mergeCell ref="A4:G4"/>
    <mergeCell ref="A5:G5"/>
    <mergeCell ref="D6:E6"/>
    <mergeCell ref="F6:F7"/>
    <mergeCell ref="G6:G7"/>
    <mergeCell ref="D7:E7"/>
    <mergeCell ref="A3:G3"/>
    <mergeCell ref="A11:A12"/>
    <mergeCell ref="B11:B12"/>
    <mergeCell ref="C11:E11"/>
    <mergeCell ref="F11:F12"/>
    <mergeCell ref="G11:G12"/>
    <mergeCell ref="D8:E8"/>
    <mergeCell ref="F8:F10"/>
    <mergeCell ref="G8:G10"/>
    <mergeCell ref="C9:C10"/>
    <mergeCell ref="D9:E10"/>
    <mergeCell ref="G15:G22"/>
    <mergeCell ref="A27:G27"/>
    <mergeCell ref="A28:B28"/>
    <mergeCell ref="C28:E28"/>
    <mergeCell ref="A29:B29"/>
    <mergeCell ref="C29:E29"/>
    <mergeCell ref="A36:B36"/>
    <mergeCell ref="C36:E36"/>
    <mergeCell ref="A30:B30"/>
    <mergeCell ref="C30:E30"/>
    <mergeCell ref="A31:B31"/>
    <mergeCell ref="C31:E31"/>
    <mergeCell ref="A32:B32"/>
    <mergeCell ref="C32:E32"/>
    <mergeCell ref="A33:B33"/>
    <mergeCell ref="C33:E33"/>
    <mergeCell ref="A34:B34"/>
    <mergeCell ref="C34:E34"/>
    <mergeCell ref="A35:G35"/>
    <mergeCell ref="A37:B37"/>
    <mergeCell ref="C37:E37"/>
    <mergeCell ref="A38:B38"/>
    <mergeCell ref="C38:E38"/>
    <mergeCell ref="A39:B39"/>
    <mergeCell ref="C39:E39"/>
    <mergeCell ref="E43:G43"/>
    <mergeCell ref="E44:G44"/>
    <mergeCell ref="A40:B40"/>
    <mergeCell ref="C40:E40"/>
    <mergeCell ref="F40:G40"/>
    <mergeCell ref="A41:B42"/>
    <mergeCell ref="C41:E41"/>
    <mergeCell ref="F41:G41"/>
    <mergeCell ref="C42:E42"/>
    <mergeCell ref="F42:G42"/>
  </mergeCells>
  <pageMargins left="0.39370078740157483" right="0.39370078740157483" top="0.74803149606299213" bottom="0" header="0.31496062992125984" footer="0.31496062992125984"/>
  <pageSetup paperSize="9"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Page1</vt:lpstr>
      <vt:lpstr>Page2</vt:lpstr>
      <vt:lpstr>Page3</vt:lpstr>
      <vt:lpstr>COA Form</vt:lpstr>
      <vt:lpstr>Page1!Print_Area</vt:lpstr>
      <vt:lpstr>Page2!Print_Area</vt:lpstr>
      <vt:lpstr>Page3!Print_Area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2026-01-09T16:35:00Z</dcterms:modified>
</cp:coreProperties>
</file>