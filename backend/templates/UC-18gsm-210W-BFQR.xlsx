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A00DB193-E85B-44C3-AA1A-52AC6DB8DE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<sst xmlns="http://schemas.openxmlformats.org/spreadsheetml/2006/main" count="234" uniqueCount="142">
  <si>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</si>
  <si>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</si>
  <si>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</si>
  <si>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</si>
  <si>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</si>
  <si>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</si>
  <si>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</si>
  <si>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</si>
  <si>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</si>
  <si>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</si>
  <si>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</si>
  <si>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</si>
  <si>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</si>
  <si>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</si>
  <si>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</si>
  <si>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</si>
  <si>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</si>
  <si>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</si>
  <si>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</si>
  <si>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</si>
  <si>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</si>
  <si>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</si>
  <si>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</si>
  <si>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</si>
  <si>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</si>
  <si>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</si>
  <si>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</si>
  <si>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</si>
  <si>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</si>
  <si>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</si>
  <si>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</si>
  <si>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</si>
  <si>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</si>
  <si>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</si>
  <si>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</si>
  <si>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</si>
  <si>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</si>
  <si>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</si>
  <si>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</si>
  <si>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</si>
  <si>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</si>
  <si>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</si>
  <si>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</si>
  <si>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</si>
  <si>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</si>
  <si>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</si>
  <si>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</si>
  <si>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</si>
  <si>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</si>
  <si>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</si>
  <si>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</si>
  <si>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</si>
  <si>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</si>
  <si>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</si>
  <si>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</si>
  <si>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</si>
  <si>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</si>
  <si>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</si>
  <si>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</si>
  <si>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</si>
  <si>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</si>
  <si>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</si>
  <si>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</si>
  <si>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</si>
  <si>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</si>
  <si>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</si>
  <si>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</si>
  <si>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</si>
  <si>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</si>
  <si>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</si>
  <si>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</si>
  <si>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</si>
  <si>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</si>
  <si>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</si>
  <si>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</si>
  <si>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</si>
  <si>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</si>
  <si>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</si>
  <si>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</si>
  <si>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</si>
  <si>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</si>
  <si>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</si>
  <si>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</si>
  <si>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</si>
  <si>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</si>
  <si>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</si>
  <si>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</si>
  <si>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</si>
  <si>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</si>
  <si>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</si>
  <si>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</si>
  <si>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</si>
  <si>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</si>
  <si>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</si>
  <si>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</si>
  <si>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</si>
  <si>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</si>
  <si>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</si>
  <si>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</si>
  <si>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</si>
  <si>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</si>
  <si>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</si>
  <si>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</si>
  <si>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</si>
  <si>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</si>
  <si>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</si>
  <si>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</si>
  <si>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</si>
  <si>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</si>
  <si>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</si>
  <si>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</si>
  <si>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</si>
  <si>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</si>
  <si>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</si>
  <si>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</si>
  <si>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</si>
  <si>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</si>
  <si>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</si>
  <si>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</si>
  <si>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</si>
  <si>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</si>
  <si>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</si>
  <si>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</si>
  <si>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</si>
  <si>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</si>
  <si>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</si>
  <si>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</si>
  <si>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</si>
  <si>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</si>
  <si>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Colour L
L-55.00 T-60.00 U-65.00</t>
  </si>
  <si>
    <t>Colour A
L-45.00 T-50.00 U-55.00</t>
  </si>
  <si>
    <t>Colour B
L-(-16.00) T-(-11.00) U-(-6.00)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</si>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</sst>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D9" sqref="D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3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62" t="s">
        <v>17</v>
      </c>
      <c r="B4" s="163"/>
      <c r="C4" s="164"/>
      <c r="D4" s="165"/>
      <c r="E4" s="9" t="s">
        <v>4</v>
      </c>
      <c r="F4" s="8"/>
      <c r="G4" s="9" t="s">
        <v>5</v>
      </c>
      <c r="H4" s="10"/>
      <c r="I4" s="11" t="s">
        <v>6</v>
      </c>
      <c r="J4" s="157"/>
      <c r="K4" s="158"/>
      <c r="M4" s="45" t="s">
        <v>28</v>
      </c>
    </row>
    <row r="5" spans="1:13" s="45" customFormat="1" ht="23.25" customHeight="1" thickBot="1" x14ac:dyDescent="0.3">
      <c r="A5" s="166" t="s">
        <v>18</v>
      </c>
      <c r="B5" s="167"/>
      <c r="C5" s="168"/>
      <c r="D5" s="169"/>
      <c r="E5" s="13" t="s">
        <v>7</v>
      </c>
      <c r="F5" s="14"/>
      <c r="G5" s="13" t="s">
        <v>8</v>
      </c>
      <c r="H5" s="15"/>
      <c r="I5" s="16" t="s">
        <v>9</v>
      </c>
      <c r="J5" s="159"/>
      <c r="K5" s="160"/>
    </row>
    <row r="6" spans="1:13" s="45" customFormat="1" ht="15.75" customHeight="1" thickBot="1" x14ac:dyDescent="0.3">
      <c r="A6" s="135" t="s">
        <v>134</v>
      </c>
      <c r="B6" s="136"/>
      <c r="C6" s="137"/>
      <c r="D6" s="17"/>
      <c r="E6" s="17"/>
      <c r="F6" s="17" t="s">
        <v>141</v>
      </c>
      <c r="G6" s="153"/>
      <c r="H6" s="172"/>
      <c r="I6" s="153"/>
      <c r="J6" s="154"/>
      <c r="K6" s="155"/>
    </row>
    <row r="7" spans="1:13" s="5" customFormat="1" ht="15" customHeight="1" x14ac:dyDescent="0.25">
      <c r="A7" s="138" t="s">
        <v>0</v>
      </c>
      <c r="B7" s="139"/>
      <c r="C7" s="139"/>
      <c r="D7" s="139" t="s">
        <v>38</v>
      </c>
      <c r="E7" s="139" t="s">
        <v>15</v>
      </c>
      <c r="F7" s="139" t="s">
        <v>25</v>
      </c>
      <c r="G7" s="170" t="s">
        <v>33</v>
      </c>
      <c r="H7" s="170" t="s">
        <v>122</v>
      </c>
      <c r="I7" s="139" t="s">
        <v>1</v>
      </c>
      <c r="J7" s="139"/>
      <c r="K7" s="156"/>
    </row>
    <row r="8" spans="1:13" s="5" customFormat="1" ht="48.75" customHeight="1" thickBot="1" x14ac:dyDescent="0.3">
      <c r="A8" s="140"/>
      <c r="B8" s="141"/>
      <c r="C8" s="141"/>
      <c r="D8" s="141"/>
      <c r="E8" s="141" t="s">
        <v>3</v>
      </c>
      <c r="F8" s="141"/>
      <c r="G8" s="171"/>
      <c r="H8" s="171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8" t="s">
        <v>26</v>
      </c>
      <c r="B39" s="149"/>
      <c r="C39" s="15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5" t="s">
        <v>31</v>
      </c>
      <c r="B40" s="146"/>
      <c r="C40" s="14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42" t="s">
        <v>32</v>
      </c>
      <c r="B41" s="143"/>
      <c r="C41" s="14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1"/>
      <c r="C42" s="15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2"/>
      <c r="C43" s="15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4" t="s">
        <v>21</v>
      </c>
      <c r="B44" s="134"/>
      <c r="C44" s="134"/>
      <c r="D44" s="44"/>
      <c r="E44" s="44"/>
      <c r="F44" s="47" t="s">
        <v>132</v>
      </c>
      <c r="G44" s="46">
        <v>461359700</v>
      </c>
      <c r="H44" s="44"/>
    </row>
    <row r="45" spans="1:14" s="45" customFormat="1" ht="16.5" customHeight="1" x14ac:dyDescent="0.25">
      <c r="A45" s="134" t="s">
        <v>133</v>
      </c>
      <c r="B45" s="134"/>
      <c r="C45" s="134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B30" sqref="B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05" t="s">
        <v>134</v>
      </c>
      <c r="B6" s="206"/>
      <c r="C6" s="207"/>
      <c r="D6" s="187"/>
      <c r="E6" s="188"/>
      <c r="F6" s="204"/>
      <c r="G6" s="191"/>
      <c r="H6" s="204"/>
      <c r="I6" s="202"/>
      <c r="J6" s="203"/>
      <c r="K6" s="55"/>
    </row>
    <row r="7" spans="1:11" s="5" customFormat="1" ht="15" customHeight="1" x14ac:dyDescent="0.25">
      <c r="A7" s="187" t="s">
        <v>0</v>
      </c>
      <c r="B7" s="188"/>
      <c r="C7" s="188"/>
      <c r="D7" s="208" t="s">
        <v>2</v>
      </c>
      <c r="E7" s="188"/>
      <c r="F7" s="209"/>
      <c r="G7" s="191" t="s">
        <v>125</v>
      </c>
      <c r="H7" s="188"/>
      <c r="I7" s="191" t="s">
        <v>135</v>
      </c>
      <c r="J7" s="204"/>
      <c r="K7" s="195" t="s">
        <v>121</v>
      </c>
    </row>
    <row r="8" spans="1:11" s="5" customFormat="1" ht="15" customHeight="1" x14ac:dyDescent="0.25">
      <c r="A8" s="189"/>
      <c r="B8" s="190"/>
      <c r="C8" s="190"/>
      <c r="D8" s="189" t="s">
        <v>13</v>
      </c>
      <c r="E8" s="199" t="s">
        <v>14</v>
      </c>
      <c r="F8" s="200" t="s">
        <v>12</v>
      </c>
      <c r="G8" s="192"/>
      <c r="H8" s="190"/>
      <c r="I8" s="192" t="s">
        <v>136</v>
      </c>
      <c r="J8" s="200"/>
      <c r="K8" s="196"/>
    </row>
    <row r="9" spans="1:11" s="5" customFormat="1" ht="15" customHeight="1" x14ac:dyDescent="0.25">
      <c r="A9" s="189"/>
      <c r="B9" s="190"/>
      <c r="C9" s="190"/>
      <c r="D9" s="189"/>
      <c r="E9" s="170"/>
      <c r="F9" s="200"/>
      <c r="G9" s="192"/>
      <c r="H9" s="190"/>
      <c r="I9" s="57" t="s">
        <v>123</v>
      </c>
      <c r="J9" s="58">
        <v>210</v>
      </c>
      <c r="K9" s="196"/>
    </row>
    <row r="10" spans="1:11" s="5" customFormat="1" ht="18.75" customHeight="1" thickBot="1" x14ac:dyDescent="0.3">
      <c r="A10" s="189"/>
      <c r="B10" s="190"/>
      <c r="C10" s="190"/>
      <c r="D10" s="198"/>
      <c r="E10" s="171"/>
      <c r="F10" s="201"/>
      <c r="G10" s="193"/>
      <c r="H10" s="194"/>
      <c r="I10" s="59" t="s">
        <v>124</v>
      </c>
      <c r="J10" s="60">
        <v>213</v>
      </c>
      <c r="K10" s="197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212"/>
      <c r="H11" s="212"/>
      <c r="I11" s="223"/>
      <c r="J11" s="224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213"/>
      <c r="H12" s="213"/>
      <c r="I12" s="175"/>
      <c r="J12" s="176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213"/>
      <c r="H13" s="213"/>
      <c r="I13" s="175"/>
      <c r="J13" s="176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213"/>
      <c r="H14" s="213"/>
      <c r="I14" s="175"/>
      <c r="J14" s="176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213"/>
      <c r="H15" s="213"/>
      <c r="I15" s="175"/>
      <c r="J15" s="176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212"/>
      <c r="H16" s="212"/>
      <c r="I16" s="175"/>
      <c r="J16" s="176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213"/>
      <c r="H17" s="213"/>
      <c r="I17" s="175"/>
      <c r="J17" s="176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213"/>
      <c r="H18" s="213"/>
      <c r="I18" s="175"/>
      <c r="J18" s="176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213"/>
      <c r="H19" s="213"/>
      <c r="I19" s="175"/>
      <c r="J19" s="176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210"/>
      <c r="H20" s="211"/>
      <c r="I20" s="175"/>
      <c r="J20" s="176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210"/>
      <c r="H21" s="211"/>
      <c r="I21" s="175"/>
      <c r="J21" s="176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210"/>
      <c r="H22" s="211"/>
      <c r="I22" s="175"/>
      <c r="J22" s="176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210"/>
      <c r="H23" s="211"/>
      <c r="I23" s="175"/>
      <c r="J23" s="176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210"/>
      <c r="H24" s="211"/>
      <c r="I24" s="175"/>
      <c r="J24" s="176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210"/>
      <c r="H25" s="211"/>
      <c r="I25" s="175"/>
      <c r="J25" s="176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210"/>
      <c r="H26" s="211"/>
      <c r="I26" s="175"/>
      <c r="J26" s="176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210"/>
      <c r="H27" s="211"/>
      <c r="I27" s="175"/>
      <c r="J27" s="176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210"/>
      <c r="H28" s="211"/>
      <c r="I28" s="175"/>
      <c r="J28" s="176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210"/>
      <c r="H29" s="211"/>
      <c r="I29" s="175"/>
      <c r="J29" s="176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210"/>
      <c r="H30" s="211"/>
      <c r="I30" s="175"/>
      <c r="J30" s="176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210"/>
      <c r="H31" s="211"/>
      <c r="I31" s="175"/>
      <c r="J31" s="176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210"/>
      <c r="H32" s="211"/>
      <c r="I32" s="175"/>
      <c r="J32" s="176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210"/>
      <c r="H33" s="211"/>
      <c r="I33" s="175"/>
      <c r="J33" s="176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210"/>
      <c r="H34" s="211"/>
      <c r="I34" s="175"/>
      <c r="J34" s="176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210"/>
      <c r="H35" s="211"/>
      <c r="I35" s="175"/>
      <c r="J35" s="176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210"/>
      <c r="H36" s="211"/>
      <c r="I36" s="175"/>
      <c r="J36" s="176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210"/>
      <c r="H37" s="211"/>
      <c r="I37" s="175"/>
      <c r="J37" s="176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210"/>
      <c r="H38" s="211"/>
      <c r="I38" s="175"/>
      <c r="J38" s="176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210"/>
      <c r="H39" s="211"/>
      <c r="I39" s="175"/>
      <c r="J39" s="176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213"/>
      <c r="H40" s="213"/>
      <c r="I40" s="175"/>
      <c r="J40" s="176"/>
      <c r="K40" s="64"/>
    </row>
    <row r="41" spans="1:11" s="45" customFormat="1" ht="19.5" customHeight="1" x14ac:dyDescent="0.25">
      <c r="A41" s="216" t="s">
        <v>26</v>
      </c>
      <c r="B41" s="217"/>
      <c r="C41" s="217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14" t="e">
        <f>AVERAGE(G11:H40)</f>
        <v>#DIV/0!</v>
      </c>
      <c r="H41" s="215"/>
      <c r="I41" s="177" t="e">
        <f>AVERAGE(I11:J40)</f>
        <v>#DIV/0!</v>
      </c>
      <c r="J41" s="178"/>
      <c r="K41" s="37" t="e">
        <f>AVERAGE(K11:K40)</f>
        <v>#DIV/0!</v>
      </c>
    </row>
    <row r="42" spans="1:11" s="45" customFormat="1" ht="19.5" customHeight="1" x14ac:dyDescent="0.25">
      <c r="A42" s="218" t="s">
        <v>31</v>
      </c>
      <c r="B42" s="219"/>
      <c r="C42" s="219"/>
      <c r="D42" s="66">
        <f>MIN(D11:D40)</f>
        <v>0</v>
      </c>
      <c r="E42" s="39">
        <f>MIN(E11:E40)</f>
        <v>0</v>
      </c>
      <c r="F42" s="39">
        <f>MIN(F11:F40)</f>
        <v>0</v>
      </c>
      <c r="G42" s="225">
        <f>MIN(G11:H40)</f>
        <v>0</v>
      </c>
      <c r="H42" s="226"/>
      <c r="I42" s="173">
        <f>MIN(I11:J40)</f>
        <v>0</v>
      </c>
      <c r="J42" s="174"/>
      <c r="K42" s="40">
        <f>MIN(K11:K40)</f>
        <v>0</v>
      </c>
    </row>
    <row r="43" spans="1:11" s="5" customFormat="1" ht="19.5" customHeight="1" thickBot="1" x14ac:dyDescent="0.3">
      <c r="A43" s="183" t="s">
        <v>32</v>
      </c>
      <c r="B43" s="184"/>
      <c r="C43" s="184"/>
      <c r="D43" s="67">
        <f>MAX(D11:D40)</f>
        <v>0</v>
      </c>
      <c r="E43" s="68">
        <f>MAX(E11:E40)</f>
        <v>0</v>
      </c>
      <c r="F43" s="68">
        <f>MAX(F11:F40)</f>
        <v>0</v>
      </c>
      <c r="G43" s="179">
        <f>MAX(G11:H40)</f>
        <v>0</v>
      </c>
      <c r="H43" s="180"/>
      <c r="I43" s="181">
        <f>MAX(I11:J40)</f>
        <v>0</v>
      </c>
      <c r="J43" s="182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51"/>
      <c r="C44" s="15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2"/>
      <c r="C45" s="15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4" t="s">
        <v>21</v>
      </c>
      <c r="B46" s="134"/>
      <c r="C46" s="134"/>
      <c r="D46" s="44"/>
      <c r="E46" s="44"/>
      <c r="F46" s="47" t="s">
        <v>132</v>
      </c>
      <c r="G46" s="46">
        <f>Page1!G44</f>
        <v>461359700</v>
      </c>
      <c r="H46" s="44"/>
    </row>
    <row r="47" spans="1:11" s="45" customFormat="1" ht="16.5" customHeight="1" x14ac:dyDescent="0.25">
      <c r="A47" s="134" t="s">
        <v>133</v>
      </c>
      <c r="B47" s="134"/>
      <c r="C47" s="134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210</formula>
      <formula>213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D10" sqref="D1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30" t="s">
        <v>134</v>
      </c>
      <c r="B6" s="231"/>
      <c r="C6" s="232"/>
      <c r="D6" s="233"/>
      <c r="E6" s="154"/>
      <c r="F6" s="154"/>
      <c r="G6" s="172"/>
      <c r="H6" s="71"/>
      <c r="I6" s="187"/>
      <c r="J6" s="188"/>
      <c r="K6" s="195"/>
    </row>
    <row r="7" spans="1:11" s="5" customFormat="1" ht="15" customHeight="1" x14ac:dyDescent="0.25">
      <c r="A7" s="187" t="s">
        <v>0</v>
      </c>
      <c r="B7" s="188"/>
      <c r="C7" s="188"/>
      <c r="D7" s="208" t="s">
        <v>34</v>
      </c>
      <c r="E7" s="234"/>
      <c r="F7" s="234"/>
      <c r="G7" s="209"/>
      <c r="H7" s="227" t="s">
        <v>126</v>
      </c>
      <c r="I7" s="189"/>
      <c r="J7" s="190"/>
      <c r="K7" s="196"/>
    </row>
    <row r="8" spans="1:11" s="5" customFormat="1" ht="26.25" customHeight="1" x14ac:dyDescent="0.25">
      <c r="A8" s="189"/>
      <c r="B8" s="190"/>
      <c r="C8" s="190"/>
      <c r="D8" s="237" t="s">
        <v>129</v>
      </c>
      <c r="E8" s="199" t="s">
        <v>130</v>
      </c>
      <c r="F8" s="199" t="s">
        <v>131</v>
      </c>
      <c r="G8" s="199" t="s">
        <v>128</v>
      </c>
      <c r="H8" s="228"/>
      <c r="I8" s="189"/>
      <c r="J8" s="190"/>
      <c r="K8" s="196"/>
    </row>
    <row r="9" spans="1:11" s="5" customFormat="1" ht="26.25" customHeight="1" thickBot="1" x14ac:dyDescent="0.3">
      <c r="A9" s="189"/>
      <c r="B9" s="190"/>
      <c r="C9" s="190"/>
      <c r="D9" s="238"/>
      <c r="E9" s="171"/>
      <c r="F9" s="171"/>
      <c r="G9" s="171"/>
      <c r="H9" s="229"/>
      <c r="I9" s="189"/>
      <c r="J9" s="190"/>
      <c r="K9" s="196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89"/>
      <c r="J10" s="190"/>
      <c r="K10" s="196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89"/>
      <c r="J11" s="190"/>
      <c r="K11" s="196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89"/>
      <c r="J12" s="190"/>
      <c r="K12" s="196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89"/>
      <c r="J13" s="190"/>
      <c r="K13" s="196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89"/>
      <c r="J14" s="190"/>
      <c r="K14" s="196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89"/>
      <c r="J15" s="190"/>
      <c r="K15" s="196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89"/>
      <c r="J16" s="190"/>
      <c r="K16" s="196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89"/>
      <c r="J17" s="190"/>
      <c r="K17" s="196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89"/>
      <c r="J18" s="190"/>
      <c r="K18" s="196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89"/>
      <c r="J19" s="190"/>
      <c r="K19" s="196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89"/>
      <c r="J20" s="190"/>
      <c r="K20" s="196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89"/>
      <c r="J21" s="190"/>
      <c r="K21" s="196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89"/>
      <c r="J22" s="190"/>
      <c r="K22" s="196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89"/>
      <c r="J23" s="190"/>
      <c r="K23" s="196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89"/>
      <c r="J24" s="190"/>
      <c r="K24" s="196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89"/>
      <c r="J25" s="190"/>
      <c r="K25" s="196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89"/>
      <c r="J26" s="190"/>
      <c r="K26" s="196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89"/>
      <c r="J27" s="190"/>
      <c r="K27" s="196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89"/>
      <c r="J28" s="190"/>
      <c r="K28" s="196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89"/>
      <c r="J29" s="190"/>
      <c r="K29" s="196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89"/>
      <c r="J30" s="190"/>
      <c r="K30" s="196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89"/>
      <c r="J31" s="190"/>
      <c r="K31" s="196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89"/>
      <c r="J32" s="190"/>
      <c r="K32" s="196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89"/>
      <c r="J33" s="190"/>
      <c r="K33" s="196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89"/>
      <c r="J34" s="190"/>
      <c r="K34" s="196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89"/>
      <c r="J35" s="190"/>
      <c r="K35" s="196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89"/>
      <c r="J36" s="190"/>
      <c r="K36" s="196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89"/>
      <c r="J37" s="190"/>
      <c r="K37" s="196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89"/>
      <c r="J38" s="190"/>
      <c r="K38" s="196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89"/>
      <c r="J39" s="190"/>
      <c r="K39" s="196"/>
    </row>
    <row r="40" spans="1:11" s="45" customFormat="1" ht="19.5" customHeight="1" x14ac:dyDescent="0.25">
      <c r="A40" s="235" t="s">
        <v>26</v>
      </c>
      <c r="B40" s="236"/>
      <c r="C40" s="236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0"/>
      <c r="J40" s="190"/>
      <c r="K40" s="196"/>
    </row>
    <row r="41" spans="1:11" s="45" customFormat="1" ht="19.5" customHeight="1" x14ac:dyDescent="0.25">
      <c r="A41" s="218" t="s">
        <v>31</v>
      </c>
      <c r="B41" s="219"/>
      <c r="C41" s="219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0"/>
      <c r="J41" s="190"/>
      <c r="K41" s="196"/>
    </row>
    <row r="42" spans="1:11" s="5" customFormat="1" ht="19.5" customHeight="1" thickBot="1" x14ac:dyDescent="0.3">
      <c r="A42" s="183" t="s">
        <v>32</v>
      </c>
      <c r="B42" s="184"/>
      <c r="C42" s="184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4"/>
      <c r="J42" s="194"/>
      <c r="K42" s="197"/>
    </row>
    <row r="43" spans="1:11" s="45" customFormat="1" ht="16.5" customHeight="1" x14ac:dyDescent="0.25">
      <c r="A43" s="44" t="s">
        <v>20</v>
      </c>
      <c r="B43" s="151"/>
      <c r="C43" s="15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52"/>
      <c r="C44" s="15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4" t="s">
        <v>21</v>
      </c>
      <c r="B45" s="134"/>
      <c r="C45" s="134"/>
      <c r="D45" s="44"/>
      <c r="E45" s="44"/>
      <c r="F45" s="47" t="s">
        <v>132</v>
      </c>
      <c r="G45" s="46">
        <f>Page1!G44</f>
        <v>461359700</v>
      </c>
      <c r="H45" s="44"/>
    </row>
    <row r="46" spans="1:11" s="45" customFormat="1" ht="16.5" customHeight="1" x14ac:dyDescent="0.25">
      <c r="A46" s="134" t="s">
        <v>133</v>
      </c>
      <c r="B46" s="134"/>
      <c r="C46" s="134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55</formula>
      <formula>65</formula>
    </cfRule>
  </conditionalFormatting>
  <conditionalFormatting sqref="E10:E42">
    <cfRule type="cellIs" dxfId="2" priority="3" operator="notBetween">
      <formula>45</formula>
      <formula>55</formula>
    </cfRule>
  </conditionalFormatting>
  <conditionalFormatting sqref="F10:F42">
    <cfRule type="cellIs" dxfId="1" priority="2" operator="notBetween">
      <formula>-16</formula>
      <formula>-6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D7" sqref="D7:E7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40" t="s">
        <v>41</v>
      </c>
      <c r="B1" s="241"/>
      <c r="C1" s="241"/>
      <c r="D1" s="241"/>
      <c r="E1" s="241"/>
      <c r="F1" s="241"/>
      <c r="G1" s="242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51" t="s">
        <v>140</v>
      </c>
      <c r="B3" s="252"/>
      <c r="C3" s="252"/>
      <c r="D3" s="252"/>
      <c r="E3" s="252"/>
      <c r="F3" s="252"/>
      <c r="G3" s="253"/>
    </row>
    <row r="4" spans="1:7" s="86" customFormat="1" ht="19.5" customHeight="1" x14ac:dyDescent="0.25">
      <c r="A4" s="189" t="s">
        <v>43</v>
      </c>
      <c r="B4" s="190"/>
      <c r="C4" s="190"/>
      <c r="D4" s="190"/>
      <c r="E4" s="190"/>
      <c r="F4" s="190"/>
      <c r="G4" s="196"/>
    </row>
    <row r="5" spans="1:7" s="86" customFormat="1" ht="19.5" customHeight="1" x14ac:dyDescent="0.25">
      <c r="A5" s="243" t="s">
        <v>44</v>
      </c>
      <c r="B5" s="244"/>
      <c r="C5" s="244"/>
      <c r="D5" s="244"/>
      <c r="E5" s="244"/>
      <c r="F5" s="244"/>
      <c r="G5" s="245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46">
        <f>Page1!H4</f>
        <v>0</v>
      </c>
      <c r="E6" s="247"/>
      <c r="F6" s="248" t="s">
        <v>47</v>
      </c>
      <c r="G6" s="249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46">
        <f>Page1!F5</f>
        <v>0</v>
      </c>
      <c r="E7" s="247"/>
      <c r="F7" s="248"/>
      <c r="G7" s="250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48">
        <f>Page1!H5</f>
        <v>0</v>
      </c>
      <c r="E8" s="248"/>
      <c r="F8" s="263" t="s">
        <v>9</v>
      </c>
      <c r="G8" s="249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461359700</v>
      </c>
      <c r="C9" s="263" t="s">
        <v>53</v>
      </c>
      <c r="D9" s="268" t="s">
        <v>54</v>
      </c>
      <c r="E9" s="269"/>
      <c r="F9" s="264"/>
      <c r="G9" s="266"/>
    </row>
    <row r="10" spans="1:7" s="86" customFormat="1" ht="15.75" thickBot="1" x14ac:dyDescent="0.3">
      <c r="A10" s="97" t="s">
        <v>55</v>
      </c>
      <c r="B10" s="98">
        <f>Page1!C5</f>
        <v>0</v>
      </c>
      <c r="C10" s="265"/>
      <c r="D10" s="270"/>
      <c r="E10" s="271"/>
      <c r="F10" s="265"/>
      <c r="G10" s="267"/>
    </row>
    <row r="11" spans="1:7" s="86" customFormat="1" ht="16.5" customHeight="1" x14ac:dyDescent="0.25">
      <c r="A11" s="254" t="s">
        <v>56</v>
      </c>
      <c r="B11" s="256" t="s">
        <v>57</v>
      </c>
      <c r="C11" s="258" t="s">
        <v>18</v>
      </c>
      <c r="D11" s="259"/>
      <c r="E11" s="260"/>
      <c r="F11" s="256" t="s">
        <v>58</v>
      </c>
      <c r="G11" s="261" t="s">
        <v>59</v>
      </c>
    </row>
    <row r="12" spans="1:7" s="86" customFormat="1" ht="16.5" customHeight="1" thickBot="1" x14ac:dyDescent="0.3">
      <c r="A12" s="255"/>
      <c r="B12" s="257"/>
      <c r="C12" s="99" t="s">
        <v>60</v>
      </c>
      <c r="D12" s="99" t="s">
        <v>61</v>
      </c>
      <c r="E12" s="99" t="s">
        <v>62</v>
      </c>
      <c r="F12" s="257"/>
      <c r="G12" s="262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72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28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28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28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28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28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28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56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210</v>
      </c>
      <c r="E24" s="39">
        <f>Page2!J10</f>
        <v>213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3" t="s">
        <v>90</v>
      </c>
      <c r="B27" s="274"/>
      <c r="C27" s="274"/>
      <c r="D27" s="274"/>
      <c r="E27" s="274"/>
      <c r="F27" s="274"/>
      <c r="G27" s="275"/>
    </row>
    <row r="28" spans="1:7" s="86" customFormat="1" ht="16.5" customHeight="1" x14ac:dyDescent="0.25">
      <c r="A28" s="276" t="s">
        <v>91</v>
      </c>
      <c r="B28" s="277"/>
      <c r="C28" s="278" t="s">
        <v>127</v>
      </c>
      <c r="D28" s="279"/>
      <c r="E28" s="280"/>
      <c r="F28" s="113" t="s">
        <v>92</v>
      </c>
      <c r="G28" s="18" t="s">
        <v>119</v>
      </c>
    </row>
    <row r="29" spans="1:7" s="86" customFormat="1" ht="16.5" customHeight="1" x14ac:dyDescent="0.25">
      <c r="A29" s="281" t="s">
        <v>94</v>
      </c>
      <c r="B29" s="247"/>
      <c r="C29" s="282" t="s">
        <v>95</v>
      </c>
      <c r="D29" s="283"/>
      <c r="E29" s="284"/>
      <c r="F29" s="66" t="s">
        <v>92</v>
      </c>
      <c r="G29" s="108" t="s">
        <v>93</v>
      </c>
    </row>
    <row r="30" spans="1:7" s="86" customFormat="1" ht="16.5" customHeight="1" x14ac:dyDescent="0.25">
      <c r="A30" s="281" t="s">
        <v>96</v>
      </c>
      <c r="B30" s="247"/>
      <c r="C30" s="282" t="s">
        <v>97</v>
      </c>
      <c r="D30" s="283"/>
      <c r="E30" s="284"/>
      <c r="F30" s="66" t="s">
        <v>92</v>
      </c>
      <c r="G30" s="18" t="s">
        <v>119</v>
      </c>
    </row>
    <row r="31" spans="1:7" s="86" customFormat="1" ht="16.5" customHeight="1" x14ac:dyDescent="0.25">
      <c r="A31" s="281" t="s">
        <v>98</v>
      </c>
      <c r="B31" s="247"/>
      <c r="C31" s="282" t="s">
        <v>99</v>
      </c>
      <c r="D31" s="283"/>
      <c r="E31" s="284"/>
      <c r="F31" s="66" t="s">
        <v>92</v>
      </c>
      <c r="G31" s="108" t="s">
        <v>100</v>
      </c>
    </row>
    <row r="32" spans="1:7" s="86" customFormat="1" ht="16.5" customHeight="1" x14ac:dyDescent="0.25">
      <c r="A32" s="281" t="s">
        <v>101</v>
      </c>
      <c r="B32" s="247"/>
      <c r="C32" s="282" t="s">
        <v>102</v>
      </c>
      <c r="D32" s="283"/>
      <c r="E32" s="284"/>
      <c r="F32" s="66" t="s">
        <v>92</v>
      </c>
      <c r="G32" s="108" t="s">
        <v>93</v>
      </c>
    </row>
    <row r="33" spans="1:7" s="86" customFormat="1" ht="16.5" customHeight="1" x14ac:dyDescent="0.25">
      <c r="A33" s="281" t="s">
        <v>103</v>
      </c>
      <c r="B33" s="247"/>
      <c r="C33" s="282" t="s">
        <v>104</v>
      </c>
      <c r="D33" s="283"/>
      <c r="E33" s="284"/>
      <c r="F33" s="66" t="s">
        <v>92</v>
      </c>
      <c r="G33" s="108" t="s">
        <v>120</v>
      </c>
    </row>
    <row r="34" spans="1:7" s="86" customFormat="1" ht="33" customHeight="1" thickBot="1" x14ac:dyDescent="0.3">
      <c r="A34" s="166" t="s">
        <v>105</v>
      </c>
      <c r="B34" s="167"/>
      <c r="C34" s="287" t="s">
        <v>106</v>
      </c>
      <c r="D34" s="288"/>
      <c r="E34" s="289"/>
      <c r="F34" s="114" t="s">
        <v>92</v>
      </c>
      <c r="G34" s="133" t="s">
        <v>120</v>
      </c>
    </row>
    <row r="35" spans="1:7" s="86" customFormat="1" ht="16.5" customHeight="1" thickBot="1" x14ac:dyDescent="0.3">
      <c r="A35" s="273" t="s">
        <v>107</v>
      </c>
      <c r="B35" s="274"/>
      <c r="C35" s="274"/>
      <c r="D35" s="274"/>
      <c r="E35" s="274"/>
      <c r="F35" s="274"/>
      <c r="G35" s="275"/>
    </row>
    <row r="36" spans="1:7" s="86" customFormat="1" ht="16.5" customHeight="1" x14ac:dyDescent="0.25">
      <c r="A36" s="162" t="s">
        <v>108</v>
      </c>
      <c r="B36" s="163"/>
      <c r="C36" s="285" t="s">
        <v>97</v>
      </c>
      <c r="D36" s="286"/>
      <c r="E36" s="163"/>
      <c r="F36" s="10" t="s">
        <v>92</v>
      </c>
      <c r="G36" s="18" t="s">
        <v>119</v>
      </c>
    </row>
    <row r="37" spans="1:7" s="86" customFormat="1" ht="16.5" customHeight="1" x14ac:dyDescent="0.25">
      <c r="A37" s="276" t="s">
        <v>109</v>
      </c>
      <c r="B37" s="277"/>
      <c r="C37" s="246" t="s">
        <v>110</v>
      </c>
      <c r="D37" s="290"/>
      <c r="E37" s="247"/>
      <c r="F37" s="106" t="s">
        <v>92</v>
      </c>
      <c r="G37" s="108" t="s">
        <v>93</v>
      </c>
    </row>
    <row r="38" spans="1:7" s="86" customFormat="1" ht="16.5" customHeight="1" x14ac:dyDescent="0.25">
      <c r="A38" s="281" t="s">
        <v>111</v>
      </c>
      <c r="B38" s="247"/>
      <c r="C38" s="246" t="s">
        <v>112</v>
      </c>
      <c r="D38" s="290"/>
      <c r="E38" s="247"/>
      <c r="F38" s="106" t="s">
        <v>92</v>
      </c>
      <c r="G38" s="108" t="s">
        <v>93</v>
      </c>
    </row>
    <row r="39" spans="1:7" s="86" customFormat="1" ht="16.5" customHeight="1" thickBot="1" x14ac:dyDescent="0.3">
      <c r="A39" s="166" t="s">
        <v>113</v>
      </c>
      <c r="B39" s="167"/>
      <c r="C39" s="291" t="s">
        <v>114</v>
      </c>
      <c r="D39" s="292"/>
      <c r="E39" s="167"/>
      <c r="F39" s="1" t="s">
        <v>92</v>
      </c>
      <c r="G39" s="109" t="s">
        <v>85</v>
      </c>
    </row>
    <row r="40" spans="1:7" s="86" customFormat="1" ht="16.5" customHeight="1" x14ac:dyDescent="0.25">
      <c r="A40" s="295" t="s">
        <v>115</v>
      </c>
      <c r="B40" s="296"/>
      <c r="C40" s="297" t="s">
        <v>137</v>
      </c>
      <c r="D40" s="298"/>
      <c r="E40" s="299"/>
      <c r="F40" s="297" t="s">
        <v>138</v>
      </c>
      <c r="G40" s="299"/>
    </row>
    <row r="41" spans="1:7" s="86" customFormat="1" ht="123" customHeight="1" x14ac:dyDescent="0.25">
      <c r="A41" s="300"/>
      <c r="B41" s="301"/>
      <c r="C41" s="189"/>
      <c r="D41" s="190"/>
      <c r="E41" s="196"/>
      <c r="F41" s="304"/>
      <c r="G41" s="305"/>
    </row>
    <row r="42" spans="1:7" s="86" customFormat="1" ht="16.5" customHeight="1" thickBot="1" x14ac:dyDescent="0.3">
      <c r="A42" s="302"/>
      <c r="B42" s="303"/>
      <c r="C42" s="306" t="s">
        <v>22</v>
      </c>
      <c r="D42" s="307"/>
      <c r="E42" s="308"/>
      <c r="F42" s="306" t="s">
        <v>139</v>
      </c>
      <c r="G42" s="308"/>
    </row>
    <row r="43" spans="1:7" ht="16.5" customHeight="1" x14ac:dyDescent="0.25">
      <c r="A43" s="115"/>
      <c r="B43" s="115"/>
      <c r="C43" s="115"/>
      <c r="D43" s="115"/>
      <c r="E43" s="293"/>
      <c r="F43" s="293"/>
      <c r="G43" s="293"/>
    </row>
    <row r="44" spans="1:7" x14ac:dyDescent="0.25">
      <c r="A44" s="46" t="s">
        <v>116</v>
      </c>
      <c r="B44" s="116"/>
      <c r="C44" s="118"/>
      <c r="D44" s="115"/>
      <c r="E44" s="294"/>
      <c r="F44" s="294"/>
      <c r="G44" s="294"/>
    </row>
    <row r="46" spans="1:7" x14ac:dyDescent="0.25">
      <c r="A46" s="239" t="s">
        <v>117</v>
      </c>
      <c r="B46" s="239"/>
    </row>
    <row r="47" spans="1:7" x14ac:dyDescent="0.25">
      <c r="A47" s="239" t="s">
        <v>118</v>
      </c>
      <c r="B47" s="239"/>
    </row>
  </sheetData>
  <mergeCells count="55"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27:G27"/>
    <mergeCell ref="A28:B28"/>
    <mergeCell ref="C28:E28"/>
    <mergeCell ref="A29:B29"/>
    <mergeCell ref="C29:E29"/>
    <mergeCell ref="F8:F10"/>
    <mergeCell ref="G8:G10"/>
    <mergeCell ref="C9:C10"/>
    <mergeCell ref="D9:E10"/>
    <mergeCell ref="G15:G22"/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2025-12-22T17:02:31Z</dcterms:modified>
</cp:coreProperties>
</file>