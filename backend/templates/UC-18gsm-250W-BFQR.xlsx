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C64DA1A5-2435-45CE-AC13-51D52AC27F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0" l="1"/>
  <c r="D24" i="10"/>
  <c r="J5" i="9" l="1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<sst xmlns="http://schemas.openxmlformats.org/spreadsheetml/2006/main" count="235" uniqueCount="143">
  <si>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</si>
  <si>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</si>
  <si>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</si>
  <si>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</si>
  <si>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</si>
  <si>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</si>
  <si>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</si>
  <si>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</si>
  <si>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</si>
  <si>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</si>
  <si>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</si>
  <si>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</si>
  <si>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</si>
  <si>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</si>
  <si>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</si>
  <si>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</si>
  <si>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</si>
  <si>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</si>
  <si>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</si>
  <si>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</si>
  <si>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</si>
  <si>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</si>
  <si>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</si>
  <si>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</si>
  <si>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</si>
  <si>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</si>
  <si>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</si>
  <si>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</si>
  <si>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</si>
  <si>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</si>
  <si>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</si>
  <si>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</si>
  <si>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</si>
  <si>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</si>
  <si>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</si>
  <si>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</si>
  <si>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</si>
  <si>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</si>
  <si>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</si>
  <si>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</si>
  <si>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</si>
  <si>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</si>
  <si>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</si>
  <si>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</si>
  <si>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</si>
  <si>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</si>
  <si>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</si>
  <si>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</si>
  <si>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</si>
  <si>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</si>
  <si>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</si>
  <si>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</si>
  <si>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</si>
  <si>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</si>
  <si>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</si>
  <si>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</si>
  <si>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</si>
  <si>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</si>
  <si>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</si>
  <si>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</si>
  <si>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</si>
  <si>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</si>
  <si>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</si>
  <si>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</si>
  <si>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</si>
  <si>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</si>
  <si>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</si>
  <si>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</si>
  <si>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</si>
  <si>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</si>
  <si>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</si>
  <si>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</si>
  <si>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</si>
  <si>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</si>
  <si>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</si>
  <si>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</si>
  <si>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</si>
  <si>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</si>
  <si>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</si>
  <si>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</si>
  <si>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</si>
  <si>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</si>
  <si>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</si>
  <si>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</si>
  <si>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</si>
  <si>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</si>
  <si>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</si>
  <si>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</si>
  <si>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</si>
  <si>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</si>
  <si>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</si>
  <si>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</si>
  <si>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</si>
  <si>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</si>
  <si>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</si>
  <si>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</si>
  <si>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</si>
  <si>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</si>
  <si>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</si>
  <si>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</si>
  <si>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</si>
  <si>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</si>
  <si>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</si>
  <si>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</si>
  <si>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</si>
  <si>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</si>
  <si>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</si>
  <si>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</si>
  <si>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</si>
  <si>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</si>
  <si>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</si>
  <si>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</si>
  <si>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</si>
  <si>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</si>
  <si>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</si>
  <si>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</si>
  <si>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</si>
  <si>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</si>
  <si>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</si>
  <si>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</si>
  <si>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</si>
  <si>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</si>
  <si>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</si>
  <si>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</si>
  <si>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</si>
  <si>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</si>
  <si>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</si>
  <si>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</si>
  <si>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</si>
  <si>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</si>
  <si>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</si>
  <si>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</si>
  <si>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</si>
  <si>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</si>
  <si>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</si>
  <si>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</si>
  <si>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</si>
  <si>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</si>
  <si>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#02</t>
  </si>
  <si>
    <t>NA</t>
  </si>
  <si>
    <t>Colour L
L-57.50 T-61.50 U-65.50</t>
  </si>
  <si>
    <t>Colour A
L-46.00 T-51.00 U-56.00</t>
  </si>
  <si>
    <t>Colour B
L-(-14.00) T-(-11.00) U-(-8.00)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</si>
</sst>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1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0" borderId="62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E14" sqref="E14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3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4" t="s">
        <v>17</v>
      </c>
      <c r="B4" s="145"/>
      <c r="C4" s="146"/>
      <c r="D4" s="147"/>
      <c r="E4" s="9" t="s">
        <v>4</v>
      </c>
      <c r="F4" s="8"/>
      <c r="G4" s="9" t="s">
        <v>5</v>
      </c>
      <c r="H4" s="10"/>
      <c r="I4" s="11" t="s">
        <v>6</v>
      </c>
      <c r="J4" s="139"/>
      <c r="K4" s="140"/>
      <c r="M4" s="45" t="s">
        <v>28</v>
      </c>
    </row>
    <row r="5" spans="1:13" s="45" customFormat="1" ht="23.25" customHeight="1" thickBot="1" x14ac:dyDescent="0.3">
      <c r="A5" s="148" t="s">
        <v>18</v>
      </c>
      <c r="B5" s="149"/>
      <c r="C5" s="150"/>
      <c r="D5" s="151"/>
      <c r="E5" s="13" t="s">
        <v>7</v>
      </c>
      <c r="F5" s="14"/>
      <c r="G5" s="13" t="s">
        <v>8</v>
      </c>
      <c r="H5" s="15"/>
      <c r="I5" s="16" t="s">
        <v>9</v>
      </c>
      <c r="J5" s="141"/>
      <c r="K5" s="142"/>
    </row>
    <row r="6" spans="1:13" s="45" customFormat="1" ht="15.75" customHeight="1" thickBot="1" x14ac:dyDescent="0.3">
      <c r="A6" s="157" t="s">
        <v>131</v>
      </c>
      <c r="B6" s="158"/>
      <c r="C6" s="159"/>
      <c r="D6" s="17"/>
      <c r="E6" s="17"/>
      <c r="F6" s="17" t="s">
        <v>139</v>
      </c>
      <c r="G6" s="134"/>
      <c r="H6" s="155"/>
      <c r="I6" s="134"/>
      <c r="J6" s="135"/>
      <c r="K6" s="136"/>
    </row>
    <row r="7" spans="1:13" s="5" customFormat="1" ht="15" customHeight="1" x14ac:dyDescent="0.25">
      <c r="A7" s="160" t="s">
        <v>0</v>
      </c>
      <c r="B7" s="137"/>
      <c r="C7" s="137"/>
      <c r="D7" s="137" t="s">
        <v>38</v>
      </c>
      <c r="E7" s="137" t="s">
        <v>15</v>
      </c>
      <c r="F7" s="137" t="s">
        <v>25</v>
      </c>
      <c r="G7" s="152" t="s">
        <v>33</v>
      </c>
      <c r="H7" s="152" t="s">
        <v>122</v>
      </c>
      <c r="I7" s="137" t="s">
        <v>1</v>
      </c>
      <c r="J7" s="137"/>
      <c r="K7" s="138"/>
    </row>
    <row r="8" spans="1:13" s="5" customFormat="1" ht="48.75" customHeight="1" thickBot="1" x14ac:dyDescent="0.3">
      <c r="A8" s="161"/>
      <c r="B8" s="154"/>
      <c r="C8" s="154"/>
      <c r="D8" s="154"/>
      <c r="E8" s="154" t="s">
        <v>3</v>
      </c>
      <c r="F8" s="154"/>
      <c r="G8" s="153"/>
      <c r="H8" s="153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8" t="s">
        <v>26</v>
      </c>
      <c r="B39" s="169"/>
      <c r="C39" s="17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5" t="s">
        <v>31</v>
      </c>
      <c r="B40" s="166"/>
      <c r="C40" s="16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62" t="s">
        <v>32</v>
      </c>
      <c r="B41" s="163"/>
      <c r="C41" s="16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71"/>
      <c r="C42" s="17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72"/>
      <c r="C43" s="17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56" t="s">
        <v>21</v>
      </c>
      <c r="B44" s="156"/>
      <c r="C44" s="156"/>
      <c r="D44" s="44"/>
      <c r="E44" s="44"/>
      <c r="F44" s="47" t="s">
        <v>129</v>
      </c>
      <c r="G44" s="46">
        <v>461309100</v>
      </c>
      <c r="H44" s="44"/>
    </row>
    <row r="45" spans="1:14" s="45" customFormat="1" ht="16.5" customHeight="1" x14ac:dyDescent="0.25">
      <c r="A45" s="156" t="s">
        <v>130</v>
      </c>
      <c r="B45" s="156"/>
      <c r="C45" s="156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A45:C45"/>
    <mergeCell ref="A6:C6"/>
    <mergeCell ref="A7:C8"/>
    <mergeCell ref="A41:C41"/>
    <mergeCell ref="A40:C40"/>
    <mergeCell ref="A39:C39"/>
    <mergeCell ref="B42:C42"/>
    <mergeCell ref="A44:C44"/>
    <mergeCell ref="B43:C43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C30" sqref="C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177">
        <f>Page1!C4</f>
        <v>0</v>
      </c>
      <c r="D4" s="178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179">
        <f>Page1!J4</f>
        <v>0</v>
      </c>
      <c r="K4" s="180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5">
        <f>Page1!J5</f>
        <v>0</v>
      </c>
      <c r="K5" s="196"/>
    </row>
    <row r="6" spans="1:11" s="45" customFormat="1" ht="15.75" customHeight="1" thickBot="1" x14ac:dyDescent="0.3">
      <c r="A6" s="213" t="s">
        <v>131</v>
      </c>
      <c r="B6" s="214"/>
      <c r="C6" s="215"/>
      <c r="D6" s="197"/>
      <c r="E6" s="198"/>
      <c r="F6" s="186"/>
      <c r="G6" s="185"/>
      <c r="H6" s="186"/>
      <c r="I6" s="211"/>
      <c r="J6" s="212"/>
      <c r="K6" s="55"/>
    </row>
    <row r="7" spans="1:11" s="5" customFormat="1" ht="15" customHeight="1" x14ac:dyDescent="0.25">
      <c r="A7" s="197" t="s">
        <v>0</v>
      </c>
      <c r="B7" s="198"/>
      <c r="C7" s="198"/>
      <c r="D7" s="216" t="s">
        <v>2</v>
      </c>
      <c r="E7" s="198"/>
      <c r="F7" s="178"/>
      <c r="G7" s="185" t="s">
        <v>125</v>
      </c>
      <c r="H7" s="198"/>
      <c r="I7" s="185" t="s">
        <v>132</v>
      </c>
      <c r="J7" s="186"/>
      <c r="K7" s="204" t="s">
        <v>121</v>
      </c>
    </row>
    <row r="8" spans="1:11" s="5" customFormat="1" ht="15" customHeight="1" x14ac:dyDescent="0.25">
      <c r="A8" s="199"/>
      <c r="B8" s="200"/>
      <c r="C8" s="200"/>
      <c r="D8" s="199" t="s">
        <v>13</v>
      </c>
      <c r="E8" s="208" t="s">
        <v>14</v>
      </c>
      <c r="F8" s="209" t="s">
        <v>12</v>
      </c>
      <c r="G8" s="201"/>
      <c r="H8" s="200"/>
      <c r="I8" s="201" t="s">
        <v>133</v>
      </c>
      <c r="J8" s="209"/>
      <c r="K8" s="205"/>
    </row>
    <row r="9" spans="1:11" s="5" customFormat="1" ht="15" customHeight="1" x14ac:dyDescent="0.25">
      <c r="A9" s="199"/>
      <c r="B9" s="200"/>
      <c r="C9" s="200"/>
      <c r="D9" s="199"/>
      <c r="E9" s="152"/>
      <c r="F9" s="209"/>
      <c r="G9" s="201"/>
      <c r="H9" s="200"/>
      <c r="I9" s="57" t="s">
        <v>123</v>
      </c>
      <c r="J9" s="58">
        <v>250</v>
      </c>
      <c r="K9" s="205"/>
    </row>
    <row r="10" spans="1:11" s="5" customFormat="1" ht="18.75" customHeight="1" thickBot="1" x14ac:dyDescent="0.3">
      <c r="A10" s="199"/>
      <c r="B10" s="200"/>
      <c r="C10" s="200"/>
      <c r="D10" s="207"/>
      <c r="E10" s="153"/>
      <c r="F10" s="210"/>
      <c r="G10" s="202"/>
      <c r="H10" s="203"/>
      <c r="I10" s="59" t="s">
        <v>124</v>
      </c>
      <c r="J10" s="60">
        <v>253</v>
      </c>
      <c r="K10" s="206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194"/>
      <c r="H11" s="194"/>
      <c r="I11" s="181"/>
      <c r="J11" s="182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193"/>
      <c r="H12" s="193"/>
      <c r="I12" s="183"/>
      <c r="J12" s="184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193"/>
      <c r="H13" s="193"/>
      <c r="I13" s="183"/>
      <c r="J13" s="184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193"/>
      <c r="H14" s="193"/>
      <c r="I14" s="183"/>
      <c r="J14" s="184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193"/>
      <c r="H15" s="193"/>
      <c r="I15" s="183"/>
      <c r="J15" s="184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194"/>
      <c r="H16" s="194"/>
      <c r="I16" s="183"/>
      <c r="J16" s="184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193"/>
      <c r="H17" s="193"/>
      <c r="I17" s="183"/>
      <c r="J17" s="184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193"/>
      <c r="H18" s="193"/>
      <c r="I18" s="183"/>
      <c r="J18" s="184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193"/>
      <c r="H19" s="193"/>
      <c r="I19" s="183"/>
      <c r="J19" s="184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189"/>
      <c r="H20" s="190"/>
      <c r="I20" s="183"/>
      <c r="J20" s="184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189"/>
      <c r="H21" s="190"/>
      <c r="I21" s="183"/>
      <c r="J21" s="184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189"/>
      <c r="H22" s="190"/>
      <c r="I22" s="183"/>
      <c r="J22" s="184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189"/>
      <c r="H23" s="190"/>
      <c r="I23" s="183"/>
      <c r="J23" s="184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189"/>
      <c r="H24" s="190"/>
      <c r="I24" s="183"/>
      <c r="J24" s="184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189"/>
      <c r="H25" s="190"/>
      <c r="I25" s="183"/>
      <c r="J25" s="184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189"/>
      <c r="H26" s="190"/>
      <c r="I26" s="183"/>
      <c r="J26" s="184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189"/>
      <c r="H27" s="190"/>
      <c r="I27" s="183"/>
      <c r="J27" s="184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189"/>
      <c r="H28" s="190"/>
      <c r="I28" s="183"/>
      <c r="J28" s="184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189"/>
      <c r="H29" s="190"/>
      <c r="I29" s="183"/>
      <c r="J29" s="184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189"/>
      <c r="H30" s="190"/>
      <c r="I30" s="183"/>
      <c r="J30" s="184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189"/>
      <c r="H31" s="190"/>
      <c r="I31" s="183"/>
      <c r="J31" s="184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189"/>
      <c r="H32" s="190"/>
      <c r="I32" s="183"/>
      <c r="J32" s="184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189"/>
      <c r="H33" s="190"/>
      <c r="I33" s="183"/>
      <c r="J33" s="184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189"/>
      <c r="H34" s="190"/>
      <c r="I34" s="183"/>
      <c r="J34" s="184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189"/>
      <c r="H35" s="190"/>
      <c r="I35" s="183"/>
      <c r="J35" s="184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189"/>
      <c r="H36" s="190"/>
      <c r="I36" s="183"/>
      <c r="J36" s="184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189"/>
      <c r="H37" s="190"/>
      <c r="I37" s="183"/>
      <c r="J37" s="184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189"/>
      <c r="H38" s="190"/>
      <c r="I38" s="183"/>
      <c r="J38" s="184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189"/>
      <c r="H39" s="190"/>
      <c r="I39" s="183"/>
      <c r="J39" s="184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193"/>
      <c r="H40" s="193"/>
      <c r="I40" s="183"/>
      <c r="J40" s="184"/>
      <c r="K40" s="64"/>
    </row>
    <row r="41" spans="1:11" s="45" customFormat="1" ht="19.5" customHeight="1" x14ac:dyDescent="0.25">
      <c r="A41" s="173" t="s">
        <v>26</v>
      </c>
      <c r="B41" s="174"/>
      <c r="C41" s="174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191" t="e">
        <f>AVERAGE(G11:H40)</f>
        <v>#DIV/0!</v>
      </c>
      <c r="H41" s="192"/>
      <c r="I41" s="225" t="e">
        <f>AVERAGE(I11:J40)</f>
        <v>#DIV/0!</v>
      </c>
      <c r="J41" s="226"/>
      <c r="K41" s="37" t="e">
        <f>AVERAGE(K11:K40)</f>
        <v>#DIV/0!</v>
      </c>
    </row>
    <row r="42" spans="1:11" s="45" customFormat="1" ht="19.5" customHeight="1" x14ac:dyDescent="0.25">
      <c r="A42" s="175" t="s">
        <v>31</v>
      </c>
      <c r="B42" s="176"/>
      <c r="C42" s="176"/>
      <c r="D42" s="66">
        <f>MIN(D11:D40)</f>
        <v>0</v>
      </c>
      <c r="E42" s="39">
        <f>MIN(E11:E40)</f>
        <v>0</v>
      </c>
      <c r="F42" s="39">
        <f>MIN(F11:F40)</f>
        <v>0</v>
      </c>
      <c r="G42" s="187">
        <f>MIN(G11:H40)</f>
        <v>0</v>
      </c>
      <c r="H42" s="188"/>
      <c r="I42" s="223">
        <f>MIN(I11:J40)</f>
        <v>0</v>
      </c>
      <c r="J42" s="224"/>
      <c r="K42" s="40">
        <f>MIN(K11:K40)</f>
        <v>0</v>
      </c>
    </row>
    <row r="43" spans="1:11" s="5" customFormat="1" ht="19.5" customHeight="1" thickBot="1" x14ac:dyDescent="0.3">
      <c r="A43" s="221" t="s">
        <v>32</v>
      </c>
      <c r="B43" s="222"/>
      <c r="C43" s="222"/>
      <c r="D43" s="67">
        <f>MAX(D11:D40)</f>
        <v>0</v>
      </c>
      <c r="E43" s="68">
        <f>MAX(E11:E40)</f>
        <v>0</v>
      </c>
      <c r="F43" s="68">
        <f>MAX(F11:F40)</f>
        <v>0</v>
      </c>
      <c r="G43" s="217">
        <f>MAX(G11:H40)</f>
        <v>0</v>
      </c>
      <c r="H43" s="218"/>
      <c r="I43" s="219">
        <f>MAX(I11:J40)</f>
        <v>0</v>
      </c>
      <c r="J43" s="220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71"/>
      <c r="C44" s="17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72"/>
      <c r="C45" s="17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56" t="s">
        <v>21</v>
      </c>
      <c r="B46" s="156"/>
      <c r="C46" s="156"/>
      <c r="D46" s="44"/>
      <c r="E46" s="44"/>
      <c r="F46" s="47" t="s">
        <v>129</v>
      </c>
      <c r="G46" s="46">
        <f>Page1!G44</f>
        <v>461309100</v>
      </c>
      <c r="H46" s="44"/>
    </row>
    <row r="47" spans="1:11" s="45" customFormat="1" ht="16.5" customHeight="1" x14ac:dyDescent="0.25">
      <c r="A47" s="156" t="s">
        <v>130</v>
      </c>
      <c r="B47" s="156"/>
      <c r="C47" s="156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I42:J42"/>
    <mergeCell ref="I37:J37"/>
    <mergeCell ref="I38:J38"/>
    <mergeCell ref="I39:J39"/>
    <mergeCell ref="I40:J40"/>
    <mergeCell ref="I41:J41"/>
    <mergeCell ref="I32:J32"/>
    <mergeCell ref="I33:J33"/>
    <mergeCell ref="I34:J34"/>
    <mergeCell ref="I35:J35"/>
    <mergeCell ref="I36:J36"/>
    <mergeCell ref="I27:J27"/>
    <mergeCell ref="I28:J28"/>
    <mergeCell ref="I29:J29"/>
    <mergeCell ref="I30:J30"/>
    <mergeCell ref="I31:J31"/>
    <mergeCell ref="I22:J22"/>
    <mergeCell ref="I23:J23"/>
    <mergeCell ref="I24:J24"/>
    <mergeCell ref="I25:J25"/>
    <mergeCell ref="I26:J26"/>
    <mergeCell ref="I15:J15"/>
    <mergeCell ref="I16:J16"/>
    <mergeCell ref="I19:J19"/>
    <mergeCell ref="I20:J20"/>
    <mergeCell ref="I21:J21"/>
    <mergeCell ref="G43:H43"/>
    <mergeCell ref="I43:J43"/>
    <mergeCell ref="B44:C44"/>
    <mergeCell ref="B45:C45"/>
    <mergeCell ref="A47:C47"/>
    <mergeCell ref="A46:C46"/>
    <mergeCell ref="A43:C4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15" sqref="E15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177">
        <f>Page1!C4</f>
        <v>0</v>
      </c>
      <c r="D4" s="178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179">
        <f>Page1!J4</f>
        <v>0</v>
      </c>
      <c r="K4" s="180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95">
        <f>Page1!J5</f>
        <v>0</v>
      </c>
      <c r="K5" s="196"/>
    </row>
    <row r="6" spans="1:11" s="45" customFormat="1" ht="15.75" customHeight="1" thickBot="1" x14ac:dyDescent="0.3">
      <c r="A6" s="227" t="s">
        <v>131</v>
      </c>
      <c r="B6" s="228"/>
      <c r="C6" s="229"/>
      <c r="D6" s="230"/>
      <c r="E6" s="135"/>
      <c r="F6" s="135"/>
      <c r="G6" s="155"/>
      <c r="H6" s="71"/>
      <c r="I6" s="197"/>
      <c r="J6" s="198"/>
      <c r="K6" s="204"/>
    </row>
    <row r="7" spans="1:11" s="5" customFormat="1" ht="15" customHeight="1" x14ac:dyDescent="0.25">
      <c r="A7" s="197" t="s">
        <v>0</v>
      </c>
      <c r="B7" s="198"/>
      <c r="C7" s="198"/>
      <c r="D7" s="216" t="s">
        <v>34</v>
      </c>
      <c r="E7" s="231"/>
      <c r="F7" s="231"/>
      <c r="G7" s="232"/>
      <c r="H7" s="204" t="s">
        <v>126</v>
      </c>
      <c r="I7" s="199"/>
      <c r="J7" s="200"/>
      <c r="K7" s="205"/>
    </row>
    <row r="8" spans="1:11" s="5" customFormat="1" ht="26.25" customHeight="1" x14ac:dyDescent="0.25">
      <c r="A8" s="199"/>
      <c r="B8" s="200"/>
      <c r="C8" s="200"/>
      <c r="D8" s="235" t="s">
        <v>140</v>
      </c>
      <c r="E8" s="237" t="s">
        <v>141</v>
      </c>
      <c r="F8" s="237" t="s">
        <v>142</v>
      </c>
      <c r="G8" s="239" t="s">
        <v>128</v>
      </c>
      <c r="H8" s="205"/>
      <c r="I8" s="199"/>
      <c r="J8" s="200"/>
      <c r="K8" s="205"/>
    </row>
    <row r="9" spans="1:11" s="5" customFormat="1" ht="26.25" customHeight="1" thickBot="1" x14ac:dyDescent="0.3">
      <c r="A9" s="199"/>
      <c r="B9" s="200"/>
      <c r="C9" s="200"/>
      <c r="D9" s="236"/>
      <c r="E9" s="238"/>
      <c r="F9" s="238"/>
      <c r="G9" s="240"/>
      <c r="H9" s="206"/>
      <c r="I9" s="199"/>
      <c r="J9" s="200"/>
      <c r="K9" s="205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99"/>
      <c r="J10" s="200"/>
      <c r="K10" s="205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99"/>
      <c r="J11" s="200"/>
      <c r="K11" s="205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99"/>
      <c r="J12" s="200"/>
      <c r="K12" s="205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99"/>
      <c r="J13" s="200"/>
      <c r="K13" s="205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99"/>
      <c r="J14" s="200"/>
      <c r="K14" s="205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99"/>
      <c r="J15" s="200"/>
      <c r="K15" s="205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99"/>
      <c r="J16" s="200"/>
      <c r="K16" s="205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99"/>
      <c r="J17" s="200"/>
      <c r="K17" s="205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99"/>
      <c r="J18" s="200"/>
      <c r="K18" s="205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99"/>
      <c r="J19" s="200"/>
      <c r="K19" s="205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99"/>
      <c r="J20" s="200"/>
      <c r="K20" s="205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99"/>
      <c r="J21" s="200"/>
      <c r="K21" s="205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99"/>
      <c r="J22" s="200"/>
      <c r="K22" s="205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99"/>
      <c r="J23" s="200"/>
      <c r="K23" s="205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99"/>
      <c r="J24" s="200"/>
      <c r="K24" s="205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99"/>
      <c r="J25" s="200"/>
      <c r="K25" s="205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99"/>
      <c r="J26" s="200"/>
      <c r="K26" s="205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99"/>
      <c r="J27" s="200"/>
      <c r="K27" s="205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99"/>
      <c r="J28" s="200"/>
      <c r="K28" s="205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99"/>
      <c r="J29" s="200"/>
      <c r="K29" s="205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99"/>
      <c r="J30" s="200"/>
      <c r="K30" s="205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99"/>
      <c r="J31" s="200"/>
      <c r="K31" s="205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99"/>
      <c r="J32" s="200"/>
      <c r="K32" s="205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99"/>
      <c r="J33" s="200"/>
      <c r="K33" s="205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99"/>
      <c r="J34" s="200"/>
      <c r="K34" s="205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99"/>
      <c r="J35" s="200"/>
      <c r="K35" s="205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99"/>
      <c r="J36" s="200"/>
      <c r="K36" s="205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99"/>
      <c r="J37" s="200"/>
      <c r="K37" s="205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99"/>
      <c r="J38" s="200"/>
      <c r="K38" s="205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99"/>
      <c r="J39" s="200"/>
      <c r="K39" s="205"/>
    </row>
    <row r="40" spans="1:11" s="45" customFormat="1" ht="19.5" customHeight="1" x14ac:dyDescent="0.25">
      <c r="A40" s="233" t="s">
        <v>26</v>
      </c>
      <c r="B40" s="234"/>
      <c r="C40" s="234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200"/>
      <c r="J40" s="200"/>
      <c r="K40" s="205"/>
    </row>
    <row r="41" spans="1:11" s="45" customFormat="1" ht="19.5" customHeight="1" x14ac:dyDescent="0.25">
      <c r="A41" s="175" t="s">
        <v>31</v>
      </c>
      <c r="B41" s="176"/>
      <c r="C41" s="176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200"/>
      <c r="J41" s="200"/>
      <c r="K41" s="205"/>
    </row>
    <row r="42" spans="1:11" s="5" customFormat="1" ht="19.5" customHeight="1" thickBot="1" x14ac:dyDescent="0.3">
      <c r="A42" s="221" t="s">
        <v>32</v>
      </c>
      <c r="B42" s="222"/>
      <c r="C42" s="222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203"/>
      <c r="J42" s="203"/>
      <c r="K42" s="206"/>
    </row>
    <row r="43" spans="1:11" s="45" customFormat="1" ht="16.5" customHeight="1" x14ac:dyDescent="0.25">
      <c r="A43" s="44" t="s">
        <v>20</v>
      </c>
      <c r="B43" s="171"/>
      <c r="C43" s="17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72"/>
      <c r="C44" s="17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56" t="s">
        <v>21</v>
      </c>
      <c r="B45" s="156"/>
      <c r="C45" s="156"/>
      <c r="D45" s="44"/>
      <c r="E45" s="44"/>
      <c r="F45" s="47" t="s">
        <v>129</v>
      </c>
      <c r="G45" s="46">
        <f>Page1!G44</f>
        <v>461309100</v>
      </c>
      <c r="H45" s="44"/>
    </row>
    <row r="46" spans="1:11" s="45" customFormat="1" ht="16.5" customHeight="1" x14ac:dyDescent="0.25">
      <c r="A46" s="156" t="s">
        <v>130</v>
      </c>
      <c r="B46" s="156"/>
      <c r="C46" s="156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  <mergeCell ref="B44:C44"/>
    <mergeCell ref="J4:K4"/>
    <mergeCell ref="J5:K5"/>
    <mergeCell ref="A1:J1"/>
    <mergeCell ref="A2:J2"/>
    <mergeCell ref="A4:B4"/>
    <mergeCell ref="C4:D4"/>
    <mergeCell ref="A5:B5"/>
    <mergeCell ref="C5:D5"/>
  </mergeCells>
  <conditionalFormatting sqref="D10:D42">
    <cfRule type="cellIs" dxfId="3" priority="4" operator="notBetween">
      <formula>57.5</formula>
      <formula>65.5</formula>
    </cfRule>
  </conditionalFormatting>
  <conditionalFormatting sqref="E10:E42">
    <cfRule type="cellIs" dxfId="2" priority="3" operator="notBetween">
      <formula>46</formula>
      <formula>56</formula>
    </cfRule>
  </conditionalFormatting>
  <conditionalFormatting sqref="F10:F42">
    <cfRule type="cellIs" dxfId="1" priority="2" operator="notBetween">
      <formula>-14</formula>
      <formula>-8</formula>
    </cfRule>
  </conditionalFormatting>
  <conditionalFormatting sqref="G10:H42">
    <cfRule type="cellIs" dxfId="0" priority="1" operator="notBetween">
      <formula>0</formula>
      <formula>4</formula>
    </cfRule>
  </conditionalFormatting>
  <dataValidations disablePrompts="1" count="1">
    <dataValidation type="textLength" allowBlank="1" showInputMessage="1" showErrorMessage="1" sqref="D8:F9" xr:uid="{119C1EAE-9453-45F6-B9BC-276001B555A7}">
      <formula1>1000</formula1>
      <formula2>100000</formula2>
    </dataValidation>
  </dataValidations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G33" sqref="G33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91" t="s">
        <v>41</v>
      </c>
      <c r="B1" s="292"/>
      <c r="C1" s="292"/>
      <c r="D1" s="292"/>
      <c r="E1" s="292"/>
      <c r="F1" s="292"/>
      <c r="G1" s="293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99" t="s">
        <v>137</v>
      </c>
      <c r="B3" s="300"/>
      <c r="C3" s="300"/>
      <c r="D3" s="300"/>
      <c r="E3" s="300"/>
      <c r="F3" s="300"/>
      <c r="G3" s="301"/>
    </row>
    <row r="4" spans="1:7" s="86" customFormat="1" ht="19.5" customHeight="1" x14ac:dyDescent="0.25">
      <c r="A4" s="199" t="s">
        <v>43</v>
      </c>
      <c r="B4" s="200"/>
      <c r="C4" s="200"/>
      <c r="D4" s="200"/>
      <c r="E4" s="200"/>
      <c r="F4" s="200"/>
      <c r="G4" s="205"/>
    </row>
    <row r="5" spans="1:7" s="86" customFormat="1" ht="19.5" customHeight="1" x14ac:dyDescent="0.25">
      <c r="A5" s="294" t="s">
        <v>44</v>
      </c>
      <c r="B5" s="295"/>
      <c r="C5" s="295"/>
      <c r="D5" s="295"/>
      <c r="E5" s="295"/>
      <c r="F5" s="295"/>
      <c r="G5" s="296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59" t="s">
        <v>138</v>
      </c>
      <c r="E6" s="261"/>
      <c r="F6" s="297" t="s">
        <v>47</v>
      </c>
      <c r="G6" s="282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59">
        <f>Page1!F5</f>
        <v>0</v>
      </c>
      <c r="E7" s="261"/>
      <c r="F7" s="297"/>
      <c r="G7" s="298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97">
        <f>Page1!H5</f>
        <v>0</v>
      </c>
      <c r="E8" s="297"/>
      <c r="F8" s="279" t="s">
        <v>9</v>
      </c>
      <c r="G8" s="282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461309100</v>
      </c>
      <c r="C9" s="279" t="s">
        <v>53</v>
      </c>
      <c r="D9" s="285" t="s">
        <v>54</v>
      </c>
      <c r="E9" s="286"/>
      <c r="F9" s="280"/>
      <c r="G9" s="283"/>
    </row>
    <row r="10" spans="1:7" s="86" customFormat="1" ht="15.75" thickBot="1" x14ac:dyDescent="0.3">
      <c r="A10" s="97" t="s">
        <v>55</v>
      </c>
      <c r="B10" s="98">
        <f>Page1!C5</f>
        <v>0</v>
      </c>
      <c r="C10" s="281"/>
      <c r="D10" s="287"/>
      <c r="E10" s="288"/>
      <c r="F10" s="281"/>
      <c r="G10" s="284"/>
    </row>
    <row r="11" spans="1:7" s="86" customFormat="1" ht="16.5" customHeight="1" x14ac:dyDescent="0.25">
      <c r="A11" s="302" t="s">
        <v>56</v>
      </c>
      <c r="B11" s="304" t="s">
        <v>57</v>
      </c>
      <c r="C11" s="306" t="s">
        <v>18</v>
      </c>
      <c r="D11" s="307"/>
      <c r="E11" s="308"/>
      <c r="F11" s="304" t="s">
        <v>58</v>
      </c>
      <c r="G11" s="309" t="s">
        <v>59</v>
      </c>
    </row>
    <row r="12" spans="1:7" s="86" customFormat="1" ht="16.5" customHeight="1" thickBot="1" x14ac:dyDescent="0.3">
      <c r="A12" s="303"/>
      <c r="B12" s="305"/>
      <c r="C12" s="99" t="s">
        <v>60</v>
      </c>
      <c r="D12" s="99" t="s">
        <v>61</v>
      </c>
      <c r="E12" s="99" t="s">
        <v>62</v>
      </c>
      <c r="F12" s="305"/>
      <c r="G12" s="310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39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89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89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89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89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89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89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38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250</v>
      </c>
      <c r="E24" s="39">
        <f>Page2!J10</f>
        <v>253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3" t="s">
        <v>90</v>
      </c>
      <c r="B27" s="274"/>
      <c r="C27" s="274"/>
      <c r="D27" s="274"/>
      <c r="E27" s="274"/>
      <c r="F27" s="274"/>
      <c r="G27" s="275"/>
    </row>
    <row r="28" spans="1:7" s="86" customFormat="1" ht="16.5" customHeight="1" x14ac:dyDescent="0.25">
      <c r="A28" s="257" t="s">
        <v>91</v>
      </c>
      <c r="B28" s="258"/>
      <c r="C28" s="276" t="s">
        <v>127</v>
      </c>
      <c r="D28" s="277"/>
      <c r="E28" s="278"/>
      <c r="F28" s="113" t="s">
        <v>92</v>
      </c>
      <c r="G28" s="18" t="s">
        <v>119</v>
      </c>
    </row>
    <row r="29" spans="1:7" s="86" customFormat="1" ht="16.5" customHeight="1" x14ac:dyDescent="0.25">
      <c r="A29" s="262" t="s">
        <v>94</v>
      </c>
      <c r="B29" s="261"/>
      <c r="C29" s="267" t="s">
        <v>95</v>
      </c>
      <c r="D29" s="268"/>
      <c r="E29" s="269"/>
      <c r="F29" s="66" t="s">
        <v>92</v>
      </c>
      <c r="G29" s="108" t="s">
        <v>93</v>
      </c>
    </row>
    <row r="30" spans="1:7" s="86" customFormat="1" ht="16.5" customHeight="1" x14ac:dyDescent="0.25">
      <c r="A30" s="262" t="s">
        <v>96</v>
      </c>
      <c r="B30" s="261"/>
      <c r="C30" s="267" t="s">
        <v>97</v>
      </c>
      <c r="D30" s="268"/>
      <c r="E30" s="269"/>
      <c r="F30" s="66" t="s">
        <v>92</v>
      </c>
      <c r="G30" s="18" t="s">
        <v>119</v>
      </c>
    </row>
    <row r="31" spans="1:7" s="86" customFormat="1" ht="16.5" customHeight="1" x14ac:dyDescent="0.25">
      <c r="A31" s="262" t="s">
        <v>98</v>
      </c>
      <c r="B31" s="261"/>
      <c r="C31" s="267" t="s">
        <v>99</v>
      </c>
      <c r="D31" s="268"/>
      <c r="E31" s="269"/>
      <c r="F31" s="66" t="s">
        <v>92</v>
      </c>
      <c r="G31" s="108" t="s">
        <v>100</v>
      </c>
    </row>
    <row r="32" spans="1:7" s="86" customFormat="1" ht="16.5" customHeight="1" x14ac:dyDescent="0.25">
      <c r="A32" s="262" t="s">
        <v>101</v>
      </c>
      <c r="B32" s="261"/>
      <c r="C32" s="267" t="s">
        <v>102</v>
      </c>
      <c r="D32" s="268"/>
      <c r="E32" s="269"/>
      <c r="F32" s="66" t="s">
        <v>92</v>
      </c>
      <c r="G32" s="108" t="s">
        <v>93</v>
      </c>
    </row>
    <row r="33" spans="1:7" s="86" customFormat="1" ht="16.5" customHeight="1" x14ac:dyDescent="0.25">
      <c r="A33" s="262" t="s">
        <v>103</v>
      </c>
      <c r="B33" s="261"/>
      <c r="C33" s="267" t="s">
        <v>104</v>
      </c>
      <c r="D33" s="268"/>
      <c r="E33" s="269"/>
      <c r="F33" s="66" t="s">
        <v>92</v>
      </c>
      <c r="G33" s="108" t="s">
        <v>120</v>
      </c>
    </row>
    <row r="34" spans="1:7" s="86" customFormat="1" ht="33" customHeight="1" thickBot="1" x14ac:dyDescent="0.3">
      <c r="A34" s="148" t="s">
        <v>105</v>
      </c>
      <c r="B34" s="149"/>
      <c r="C34" s="270" t="s">
        <v>106</v>
      </c>
      <c r="D34" s="271"/>
      <c r="E34" s="272"/>
      <c r="F34" s="114" t="s">
        <v>92</v>
      </c>
      <c r="G34" s="133" t="s">
        <v>120</v>
      </c>
    </row>
    <row r="35" spans="1:7" s="86" customFormat="1" ht="16.5" customHeight="1" thickBot="1" x14ac:dyDescent="0.3">
      <c r="A35" s="273" t="s">
        <v>107</v>
      </c>
      <c r="B35" s="274"/>
      <c r="C35" s="274"/>
      <c r="D35" s="274"/>
      <c r="E35" s="274"/>
      <c r="F35" s="274"/>
      <c r="G35" s="275"/>
    </row>
    <row r="36" spans="1:7" s="86" customFormat="1" ht="16.5" customHeight="1" x14ac:dyDescent="0.25">
      <c r="A36" s="144" t="s">
        <v>108</v>
      </c>
      <c r="B36" s="145"/>
      <c r="C36" s="265" t="s">
        <v>97</v>
      </c>
      <c r="D36" s="266"/>
      <c r="E36" s="145"/>
      <c r="F36" s="10" t="s">
        <v>92</v>
      </c>
      <c r="G36" s="18" t="s">
        <v>119</v>
      </c>
    </row>
    <row r="37" spans="1:7" s="86" customFormat="1" ht="16.5" customHeight="1" x14ac:dyDescent="0.25">
      <c r="A37" s="257" t="s">
        <v>109</v>
      </c>
      <c r="B37" s="258"/>
      <c r="C37" s="259" t="s">
        <v>110</v>
      </c>
      <c r="D37" s="260"/>
      <c r="E37" s="261"/>
      <c r="F37" s="106" t="s">
        <v>92</v>
      </c>
      <c r="G37" s="108" t="s">
        <v>93</v>
      </c>
    </row>
    <row r="38" spans="1:7" s="86" customFormat="1" ht="16.5" customHeight="1" x14ac:dyDescent="0.25">
      <c r="A38" s="262" t="s">
        <v>111</v>
      </c>
      <c r="B38" s="261"/>
      <c r="C38" s="259" t="s">
        <v>112</v>
      </c>
      <c r="D38" s="260"/>
      <c r="E38" s="261"/>
      <c r="F38" s="106" t="s">
        <v>92</v>
      </c>
      <c r="G38" s="108" t="s">
        <v>93</v>
      </c>
    </row>
    <row r="39" spans="1:7" s="86" customFormat="1" ht="16.5" customHeight="1" thickBot="1" x14ac:dyDescent="0.3">
      <c r="A39" s="148" t="s">
        <v>113</v>
      </c>
      <c r="B39" s="149"/>
      <c r="C39" s="263" t="s">
        <v>114</v>
      </c>
      <c r="D39" s="264"/>
      <c r="E39" s="149"/>
      <c r="F39" s="1" t="s">
        <v>92</v>
      </c>
      <c r="G39" s="109" t="s">
        <v>85</v>
      </c>
    </row>
    <row r="40" spans="1:7" s="86" customFormat="1" ht="16.5" customHeight="1" x14ac:dyDescent="0.25">
      <c r="A40" s="243" t="s">
        <v>115</v>
      </c>
      <c r="B40" s="244"/>
      <c r="C40" s="245" t="s">
        <v>134</v>
      </c>
      <c r="D40" s="246"/>
      <c r="E40" s="247"/>
      <c r="F40" s="245" t="s">
        <v>135</v>
      </c>
      <c r="G40" s="247"/>
    </row>
    <row r="41" spans="1:7" s="86" customFormat="1" ht="123" customHeight="1" x14ac:dyDescent="0.25">
      <c r="A41" s="248"/>
      <c r="B41" s="249"/>
      <c r="C41" s="199"/>
      <c r="D41" s="200"/>
      <c r="E41" s="205"/>
      <c r="F41" s="252"/>
      <c r="G41" s="253"/>
    </row>
    <row r="42" spans="1:7" s="86" customFormat="1" ht="16.5" customHeight="1" thickBot="1" x14ac:dyDescent="0.3">
      <c r="A42" s="250"/>
      <c r="B42" s="251"/>
      <c r="C42" s="254" t="s">
        <v>22</v>
      </c>
      <c r="D42" s="255"/>
      <c r="E42" s="256"/>
      <c r="F42" s="254" t="s">
        <v>136</v>
      </c>
      <c r="G42" s="256"/>
    </row>
    <row r="43" spans="1:7" ht="16.5" customHeight="1" x14ac:dyDescent="0.25">
      <c r="A43" s="115"/>
      <c r="B43" s="115"/>
      <c r="C43" s="115"/>
      <c r="D43" s="115"/>
      <c r="E43" s="241"/>
      <c r="F43" s="241"/>
      <c r="G43" s="241"/>
    </row>
    <row r="44" spans="1:7" x14ac:dyDescent="0.25">
      <c r="A44" s="46" t="s">
        <v>116</v>
      </c>
      <c r="B44" s="116"/>
      <c r="C44" s="118"/>
      <c r="D44" s="115"/>
      <c r="E44" s="242"/>
      <c r="F44" s="242"/>
      <c r="G44" s="242"/>
    </row>
    <row r="46" spans="1:7" x14ac:dyDescent="0.25">
      <c r="A46" s="290" t="s">
        <v>117</v>
      </c>
      <c r="B46" s="290"/>
    </row>
    <row r="47" spans="1:7" x14ac:dyDescent="0.25">
      <c r="A47" s="290" t="s">
        <v>118</v>
      </c>
      <c r="B47" s="290"/>
    </row>
  </sheetData>
  <mergeCells count="55"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  <mergeCell ref="F8:F10"/>
    <mergeCell ref="G8:G10"/>
    <mergeCell ref="C9:C10"/>
    <mergeCell ref="D9:E10"/>
    <mergeCell ref="G15:G22"/>
    <mergeCell ref="A27:G27"/>
    <mergeCell ref="A28:B28"/>
    <mergeCell ref="C28:E28"/>
    <mergeCell ref="A29:B29"/>
    <mergeCell ref="C29:E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37:B37"/>
    <mergeCell ref="C37:E37"/>
    <mergeCell ref="A38:B38"/>
    <mergeCell ref="C38:E38"/>
    <mergeCell ref="A39:B39"/>
    <mergeCell ref="C39:E39"/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2025-11-09T04:55:02Z</dcterms:modified>
</cp:coreProperties>
</file>