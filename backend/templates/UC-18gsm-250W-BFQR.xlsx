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codeName="ThisWorkbook" defaultThemeVersion="124226"/>
  <xr:revisionPtr revIDLastSave="0" documentId="13_ncr:1_{C8013345-787B-4F42-ADEC-3FA841D9268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0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0" l="1"/>
  <c r="E24" i="10"/>
  <c r="D24" i="10"/>
  <c r="J5" i="9" l="1"/>
  <c r="H5" i="9"/>
  <c r="F5" i="9"/>
  <c r="C5" i="9"/>
  <c r="B5" i="9"/>
  <c r="J4" i="9"/>
  <c r="H4" i="9"/>
  <c r="F4" i="9"/>
  <c r="C4" i="9"/>
  <c r="B4" i="9"/>
  <c r="J5" i="7"/>
  <c r="J4" i="7"/>
  <c r="F4" i="7"/>
  <c r="C5" i="7"/>
  <c r="C4" i="7"/>
  <c r="D8" i="10"/>
  <c r="D7" i="10"/>
  <c r="B8" i="10"/>
  <c r="B10" i="10"/>
  <c r="G45" i="9"/>
  <c r="G46" i="7"/>
  <c r="B9" i="10"/>
  <c r="E41" i="9" l="1"/>
  <c r="G42" i="7"/>
  <c r="D39" i="6"/>
  <c r="F40" i="6"/>
  <c r="I41" i="6"/>
  <c r="A11" i="7"/>
  <c r="A10" i="9"/>
  <c r="A11" i="9" l="1"/>
  <c r="B11" i="9"/>
  <c r="C11" i="9"/>
  <c r="A12" i="9"/>
  <c r="B12" i="9"/>
  <c r="C12" i="9"/>
  <c r="A13" i="9"/>
  <c r="B13" i="9"/>
  <c r="C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B10" i="9"/>
  <c r="C10" i="9"/>
  <c r="A12" i="7"/>
  <c r="B12" i="7"/>
  <c r="C12" i="7"/>
  <c r="A13" i="7"/>
  <c r="B13" i="7"/>
  <c r="C13" i="7"/>
  <c r="A14" i="7"/>
  <c r="B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B11" i="7"/>
  <c r="C11" i="7"/>
  <c r="D40" i="9" l="1"/>
  <c r="D41" i="7"/>
  <c r="D40" i="6"/>
  <c r="H42" i="9"/>
  <c r="H41" i="9"/>
  <c r="G42" i="9"/>
  <c r="G41" i="9"/>
  <c r="F42" i="9"/>
  <c r="F41" i="9"/>
  <c r="E42" i="9"/>
  <c r="D42" i="9"/>
  <c r="D41" i="9"/>
  <c r="B4" i="7"/>
  <c r="F42" i="7"/>
  <c r="E42" i="7"/>
  <c r="D42" i="7"/>
  <c r="E41" i="7"/>
  <c r="F41" i="7"/>
  <c r="G41" i="7"/>
  <c r="I41" i="7"/>
  <c r="K41" i="7"/>
  <c r="D41" i="6"/>
  <c r="H5" i="7" l="1"/>
  <c r="F5" i="7"/>
  <c r="F24" i="10" l="1"/>
  <c r="G8" i="10"/>
  <c r="G6" i="10"/>
  <c r="I42" i="7" l="1"/>
  <c r="I43" i="7"/>
  <c r="H4" i="7" l="1"/>
  <c r="B5" i="7"/>
  <c r="G43" i="7" l="1"/>
  <c r="K43" i="7"/>
  <c r="K42" i="7"/>
  <c r="F26" i="10"/>
  <c r="H40" i="9" l="1"/>
  <c r="G40" i="9"/>
  <c r="F40" i="9"/>
  <c r="E40" i="9"/>
  <c r="J39" i="6" l="1"/>
  <c r="F19" i="10" s="1"/>
  <c r="F16" i="10" l="1"/>
  <c r="F43" i="7"/>
  <c r="F20" i="10"/>
  <c r="E43" i="7"/>
  <c r="F18" i="10" l="1"/>
  <c r="D43" i="7"/>
  <c r="E40" i="6" l="1"/>
  <c r="E39" i="6"/>
  <c r="F14" i="10" s="1"/>
  <c r="F41" i="6" l="1"/>
  <c r="G41" i="6"/>
  <c r="H41" i="6"/>
  <c r="J41" i="6"/>
  <c r="K41" i="6"/>
  <c r="G40" i="6"/>
  <c r="H40" i="6"/>
  <c r="I40" i="6"/>
  <c r="J40" i="6"/>
  <c r="K40" i="6"/>
  <c r="K39" i="6"/>
  <c r="F15" i="10" s="1"/>
  <c r="F39" i="6"/>
  <c r="F23" i="10" s="1"/>
  <c r="G39" i="6"/>
  <c r="F21" i="10" s="1"/>
  <c r="H39" i="6"/>
  <c r="F22" i="10" s="1"/>
  <c r="I39" i="6"/>
  <c r="F17" i="10" s="1"/>
  <c r="E41" i="6"/>
  <c r="F13" i="10"/>
</calcChain>
</file>

<file path=xl/sharedStrings.xml><?xml version="1.0" encoding="utf-8"?>
<sst xmlns="http://schemas.openxmlformats.org/spreadsheetml/2006/main" count="234" uniqueCount="142">
  <si>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</si>
  <si>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</si>
  <si>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</si>
  <si>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</si>
  <si>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</si>
  <si>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</si>
  <si>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</si>
  <si>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</si>
  <si>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</si>
  <si>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</si>
  <si>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</si>
  <si>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</si>
  <si>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</si>
  <si>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</si>
  <si>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</si>
  <si>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</si>
  <si>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</si>
  <si>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</si>
  <si>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</si>
  <si>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</si>
  <si>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</si>
  <si>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</si>
  <si>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</si>
  <si>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</si>
  <si>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</si>
  <si>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</si>
  <si>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</si>
  <si>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</si>
  <si>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</si>
  <si>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</si>
  <si>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</si>
  <si>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</si>
  <si>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</si>
  <si>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</si>
  <si>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</si>
  <si>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</si>
  <si>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</si>
  <si>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</si>
  <si>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Film Weight
(g/m2)
L-17.00 T-18.00 U-20.00</t>
  </si>
  <si>
    <t>-</t>
  </si>
  <si>
    <t>Verified By: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</si>
  <si>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</si>
  <si>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</si>
  <si>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</si>
  <si>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</si>
  <si>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</si>
  <si>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</si>
  <si>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</si>
  <si>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</si>
  <si>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</si>
  <si>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</si>
  <si>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</si>
  <si>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</si>
  <si>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</si>
  <si>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</si>
  <si>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</si>
  <si>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</si>
  <si>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</si>
  <si>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</si>
  <si>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</si>
  <si>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</si>
  <si>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</si>
  <si>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</si>
  <si>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</si>
  <si>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</si>
  <si>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</si>
  <si>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</si>
  <si>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</si>
  <si>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</si>
  <si>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</si>
  <si>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</si>
  <si>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</si>
  <si>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</si>
  <si>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</si>
  <si>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</si>
  <si>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</si>
  <si>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</si>
  <si>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</si>
  <si>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</si>
  <si>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</si>
  <si>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</si>
  <si>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</si>
  <si>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</si>
  <si>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</si>
  <si>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</si>
  <si>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</si>
  <si>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</si>
  <si>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</si>
  <si>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</si>
  <si>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</si>
  <si>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</si>
  <si>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</si>
  <si>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</si>
  <si>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Visual</t>
  </si>
  <si>
    <t xml:space="preserve">Glossiness </t>
  </si>
  <si>
    <t>No Glossy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</si>
  <si>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</si>
  <si>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</si>
  <si>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</si>
  <si>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</si>
  <si>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</si>
  <si>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</si>
  <si>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</si>
  <si>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</si>
  <si>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</si>
  <si>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</si>
  <si>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</si>
  <si>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</si>
  <si>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</si>
  <si>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</si>
  <si>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</si>
  <si>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</si>
  <si>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</si>
  <si>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</si>
  <si>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</si>
  <si>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</si>
  <si>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</si>
  <si>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</si>
  <si>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</si>
  <si>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>Spectrophotometer</t>
  </si>
  <si>
    <t>Web Defect Detector</t>
  </si>
  <si>
    <t>Diameter
(mm)
L-410 T-430 U-450</t>
  </si>
  <si>
    <t>COF
(C-C)                                 L-0.60 T- 0.80, U-1.40</t>
  </si>
  <si>
    <t>T-</t>
  </si>
  <si>
    <t>U-</t>
  </si>
  <si>
    <t>Opacity
L-45.0 T-50.0 U-55.0</t>
  </si>
  <si>
    <t xml:space="preserve"> Delta E
(Base Film White) 
T-0.00   U-5.00</t>
  </si>
  <si>
    <t>LSL-45, TGT-50, USL-55</t>
  </si>
  <si>
    <t>Delta E
T-0.00  U-4.00</t>
  </si>
  <si>
    <t>Reference:</t>
  </si>
  <si>
    <t>Retention period: 5 years</t>
  </si>
  <si>
    <t>Testing Equipment Identification Number</t>
  </si>
  <si>
    <t>Roll Cut Width</t>
  </si>
  <si>
    <t>(mm)</t>
  </si>
  <si>
    <t xml:space="preserve">Inspected By
</t>
  </si>
  <si>
    <t xml:space="preserve">Approved By
</t>
  </si>
  <si>
    <t>(QA)</t>
  </si>
  <si>
    <t>Swanson Plastics(India) Pvt. Ltd</t>
  </si>
  <si>
    <t>NA</t>
  </si>
  <si>
    <t>Colour L
L-57.50 T-61.50 U-65.50</t>
  </si>
  <si>
    <t>Colour A
L-46.00 T-51.00 U-56.00</t>
  </si>
  <si>
    <t>Colour B
L-(-14.00) T-(-11.00) U-(-8.00)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</si>
</sst>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1">
    <xf numFmtId="0" fontId="0" fillId="0" borderId="0" xfId="0"/>
    <xf numFmtId="0" fontId="1" fillId="2" borderId="45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>
      <alignment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vertical="center" wrapText="1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49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0" xfId="0" applyNumberFormat="1" applyFont="1" applyFill="1" applyBorder="1" applyAlignment="1">
      <alignment horizontal="center" vertical="center" wrapText="1"/>
    </xf>
    <xf numFmtId="1" fontId="1" fillId="2" borderId="60" xfId="0" applyNumberFormat="1" applyFont="1" applyFill="1" applyBorder="1" applyAlignment="1">
      <alignment horizontal="center" vertical="center" wrapText="1"/>
    </xf>
    <xf numFmtId="1" fontId="1" fillId="2" borderId="56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9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vertical="center" wrapText="1"/>
    </xf>
    <xf numFmtId="1" fontId="1" fillId="2" borderId="23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6" fillId="2" borderId="50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righ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right" vertical="center" wrapText="1"/>
    </xf>
    <xf numFmtId="0" fontId="1" fillId="2" borderId="55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3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9" xfId="0" applyFont="1" applyFill="1" applyBorder="1" applyAlignment="1" applyProtection="1">
      <alignment horizontal="center" vertical="center" wrapText="1"/>
      <protection locked="0"/>
    </xf>
    <xf numFmtId="1" fontId="1" fillId="2" borderId="31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55" xfId="0" applyNumberFormat="1" applyFont="1" applyFill="1" applyBorder="1" applyAlignment="1">
      <alignment horizontal="center" wrapText="1"/>
    </xf>
    <xf numFmtId="1" fontId="1" fillId="2" borderId="22" xfId="0" applyNumberFormat="1" applyFont="1" applyFill="1" applyBorder="1" applyAlignment="1">
      <alignment horizontal="center" wrapText="1"/>
    </xf>
    <xf numFmtId="1" fontId="1" fillId="2" borderId="23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1" xfId="0" applyNumberFormat="1" applyFont="1" applyFill="1" applyBorder="1" applyAlignment="1">
      <alignment horizontal="center" vertical="center" wrapText="1"/>
    </xf>
    <xf numFmtId="2" fontId="1" fillId="2" borderId="56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39" xfId="0" applyNumberFormat="1" applyFont="1" applyFill="1" applyBorder="1" applyAlignment="1">
      <alignment horizontal="center" vertical="center" wrapText="1"/>
    </xf>
    <xf numFmtId="2" fontId="1" fillId="2" borderId="55" xfId="0" applyNumberFormat="1" applyFont="1" applyFill="1" applyBorder="1" applyAlignment="1">
      <alignment horizontal="center" wrapText="1"/>
    </xf>
    <xf numFmtId="2" fontId="1" fillId="2" borderId="22" xfId="0" applyNumberFormat="1" applyFont="1" applyFill="1" applyBorder="1" applyAlignment="1">
      <alignment horizontal="center" wrapText="1"/>
    </xf>
    <xf numFmtId="2" fontId="1" fillId="2" borderId="23" xfId="0" applyNumberFormat="1" applyFont="1" applyFill="1" applyBorder="1" applyAlignment="1">
      <alignment horizontal="center" wrapText="1"/>
    </xf>
    <xf numFmtId="0" fontId="1" fillId="2" borderId="0" xfId="0" applyFont="1" applyFill="1"/>
    <xf numFmtId="0" fontId="0" fillId="2" borderId="0" xfId="0" applyFill="1" applyAlignment="1">
      <alignment wrapText="1"/>
    </xf>
    <xf numFmtId="0" fontId="12" fillId="2" borderId="52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53" xfId="0" applyFont="1" applyFill="1" applyBorder="1" applyAlignment="1">
      <alignment horizontal="right" vertical="center" wrapText="1"/>
    </xf>
    <xf numFmtId="0" fontId="1" fillId="2" borderId="61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1" fillId="2" borderId="45" xfId="0" applyFont="1" applyFill="1" applyBorder="1" applyAlignment="1">
      <alignment horizontal="left" vertical="center" wrapText="1"/>
    </xf>
    <xf numFmtId="0" fontId="6" fillId="2" borderId="45" xfId="0" applyFont="1" applyFill="1" applyBorder="1" applyAlignment="1">
      <alignment horizontal="center" wrapText="1"/>
    </xf>
    <xf numFmtId="0" fontId="1" fillId="2" borderId="48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4" xfId="0" applyNumberFormat="1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27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0" fontId="0" fillId="2" borderId="0" xfId="0" applyFill="1"/>
    <xf numFmtId="49" fontId="9" fillId="2" borderId="0" xfId="0" applyNumberFormat="1" applyFont="1" applyFill="1" applyAlignment="1">
      <alignment wrapText="1"/>
    </xf>
    <xf numFmtId="0" fontId="1" fillId="2" borderId="35" xfId="0" applyFont="1" applyFill="1" applyBorder="1" applyAlignment="1">
      <alignment horizontal="center" vertical="center" wrapText="1"/>
    </xf>
    <xf numFmtId="165" fontId="1" fillId="2" borderId="63" xfId="0" applyNumberFormat="1" applyFont="1" applyFill="1" applyBorder="1" applyAlignment="1">
      <alignment horizontal="center" vertical="center" wrapText="1"/>
    </xf>
    <xf numFmtId="165" fontId="1" fillId="2" borderId="36" xfId="0" applyNumberFormat="1" applyFont="1" applyFill="1" applyBorder="1" applyAlignment="1">
      <alignment horizontal="center" vertical="center" wrapText="1"/>
    </xf>
    <xf numFmtId="165" fontId="1" fillId="2" borderId="37" xfId="0" applyNumberFormat="1" applyFont="1" applyFill="1" applyBorder="1" applyAlignment="1">
      <alignment horizontal="center" vertical="center" wrapText="1"/>
    </xf>
    <xf numFmtId="165" fontId="1" fillId="2" borderId="38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65" xfId="0" applyNumberFormat="1" applyFont="1" applyFill="1" applyBorder="1" applyAlignment="1">
      <alignment horizontal="center" vertical="center" wrapText="1"/>
    </xf>
    <xf numFmtId="165" fontId="1" fillId="2" borderId="64" xfId="0" applyNumberFormat="1" applyFont="1" applyFill="1" applyBorder="1" applyAlignment="1">
      <alignment horizontal="center" vertical="center" wrapText="1"/>
    </xf>
    <xf numFmtId="165" fontId="1" fillId="2" borderId="15" xfId="0" quotePrefix="1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42" xfId="0" applyNumberFormat="1" applyFont="1" applyFill="1" applyBorder="1" applyAlignment="1">
      <alignment horizontal="center" vertical="center" wrapText="1"/>
    </xf>
    <xf numFmtId="165" fontId="1" fillId="2" borderId="57" xfId="0" applyNumberFormat="1" applyFont="1" applyFill="1" applyBorder="1" applyAlignment="1">
      <alignment horizontal="center" vertical="center" wrapText="1"/>
    </xf>
    <xf numFmtId="165" fontId="1" fillId="2" borderId="58" xfId="0" quotePrefix="1" applyNumberFormat="1" applyFont="1" applyFill="1" applyBorder="1" applyAlignment="1">
      <alignment horizontal="center" vertical="center" wrapText="1"/>
    </xf>
    <xf numFmtId="165" fontId="1" fillId="2" borderId="47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49" fontId="1" fillId="2" borderId="32" xfId="0" applyNumberFormat="1" applyFont="1" applyFill="1" applyBorder="1" applyAlignment="1">
      <alignment horizontal="left" vertical="center" wrapText="1"/>
    </xf>
    <xf numFmtId="49" fontId="1" fillId="2" borderId="25" xfId="0" applyNumberFormat="1" applyFont="1" applyFill="1" applyBorder="1" applyAlignment="1">
      <alignment horizontal="left" vertical="center" wrapText="1"/>
    </xf>
    <xf numFmtId="49" fontId="1" fillId="2" borderId="55" xfId="0" applyNumberFormat="1" applyFont="1" applyFill="1" applyBorder="1" applyAlignment="1">
      <alignment horizontal="left" vertical="center" wrapText="1"/>
    </xf>
    <xf numFmtId="49" fontId="1" fillId="2" borderId="38" xfId="0" applyNumberFormat="1" applyFont="1" applyFill="1" applyBorder="1" applyAlignment="1">
      <alignment horizontal="left" vertical="center" wrapText="1"/>
    </xf>
    <xf numFmtId="49" fontId="1" fillId="2" borderId="4" xfId="0" applyNumberFormat="1" applyFont="1" applyFill="1" applyBorder="1" applyAlignment="1">
      <alignment horizontal="left" vertical="center" wrapText="1"/>
    </xf>
    <xf numFmtId="49" fontId="1" fillId="2" borderId="5" xfId="0" applyNumberFormat="1" applyFont="1" applyFill="1" applyBorder="1" applyAlignment="1">
      <alignment horizontal="left" vertical="center" wrapText="1"/>
    </xf>
    <xf numFmtId="49" fontId="1" fillId="2" borderId="49" xfId="0" applyNumberFormat="1" applyFont="1" applyFill="1" applyBorder="1" applyAlignment="1">
      <alignment horizontal="left" vertical="center" wrapText="1"/>
    </xf>
    <xf numFmtId="49" fontId="1" fillId="2" borderId="50" xfId="0" applyNumberFormat="1" applyFont="1" applyFill="1" applyBorder="1" applyAlignment="1">
      <alignment horizontal="left" vertical="center" wrapText="1"/>
    </xf>
    <xf numFmtId="49" fontId="1" fillId="2" borderId="31" xfId="0" applyNumberFormat="1" applyFont="1" applyFill="1" applyBorder="1" applyAlignment="1">
      <alignment horizontal="left" vertical="center" wrapText="1"/>
    </xf>
    <xf numFmtId="49" fontId="6" fillId="2" borderId="50" xfId="0" applyNumberFormat="1" applyFont="1" applyFill="1" applyBorder="1" applyAlignment="1">
      <alignment horizontal="center" vertical="center" wrapText="1"/>
    </xf>
    <xf numFmtId="49" fontId="6" fillId="2" borderId="0" xfId="0" applyNumberFormat="1" applyFont="1" applyFill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6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54" xfId="0" applyFont="1" applyFill="1" applyBorder="1" applyAlignment="1" applyProtection="1">
      <alignment horizontal="center" vertical="center" wrapText="1"/>
      <protection locked="0"/>
    </xf>
    <xf numFmtId="0" fontId="1" fillId="2" borderId="57" xfId="0" applyFont="1" applyFill="1" applyBorder="1" applyAlignment="1">
      <alignment horizontal="left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" fontId="1" fillId="2" borderId="30" xfId="0" applyNumberFormat="1" applyFont="1" applyFill="1" applyBorder="1" applyAlignment="1">
      <alignment horizontal="center" vertical="center" wrapText="1"/>
    </xf>
    <xf numFmtId="1" fontId="1" fillId="2" borderId="31" xfId="0" applyNumberFormat="1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>
      <alignment horizontal="center" wrapText="1"/>
    </xf>
    <xf numFmtId="164" fontId="1" fillId="2" borderId="55" xfId="0" applyNumberFormat="1" applyFont="1" applyFill="1" applyBorder="1" applyAlignment="1">
      <alignment horizontal="center" wrapText="1"/>
    </xf>
    <xf numFmtId="1" fontId="1" fillId="2" borderId="24" xfId="0" applyNumberFormat="1" applyFont="1" applyFill="1" applyBorder="1" applyAlignment="1">
      <alignment horizontal="center" wrapText="1"/>
    </xf>
    <xf numFmtId="1" fontId="1" fillId="2" borderId="55" xfId="0" applyNumberFormat="1" applyFont="1" applyFill="1" applyBorder="1" applyAlignment="1">
      <alignment horizontal="center" wrapText="1"/>
    </xf>
    <xf numFmtId="49" fontId="1" fillId="2" borderId="21" xfId="0" applyNumberFormat="1" applyFont="1" applyFill="1" applyBorder="1" applyAlignment="1">
      <alignment horizontal="left" vertical="center" wrapText="1"/>
    </xf>
    <xf numFmtId="49" fontId="1" fillId="2" borderId="22" xfId="0" applyNumberFormat="1" applyFont="1" applyFill="1" applyBorder="1" applyAlignment="1">
      <alignment horizontal="left" vertical="center" wrapText="1"/>
    </xf>
    <xf numFmtId="14" fontId="1" fillId="2" borderId="26" xfId="0" applyNumberFormat="1" applyFont="1" applyFill="1" applyBorder="1" applyAlignment="1" applyProtection="1">
      <alignment horizontal="center" vertical="center" wrapText="1"/>
    </xf>
    <xf numFmtId="14" fontId="1" fillId="2" borderId="47" xfId="0" applyNumberFormat="1" applyFont="1" applyFill="1" applyBorder="1" applyAlignment="1" applyProtection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30" xfId="0" applyFont="1" applyFill="1" applyBorder="1" applyAlignment="1">
      <alignment horizontal="left" vertical="center" wrapText="1"/>
    </xf>
    <xf numFmtId="0" fontId="1" fillId="2" borderId="6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0" xfId="0" applyNumberFormat="1" applyFont="1" applyFill="1" applyBorder="1" applyAlignment="1">
      <alignment horizontal="center" vertical="center" wrapText="1"/>
    </xf>
    <xf numFmtId="164" fontId="1" fillId="2" borderId="31" xfId="0" applyNumberFormat="1" applyFont="1" applyFill="1" applyBorder="1" applyAlignment="1">
      <alignment horizontal="center" vertical="center" wrapText="1"/>
    </xf>
    <xf numFmtId="49" fontId="1" fillId="2" borderId="66" xfId="0" applyNumberFormat="1" applyFont="1" applyFill="1" applyBorder="1" applyAlignment="1">
      <alignment horizontal="left" vertical="center" wrapText="1"/>
    </xf>
    <xf numFmtId="49" fontId="1" fillId="2" borderId="18" xfId="0" applyNumberFormat="1" applyFont="1" applyFill="1" applyBorder="1" applyAlignment="1">
      <alignment horizontal="left" vertical="center" wrapText="1"/>
    </xf>
    <xf numFmtId="49" fontId="1" fillId="2" borderId="61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</xf>
    <xf numFmtId="14" fontId="1" fillId="2" borderId="37" xfId="0" applyNumberFormat="1" applyFont="1" applyFill="1" applyBorder="1" applyAlignment="1" applyProtection="1">
      <alignment horizontal="center" vertical="center" wrapText="1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28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49" fontId="1" fillId="2" borderId="48" xfId="0" applyNumberFormat="1" applyFont="1" applyFill="1" applyBorder="1" applyAlignment="1">
      <alignment horizontal="left" vertical="center" wrapText="1"/>
    </xf>
    <xf numFmtId="49" fontId="1" fillId="2" borderId="6" xfId="0" applyNumberFormat="1" applyFont="1" applyFill="1" applyBorder="1" applyAlignment="1">
      <alignment horizontal="left" vertical="center" wrapText="1"/>
    </xf>
    <xf numFmtId="0" fontId="1" fillId="0" borderId="62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2" fillId="2" borderId="49" xfId="0" applyFont="1" applyFill="1" applyBorder="1" applyAlignment="1">
      <alignment horizontal="right" vertical="center" wrapText="1"/>
    </xf>
    <xf numFmtId="0" fontId="12" fillId="2" borderId="50" xfId="0" applyFont="1" applyFill="1" applyBorder="1" applyAlignment="1">
      <alignment horizontal="right" vertical="center" wrapText="1"/>
    </xf>
    <xf numFmtId="0" fontId="12" fillId="2" borderId="51" xfId="0" applyFont="1" applyFill="1" applyBorder="1" applyAlignment="1">
      <alignment horizontal="right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6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1" fillId="2" borderId="40" xfId="0" applyNumberFormat="1" applyFont="1" applyFill="1" applyBorder="1" applyAlignment="1">
      <alignment horizontal="left" vertical="center" wrapText="1"/>
    </xf>
    <xf numFmtId="14" fontId="1" fillId="2" borderId="43" xfId="0" applyNumberFormat="1" applyFont="1" applyFill="1" applyBorder="1" applyAlignment="1">
      <alignment horizontal="left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60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6" fillId="2" borderId="36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29" xfId="0" applyFont="1" applyFill="1" applyBorder="1" applyAlignment="1">
      <alignment horizontal="left" vertical="center" wrapText="1"/>
    </xf>
    <xf numFmtId="0" fontId="1" fillId="2" borderId="42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1" fontId="1" fillId="2" borderId="17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0" fontId="1" fillId="2" borderId="38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1" fontId="1" fillId="2" borderId="58" xfId="0" applyNumberFormat="1" applyFont="1" applyFill="1" applyBorder="1" applyAlignment="1">
      <alignment horizontal="left" vertical="center" wrapText="1"/>
    </xf>
    <xf numFmtId="1" fontId="1" fillId="2" borderId="27" xfId="0" applyNumberFormat="1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horizontal="center" wrapText="1"/>
    </xf>
    <xf numFmtId="0" fontId="6" fillId="2" borderId="49" xfId="0" applyFont="1" applyFill="1" applyBorder="1" applyAlignment="1">
      <alignment horizontal="left" vertical="top" wrapText="1"/>
    </xf>
    <xf numFmtId="0" fontId="6" fillId="2" borderId="51" xfId="0" applyFont="1" applyFill="1" applyBorder="1" applyAlignment="1">
      <alignment horizontal="left" vertical="top" wrapText="1"/>
    </xf>
    <xf numFmtId="0" fontId="6" fillId="2" borderId="49" xfId="0" applyFont="1" applyFill="1" applyBorder="1" applyAlignment="1">
      <alignment horizontal="center" vertical="top" wrapText="1"/>
    </xf>
    <xf numFmtId="0" fontId="6" fillId="2" borderId="50" xfId="0" applyFont="1" applyFill="1" applyBorder="1" applyAlignment="1">
      <alignment horizontal="center" vertical="top" wrapText="1"/>
    </xf>
    <xf numFmtId="0" fontId="6" fillId="2" borderId="51" xfId="0" applyFont="1" applyFill="1" applyBorder="1" applyAlignment="1">
      <alignment horizontal="center" vertical="top" wrapText="1"/>
    </xf>
    <xf numFmtId="0" fontId="1" fillId="2" borderId="52" xfId="0" applyFont="1" applyFill="1" applyBorder="1" applyAlignment="1">
      <alignment horizontal="left" vertical="top" wrapText="1"/>
    </xf>
    <xf numFmtId="0" fontId="1" fillId="2" borderId="53" xfId="0" applyFont="1" applyFill="1" applyBorder="1" applyAlignment="1">
      <alignment horizontal="left" vertical="top" wrapText="1"/>
    </xf>
    <xf numFmtId="0" fontId="1" fillId="2" borderId="32" xfId="0" applyFont="1" applyFill="1" applyBorder="1" applyAlignment="1">
      <alignment horizontal="left" vertical="top" wrapText="1"/>
    </xf>
    <xf numFmtId="0" fontId="1" fillId="2" borderId="33" xfId="0" applyFont="1" applyFill="1" applyBorder="1" applyAlignment="1">
      <alignment horizontal="left" vertical="top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32" xfId="0" applyFont="1" applyFill="1" applyBorder="1" applyAlignment="1">
      <alignment horizontal="center" vertical="top" wrapText="1"/>
    </xf>
    <xf numFmtId="0" fontId="6" fillId="2" borderId="25" xfId="0" applyFont="1" applyFill="1" applyBorder="1" applyAlignment="1">
      <alignment horizontal="center" vertical="top" wrapText="1"/>
    </xf>
    <xf numFmtId="0" fontId="6" fillId="2" borderId="33" xfId="0" applyFont="1" applyFill="1" applyBorder="1" applyAlignment="1">
      <alignment horizontal="center" vertical="top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colors>
    <mruColors>
      <color rgb="FFF34735"/>
      <color rgb="FFFF71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3" name="Text Box 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50"/>
  <sheetViews>
    <sheetView tabSelected="1" view="pageBreakPreview" zoomScaleNormal="100" zoomScaleSheetLayoutView="100" workbookViewId="0">
      <selection activeCell="E14" sqref="E14"/>
    </sheetView>
  </sheetViews>
  <sheetFormatPr defaultRowHeight="15" x14ac:dyDescent="0.25"/>
  <cols>
    <col min="1" max="3" width="14" style="5" customWidth="1"/>
    <col min="4" max="11" width="21.7109375" style="5" customWidth="1"/>
    <col min="12" max="12" width="10.5703125" style="85" bestFit="1" customWidth="1"/>
    <col min="13" max="13" width="9.140625" style="85"/>
    <col min="14" max="14" width="9.42578125" style="85" bestFit="1" customWidth="1"/>
    <col min="15" max="16384" width="9.140625" style="85"/>
  </cols>
  <sheetData>
    <row r="1" spans="1:13" s="45" customFormat="1" ht="15.75" customHeight="1" x14ac:dyDescent="0.25">
      <c r="A1" s="161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3" t="s">
        <v>27</v>
      </c>
    </row>
    <row r="2" spans="1:13" s="45" customFormat="1" ht="15.75" customHeight="1" x14ac:dyDescent="0.25">
      <c r="A2" s="161" t="s">
        <v>19</v>
      </c>
      <c r="B2" s="161"/>
      <c r="C2" s="161"/>
      <c r="D2" s="161"/>
      <c r="E2" s="161"/>
      <c r="F2" s="161"/>
      <c r="G2" s="161"/>
      <c r="H2" s="161"/>
      <c r="I2" s="161"/>
      <c r="J2" s="161"/>
      <c r="K2" s="4" t="s">
        <v>29</v>
      </c>
    </row>
    <row r="3" spans="1:13" s="45" customFormat="1" ht="15.75" customHeight="1" thickBot="1" x14ac:dyDescent="0.3">
      <c r="A3" s="2"/>
      <c r="B3" s="2"/>
      <c r="C3" s="2"/>
      <c r="D3" s="2"/>
      <c r="E3" s="2"/>
      <c r="F3" s="2"/>
      <c r="G3" s="2"/>
      <c r="H3" s="2"/>
      <c r="I3" s="5"/>
      <c r="J3" s="6" t="s">
        <v>30</v>
      </c>
      <c r="K3" s="7"/>
    </row>
    <row r="4" spans="1:13" s="45" customFormat="1" ht="23.25" customHeight="1" x14ac:dyDescent="0.25">
      <c r="A4" s="162" t="s">
        <v>17</v>
      </c>
      <c r="B4" s="163"/>
      <c r="C4" s="164"/>
      <c r="D4" s="165"/>
      <c r="E4" s="9" t="s">
        <v>4</v>
      </c>
      <c r="F4" s="8"/>
      <c r="G4" s="9" t="s">
        <v>5</v>
      </c>
      <c r="H4" s="10"/>
      <c r="I4" s="11" t="s">
        <v>6</v>
      </c>
      <c r="J4" s="157"/>
      <c r="K4" s="158"/>
      <c r="M4" s="45" t="s">
        <v>28</v>
      </c>
    </row>
    <row r="5" spans="1:13" s="45" customFormat="1" ht="23.25" customHeight="1" thickBot="1" x14ac:dyDescent="0.3">
      <c r="A5" s="166" t="s">
        <v>18</v>
      </c>
      <c r="B5" s="167"/>
      <c r="C5" s="168"/>
      <c r="D5" s="169"/>
      <c r="E5" s="13" t="s">
        <v>7</v>
      </c>
      <c r="F5" s="14"/>
      <c r="G5" s="13" t="s">
        <v>8</v>
      </c>
      <c r="H5" s="15"/>
      <c r="I5" s="16" t="s">
        <v>9</v>
      </c>
      <c r="J5" s="159"/>
      <c r="K5" s="160"/>
    </row>
    <row r="6" spans="1:13" s="45" customFormat="1" ht="15.75" customHeight="1" thickBot="1" x14ac:dyDescent="0.3">
      <c r="A6" s="135" t="s">
        <v>131</v>
      </c>
      <c r="B6" s="136"/>
      <c r="C6" s="137"/>
      <c r="D6" s="17"/>
      <c r="E6" s="17"/>
      <c r="F6" s="17" t="s">
        <v>138</v>
      </c>
      <c r="G6" s="153"/>
      <c r="H6" s="172"/>
      <c r="I6" s="153"/>
      <c r="J6" s="154"/>
      <c r="K6" s="155"/>
    </row>
    <row r="7" spans="1:13" s="5" customFormat="1" ht="15" customHeight="1" x14ac:dyDescent="0.25">
      <c r="A7" s="138" t="s">
        <v>0</v>
      </c>
      <c r="B7" s="139"/>
      <c r="C7" s="139"/>
      <c r="D7" s="139" t="s">
        <v>38</v>
      </c>
      <c r="E7" s="139" t="s">
        <v>15</v>
      </c>
      <c r="F7" s="139" t="s">
        <v>25</v>
      </c>
      <c r="G7" s="170" t="s">
        <v>33</v>
      </c>
      <c r="H7" s="170" t="s">
        <v>122</v>
      </c>
      <c r="I7" s="139" t="s">
        <v>1</v>
      </c>
      <c r="J7" s="139"/>
      <c r="K7" s="156"/>
    </row>
    <row r="8" spans="1:13" s="5" customFormat="1" ht="48.75" customHeight="1" thickBot="1" x14ac:dyDescent="0.3">
      <c r="A8" s="140"/>
      <c r="B8" s="141"/>
      <c r="C8" s="141"/>
      <c r="D8" s="141"/>
      <c r="E8" s="141" t="s">
        <v>3</v>
      </c>
      <c r="F8" s="141"/>
      <c r="G8" s="171"/>
      <c r="H8" s="171"/>
      <c r="I8" s="1" t="s">
        <v>10</v>
      </c>
      <c r="J8" s="1" t="s">
        <v>11</v>
      </c>
      <c r="K8" s="19" t="s">
        <v>12</v>
      </c>
    </row>
    <row r="9" spans="1:13" s="45" customFormat="1" ht="19.5" customHeight="1" x14ac:dyDescent="0.25">
      <c r="A9" s="20"/>
      <c r="B9" s="21"/>
      <c r="C9" s="22"/>
      <c r="D9" s="23"/>
      <c r="E9" s="24"/>
      <c r="F9" s="25"/>
      <c r="G9" s="26"/>
      <c r="H9" s="26"/>
      <c r="I9" s="25"/>
      <c r="J9" s="27"/>
      <c r="K9" s="28"/>
    </row>
    <row r="10" spans="1:13" s="45" customFormat="1" ht="19.5" customHeight="1" x14ac:dyDescent="0.25">
      <c r="A10" s="29"/>
      <c r="B10" s="30"/>
      <c r="C10" s="31"/>
      <c r="D10" s="26"/>
      <c r="E10" s="25"/>
      <c r="F10" s="24"/>
      <c r="G10" s="26"/>
      <c r="H10" s="26"/>
      <c r="I10" s="25"/>
      <c r="J10" s="27"/>
      <c r="K10" s="28"/>
    </row>
    <row r="11" spans="1:13" s="45" customFormat="1" ht="19.5" customHeight="1" x14ac:dyDescent="0.25">
      <c r="A11" s="29"/>
      <c r="B11" s="30"/>
      <c r="C11" s="22"/>
      <c r="D11" s="26"/>
      <c r="E11" s="25"/>
      <c r="F11" s="25"/>
      <c r="G11" s="26"/>
      <c r="H11" s="26"/>
      <c r="I11" s="25"/>
      <c r="J11" s="27"/>
      <c r="K11" s="28"/>
    </row>
    <row r="12" spans="1:13" s="45" customFormat="1" ht="19.5" customHeight="1" x14ac:dyDescent="0.25">
      <c r="A12" s="29"/>
      <c r="B12" s="32"/>
      <c r="C12" s="22"/>
      <c r="D12" s="26"/>
      <c r="E12" s="25"/>
      <c r="F12" s="24"/>
      <c r="G12" s="26"/>
      <c r="H12" s="26"/>
      <c r="I12" s="25"/>
      <c r="J12" s="27"/>
      <c r="K12" s="28"/>
    </row>
    <row r="13" spans="1:13" s="45" customFormat="1" ht="19.5" customHeight="1" x14ac:dyDescent="0.25">
      <c r="A13" s="29"/>
      <c r="B13" s="30"/>
      <c r="C13" s="31"/>
      <c r="D13" s="26"/>
      <c r="E13" s="25"/>
      <c r="F13" s="25"/>
      <c r="G13" s="26"/>
      <c r="H13" s="26"/>
      <c r="I13" s="25"/>
      <c r="J13" s="27"/>
      <c r="K13" s="28"/>
    </row>
    <row r="14" spans="1:13" s="45" customFormat="1" ht="19.5" customHeight="1" x14ac:dyDescent="0.25">
      <c r="A14" s="29"/>
      <c r="B14" s="30"/>
      <c r="C14" s="31"/>
      <c r="D14" s="26"/>
      <c r="E14" s="25"/>
      <c r="F14" s="24"/>
      <c r="G14" s="23"/>
      <c r="H14" s="23"/>
      <c r="I14" s="24"/>
      <c r="J14" s="33"/>
      <c r="K14" s="34"/>
    </row>
    <row r="15" spans="1:13" s="45" customFormat="1" ht="19.5" customHeight="1" x14ac:dyDescent="0.25">
      <c r="A15" s="29"/>
      <c r="B15" s="30"/>
      <c r="C15" s="31"/>
      <c r="D15" s="26"/>
      <c r="E15" s="25"/>
      <c r="F15" s="25"/>
      <c r="G15" s="26"/>
      <c r="H15" s="26"/>
      <c r="I15" s="25"/>
      <c r="J15" s="27"/>
      <c r="K15" s="28"/>
    </row>
    <row r="16" spans="1:13" s="45" customFormat="1" ht="19.5" customHeight="1" x14ac:dyDescent="0.25">
      <c r="A16" s="29"/>
      <c r="B16" s="30"/>
      <c r="C16" s="31"/>
      <c r="D16" s="26"/>
      <c r="E16" s="25"/>
      <c r="F16" s="24"/>
      <c r="G16" s="26"/>
      <c r="H16" s="26"/>
      <c r="I16" s="25"/>
      <c r="J16" s="27"/>
      <c r="K16" s="28"/>
    </row>
    <row r="17" spans="1:11" s="45" customFormat="1" ht="19.5" customHeight="1" x14ac:dyDescent="0.25">
      <c r="A17" s="29"/>
      <c r="B17" s="21"/>
      <c r="C17" s="31"/>
      <c r="D17" s="26"/>
      <c r="E17" s="25"/>
      <c r="F17" s="24"/>
      <c r="G17" s="26"/>
      <c r="H17" s="26"/>
      <c r="I17" s="25"/>
      <c r="J17" s="27"/>
      <c r="K17" s="28"/>
    </row>
    <row r="18" spans="1:11" s="45" customFormat="1" ht="19.5" customHeight="1" x14ac:dyDescent="0.25">
      <c r="A18" s="29"/>
      <c r="B18" s="30"/>
      <c r="C18" s="31"/>
      <c r="D18" s="26"/>
      <c r="E18" s="25"/>
      <c r="F18" s="24"/>
      <c r="G18" s="26"/>
      <c r="H18" s="26"/>
      <c r="I18" s="25"/>
      <c r="J18" s="27"/>
      <c r="K18" s="28"/>
    </row>
    <row r="19" spans="1:11" s="45" customFormat="1" ht="19.5" customHeight="1" x14ac:dyDescent="0.25">
      <c r="A19" s="20"/>
      <c r="B19" s="21"/>
      <c r="C19" s="22"/>
      <c r="D19" s="26"/>
      <c r="E19" s="25"/>
      <c r="F19" s="24"/>
      <c r="G19" s="26"/>
      <c r="H19" s="26"/>
      <c r="I19" s="25"/>
      <c r="J19" s="27"/>
      <c r="K19" s="28"/>
    </row>
    <row r="20" spans="1:11" s="45" customFormat="1" ht="19.5" customHeight="1" x14ac:dyDescent="0.25">
      <c r="A20" s="29"/>
      <c r="B20" s="30"/>
      <c r="C20" s="31"/>
      <c r="D20" s="26"/>
      <c r="E20" s="25"/>
      <c r="F20" s="24"/>
      <c r="G20" s="26"/>
      <c r="H20" s="26"/>
      <c r="I20" s="25"/>
      <c r="J20" s="27"/>
      <c r="K20" s="28"/>
    </row>
    <row r="21" spans="1:11" s="45" customFormat="1" ht="19.5" customHeight="1" x14ac:dyDescent="0.25">
      <c r="A21" s="29"/>
      <c r="B21" s="30"/>
      <c r="C21" s="22"/>
      <c r="D21" s="26"/>
      <c r="E21" s="25"/>
      <c r="F21" s="24"/>
      <c r="G21" s="26"/>
      <c r="H21" s="26"/>
      <c r="I21" s="25"/>
      <c r="J21" s="27"/>
      <c r="K21" s="28"/>
    </row>
    <row r="22" spans="1:11" s="45" customFormat="1" ht="19.5" customHeight="1" x14ac:dyDescent="0.25">
      <c r="A22" s="29"/>
      <c r="B22" s="32"/>
      <c r="C22" s="22"/>
      <c r="D22" s="26"/>
      <c r="E22" s="25"/>
      <c r="F22" s="24"/>
      <c r="G22" s="26"/>
      <c r="H22" s="26"/>
      <c r="I22" s="25"/>
      <c r="J22" s="27"/>
      <c r="K22" s="28"/>
    </row>
    <row r="23" spans="1:11" s="45" customFormat="1" ht="19.5" customHeight="1" x14ac:dyDescent="0.25">
      <c r="A23" s="29"/>
      <c r="B23" s="30"/>
      <c r="C23" s="31"/>
      <c r="D23" s="26"/>
      <c r="E23" s="25"/>
      <c r="F23" s="24"/>
      <c r="G23" s="26"/>
      <c r="H23" s="26"/>
      <c r="I23" s="25"/>
      <c r="J23" s="27"/>
      <c r="K23" s="28"/>
    </row>
    <row r="24" spans="1:11" s="45" customFormat="1" ht="19.5" customHeight="1" x14ac:dyDescent="0.25">
      <c r="A24" s="29"/>
      <c r="B24" s="30"/>
      <c r="C24" s="31"/>
      <c r="D24" s="26"/>
      <c r="E24" s="25"/>
      <c r="F24" s="24"/>
      <c r="G24" s="26"/>
      <c r="H24" s="26"/>
      <c r="I24" s="25"/>
      <c r="J24" s="27"/>
      <c r="K24" s="28"/>
    </row>
    <row r="25" spans="1:11" s="45" customFormat="1" ht="19.5" customHeight="1" x14ac:dyDescent="0.25">
      <c r="A25" s="29"/>
      <c r="B25" s="30"/>
      <c r="C25" s="31"/>
      <c r="D25" s="26"/>
      <c r="E25" s="25"/>
      <c r="F25" s="24"/>
      <c r="G25" s="26"/>
      <c r="H25" s="26"/>
      <c r="I25" s="25"/>
      <c r="J25" s="27"/>
      <c r="K25" s="28"/>
    </row>
    <row r="26" spans="1:11" s="45" customFormat="1" ht="19.5" customHeight="1" x14ac:dyDescent="0.25">
      <c r="A26" s="29"/>
      <c r="B26" s="30"/>
      <c r="C26" s="31"/>
      <c r="D26" s="26"/>
      <c r="E26" s="25"/>
      <c r="F26" s="24"/>
      <c r="G26" s="26"/>
      <c r="H26" s="26"/>
      <c r="I26" s="25"/>
      <c r="J26" s="27"/>
      <c r="K26" s="28"/>
    </row>
    <row r="27" spans="1:11" s="45" customFormat="1" ht="19.5" customHeight="1" x14ac:dyDescent="0.25">
      <c r="A27" s="29"/>
      <c r="B27" s="21"/>
      <c r="C27" s="31"/>
      <c r="D27" s="26"/>
      <c r="E27" s="25"/>
      <c r="F27" s="24"/>
      <c r="G27" s="26"/>
      <c r="H27" s="26"/>
      <c r="I27" s="25"/>
      <c r="J27" s="27"/>
      <c r="K27" s="28"/>
    </row>
    <row r="28" spans="1:11" s="45" customFormat="1" ht="19.5" customHeight="1" x14ac:dyDescent="0.25">
      <c r="A28" s="29"/>
      <c r="B28" s="30"/>
      <c r="C28" s="31"/>
      <c r="D28" s="26"/>
      <c r="E28" s="25"/>
      <c r="F28" s="24"/>
      <c r="G28" s="26"/>
      <c r="H28" s="26"/>
      <c r="I28" s="25"/>
      <c r="J28" s="27"/>
      <c r="K28" s="28"/>
    </row>
    <row r="29" spans="1:11" s="45" customFormat="1" ht="19.5" customHeight="1" x14ac:dyDescent="0.25">
      <c r="A29" s="20"/>
      <c r="B29" s="21"/>
      <c r="C29" s="22"/>
      <c r="D29" s="26"/>
      <c r="E29" s="25"/>
      <c r="F29" s="24"/>
      <c r="G29" s="26"/>
      <c r="H29" s="26"/>
      <c r="I29" s="25"/>
      <c r="J29" s="27"/>
      <c r="K29" s="28"/>
    </row>
    <row r="30" spans="1:11" s="45" customFormat="1" ht="19.5" customHeight="1" x14ac:dyDescent="0.25">
      <c r="A30" s="29"/>
      <c r="B30" s="30"/>
      <c r="C30" s="31"/>
      <c r="D30" s="26"/>
      <c r="E30" s="25"/>
      <c r="F30" s="24"/>
      <c r="G30" s="26"/>
      <c r="H30" s="26"/>
      <c r="I30" s="25"/>
      <c r="J30" s="27"/>
      <c r="K30" s="28"/>
    </row>
    <row r="31" spans="1:11" s="45" customFormat="1" ht="19.5" customHeight="1" x14ac:dyDescent="0.25">
      <c r="A31" s="29"/>
      <c r="B31" s="30"/>
      <c r="C31" s="22"/>
      <c r="D31" s="26"/>
      <c r="E31" s="25"/>
      <c r="F31" s="24"/>
      <c r="G31" s="26"/>
      <c r="H31" s="26"/>
      <c r="I31" s="25"/>
      <c r="J31" s="27"/>
      <c r="K31" s="28"/>
    </row>
    <row r="32" spans="1:11" s="45" customFormat="1" ht="19.5" customHeight="1" x14ac:dyDescent="0.25">
      <c r="A32" s="29"/>
      <c r="B32" s="32"/>
      <c r="C32" s="22"/>
      <c r="D32" s="26"/>
      <c r="E32" s="25"/>
      <c r="F32" s="24"/>
      <c r="G32" s="26"/>
      <c r="H32" s="26"/>
      <c r="I32" s="25"/>
      <c r="J32" s="27"/>
      <c r="K32" s="28"/>
    </row>
    <row r="33" spans="1:14" s="45" customFormat="1" ht="19.5" customHeight="1" x14ac:dyDescent="0.25">
      <c r="A33" s="29"/>
      <c r="B33" s="30"/>
      <c r="C33" s="31"/>
      <c r="D33" s="26"/>
      <c r="E33" s="25"/>
      <c r="F33" s="24"/>
      <c r="G33" s="26"/>
      <c r="H33" s="26"/>
      <c r="I33" s="25"/>
      <c r="J33" s="27"/>
      <c r="K33" s="28"/>
    </row>
    <row r="34" spans="1:14" s="45" customFormat="1" ht="19.5" customHeight="1" x14ac:dyDescent="0.25">
      <c r="A34" s="29"/>
      <c r="B34" s="30"/>
      <c r="C34" s="31"/>
      <c r="D34" s="26"/>
      <c r="E34" s="25"/>
      <c r="F34" s="24"/>
      <c r="G34" s="26"/>
      <c r="H34" s="26"/>
      <c r="I34" s="25"/>
      <c r="J34" s="27"/>
      <c r="K34" s="28"/>
    </row>
    <row r="35" spans="1:14" s="45" customFormat="1" ht="19.5" customHeight="1" x14ac:dyDescent="0.25">
      <c r="A35" s="29"/>
      <c r="B35" s="30"/>
      <c r="C35" s="31"/>
      <c r="D35" s="26"/>
      <c r="E35" s="25"/>
      <c r="F35" s="24"/>
      <c r="G35" s="26"/>
      <c r="H35" s="26"/>
      <c r="I35" s="25"/>
      <c r="J35" s="27"/>
      <c r="K35" s="28"/>
    </row>
    <row r="36" spans="1:14" s="45" customFormat="1" ht="19.5" customHeight="1" x14ac:dyDescent="0.25">
      <c r="A36" s="29"/>
      <c r="B36" s="30"/>
      <c r="C36" s="31"/>
      <c r="D36" s="26"/>
      <c r="E36" s="25"/>
      <c r="F36" s="24"/>
      <c r="G36" s="26"/>
      <c r="H36" s="26"/>
      <c r="I36" s="25"/>
      <c r="J36" s="27"/>
      <c r="K36" s="28"/>
    </row>
    <row r="37" spans="1:14" s="45" customFormat="1" ht="19.5" customHeight="1" x14ac:dyDescent="0.25">
      <c r="A37" s="29"/>
      <c r="B37" s="30"/>
      <c r="C37" s="31"/>
      <c r="D37" s="26"/>
      <c r="E37" s="25"/>
      <c r="F37" s="24"/>
      <c r="G37" s="26"/>
      <c r="H37" s="26"/>
      <c r="I37" s="25"/>
      <c r="J37" s="27"/>
      <c r="K37" s="28"/>
    </row>
    <row r="38" spans="1:14" s="45" customFormat="1" ht="19.5" customHeight="1" thickBot="1" x14ac:dyDescent="0.3">
      <c r="A38" s="29"/>
      <c r="B38" s="30"/>
      <c r="C38" s="31"/>
      <c r="D38" s="26"/>
      <c r="E38" s="25"/>
      <c r="F38" s="24"/>
      <c r="G38" s="26"/>
      <c r="H38" s="26"/>
      <c r="I38" s="25"/>
      <c r="J38" s="27"/>
      <c r="K38" s="28"/>
    </row>
    <row r="39" spans="1:14" s="45" customFormat="1" ht="19.5" customHeight="1" x14ac:dyDescent="0.25">
      <c r="A39" s="148" t="s">
        <v>26</v>
      </c>
      <c r="B39" s="149"/>
      <c r="C39" s="150"/>
      <c r="D39" s="35" t="e">
        <f t="shared" ref="D39:K39" si="0">AVERAGE(D9:D38)</f>
        <v>#DIV/0!</v>
      </c>
      <c r="E39" s="36" t="e">
        <f t="shared" si="0"/>
        <v>#DIV/0!</v>
      </c>
      <c r="F39" s="36" t="e">
        <f t="shared" si="0"/>
        <v>#DIV/0!</v>
      </c>
      <c r="G39" s="35" t="e">
        <f t="shared" si="0"/>
        <v>#DIV/0!</v>
      </c>
      <c r="H39" s="35" t="e">
        <f t="shared" si="0"/>
        <v>#DIV/0!</v>
      </c>
      <c r="I39" s="36" t="e">
        <f t="shared" si="0"/>
        <v>#DIV/0!</v>
      </c>
      <c r="J39" s="36" t="e">
        <f t="shared" si="0"/>
        <v>#DIV/0!</v>
      </c>
      <c r="K39" s="37" t="e">
        <f t="shared" si="0"/>
        <v>#DIV/0!</v>
      </c>
    </row>
    <row r="40" spans="1:14" s="45" customFormat="1" ht="19.5" customHeight="1" x14ac:dyDescent="0.25">
      <c r="A40" s="145" t="s">
        <v>31</v>
      </c>
      <c r="B40" s="146"/>
      <c r="C40" s="147"/>
      <c r="D40" s="38">
        <f t="shared" ref="D40:K40" si="1">MIN(D9:D38)</f>
        <v>0</v>
      </c>
      <c r="E40" s="39">
        <f t="shared" si="1"/>
        <v>0</v>
      </c>
      <c r="F40" s="39">
        <f t="shared" si="1"/>
        <v>0</v>
      </c>
      <c r="G40" s="38">
        <f t="shared" si="1"/>
        <v>0</v>
      </c>
      <c r="H40" s="38">
        <f t="shared" si="1"/>
        <v>0</v>
      </c>
      <c r="I40" s="39">
        <f t="shared" si="1"/>
        <v>0</v>
      </c>
      <c r="J40" s="39">
        <f t="shared" si="1"/>
        <v>0</v>
      </c>
      <c r="K40" s="40">
        <f t="shared" si="1"/>
        <v>0</v>
      </c>
    </row>
    <row r="41" spans="1:14" s="45" customFormat="1" ht="19.5" customHeight="1" thickBot="1" x14ac:dyDescent="0.3">
      <c r="A41" s="142" t="s">
        <v>32</v>
      </c>
      <c r="B41" s="143"/>
      <c r="C41" s="144"/>
      <c r="D41" s="41">
        <f t="shared" ref="D41:K41" si="2">MAX(D9:D38)</f>
        <v>0</v>
      </c>
      <c r="E41" s="42">
        <f t="shared" si="2"/>
        <v>0</v>
      </c>
      <c r="F41" s="42">
        <f t="shared" si="2"/>
        <v>0</v>
      </c>
      <c r="G41" s="41">
        <f t="shared" si="2"/>
        <v>0</v>
      </c>
      <c r="H41" s="41">
        <f t="shared" si="2"/>
        <v>0</v>
      </c>
      <c r="I41" s="42">
        <f t="shared" si="2"/>
        <v>0</v>
      </c>
      <c r="J41" s="42">
        <f t="shared" si="2"/>
        <v>0</v>
      </c>
      <c r="K41" s="43">
        <f t="shared" si="2"/>
        <v>0</v>
      </c>
      <c r="L41" s="5"/>
      <c r="M41" s="5"/>
      <c r="N41" s="5"/>
    </row>
    <row r="42" spans="1:14" s="45" customFormat="1" ht="16.5" customHeight="1" x14ac:dyDescent="0.25">
      <c r="A42" s="44" t="s">
        <v>20</v>
      </c>
      <c r="B42" s="151"/>
      <c r="C42" s="151"/>
      <c r="D42" s="44" t="s">
        <v>22</v>
      </c>
      <c r="F42" s="46"/>
      <c r="G42" s="47"/>
      <c r="H42" s="6"/>
      <c r="I42" s="6" t="s">
        <v>23</v>
      </c>
      <c r="J42" s="48"/>
      <c r="K42" s="49" t="s">
        <v>24</v>
      </c>
    </row>
    <row r="43" spans="1:14" s="45" customFormat="1" ht="16.5" customHeight="1" x14ac:dyDescent="0.25">
      <c r="A43" s="50"/>
      <c r="B43" s="152"/>
      <c r="C43" s="152"/>
      <c r="D43" s="44"/>
      <c r="F43" s="46"/>
      <c r="G43" s="47"/>
      <c r="H43" s="6"/>
      <c r="I43" s="7"/>
      <c r="J43" s="51"/>
    </row>
    <row r="44" spans="1:14" s="45" customFormat="1" ht="16.5" customHeight="1" x14ac:dyDescent="0.25">
      <c r="A44" s="134" t="s">
        <v>21</v>
      </c>
      <c r="B44" s="134"/>
      <c r="C44" s="134"/>
      <c r="D44" s="44"/>
      <c r="E44" s="44"/>
      <c r="F44" s="47" t="s">
        <v>129</v>
      </c>
      <c r="G44" s="46">
        <v>461309100</v>
      </c>
      <c r="H44" s="44"/>
    </row>
    <row r="45" spans="1:14" s="45" customFormat="1" ht="16.5" customHeight="1" x14ac:dyDescent="0.25">
      <c r="A45" s="134" t="s">
        <v>130</v>
      </c>
      <c r="B45" s="134"/>
      <c r="C45" s="134"/>
      <c r="D45" s="44"/>
      <c r="E45" s="44"/>
      <c r="F45" s="44"/>
      <c r="I45" s="44"/>
      <c r="J45" s="52"/>
      <c r="K45" s="52" t="s">
        <v>35</v>
      </c>
    </row>
    <row r="46" spans="1:14" x14ac:dyDescent="0.25">
      <c r="A46" s="44"/>
      <c r="B46" s="44"/>
      <c r="C46" s="44"/>
      <c r="D46" s="44"/>
      <c r="E46" s="44"/>
      <c r="F46" s="44"/>
      <c r="G46" s="45"/>
      <c r="H46" s="45"/>
      <c r="I46" s="44"/>
      <c r="J46" s="52"/>
      <c r="K46" s="52"/>
    </row>
    <row r="47" spans="1:14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  <row r="50" spans="11:11" x14ac:dyDescent="0.25">
      <c r="K50" s="7"/>
    </row>
  </sheetData>
  <dataConsolidate/>
  <mergeCells count="25">
    <mergeCell ref="I6:K6"/>
    <mergeCell ref="I7:K7"/>
    <mergeCell ref="J4:K4"/>
    <mergeCell ref="J5:K5"/>
    <mergeCell ref="A1:J1"/>
    <mergeCell ref="A2:J2"/>
    <mergeCell ref="A4:B4"/>
    <mergeCell ref="C4:D4"/>
    <mergeCell ref="A5:B5"/>
    <mergeCell ref="C5:D5"/>
    <mergeCell ref="G7:G8"/>
    <mergeCell ref="H7:H8"/>
    <mergeCell ref="E7:E8"/>
    <mergeCell ref="F7:F8"/>
    <mergeCell ref="G6:H6"/>
    <mergeCell ref="D7:D8"/>
    <mergeCell ref="A45:C45"/>
    <mergeCell ref="A6:C6"/>
    <mergeCell ref="A7:C8"/>
    <mergeCell ref="A41:C41"/>
    <mergeCell ref="A40:C40"/>
    <mergeCell ref="A39:C39"/>
    <mergeCell ref="B42:C42"/>
    <mergeCell ref="A44:C44"/>
    <mergeCell ref="B43:C43"/>
  </mergeCells>
  <phoneticPr fontId="10" type="noConversion"/>
  <conditionalFormatting sqref="D9:D41">
    <cfRule type="cellIs" dxfId="17" priority="13" operator="notBetween">
      <formula>17</formula>
      <formula>20</formula>
    </cfRule>
  </conditionalFormatting>
  <conditionalFormatting sqref="E9:E41">
    <cfRule type="cellIs" dxfId="16" priority="11" operator="notBetween">
      <formula>18</formula>
      <formula>28</formula>
    </cfRule>
  </conditionalFormatting>
  <conditionalFormatting sqref="F9:F41">
    <cfRule type="cellIs" dxfId="15" priority="9" operator="notBetween">
      <formula>360</formula>
      <formula>400</formula>
    </cfRule>
  </conditionalFormatting>
  <conditionalFormatting sqref="G9:G41">
    <cfRule type="cellIs" dxfId="14" priority="7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5" operator="notBetween">
      <formula>900</formula>
      <formula>1200</formula>
    </cfRule>
  </conditionalFormatting>
  <conditionalFormatting sqref="J9:J41">
    <cfRule type="cellIs" dxfId="11" priority="4" operator="lessThan">
      <formula>350</formula>
    </cfRule>
  </conditionalFormatting>
  <conditionalFormatting sqref="K9:K41">
    <cfRule type="cellIs" dxfId="10" priority="3" operator="lessThan">
      <formula>300</formula>
    </cfRule>
  </conditionalFormatting>
  <pageMargins left="0.39370078740157483" right="0.19685039370078741" top="0.11811023622047245" bottom="0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pageSetUpPr fitToPage="1"/>
  </sheetPr>
  <dimension ref="A1:K60"/>
  <sheetViews>
    <sheetView view="pageBreakPreview" zoomScaleNormal="100" zoomScaleSheetLayoutView="100" workbookViewId="0">
      <selection activeCell="C30" sqref="C30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5"/>
  </cols>
  <sheetData>
    <row r="1" spans="1:11" s="45" customFormat="1" ht="15.75" customHeight="1" x14ac:dyDescent="0.25">
      <c r="A1" s="161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3" t="s">
        <v>27</v>
      </c>
    </row>
    <row r="2" spans="1:11" s="45" customFormat="1" ht="15.75" customHeight="1" x14ac:dyDescent="0.25">
      <c r="A2" s="161" t="s">
        <v>19</v>
      </c>
      <c r="B2" s="161"/>
      <c r="C2" s="161"/>
      <c r="D2" s="161"/>
      <c r="E2" s="161"/>
      <c r="F2" s="161"/>
      <c r="G2" s="161"/>
      <c r="H2" s="161"/>
      <c r="I2" s="161"/>
      <c r="J2" s="161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62" t="s">
        <v>17</v>
      </c>
      <c r="B4" s="163">
        <f>Page1!B4:D4</f>
        <v>0</v>
      </c>
      <c r="C4" s="220">
        <f>Page1!C4</f>
        <v>0</v>
      </c>
      <c r="D4" s="209"/>
      <c r="E4" s="9" t="s">
        <v>4</v>
      </c>
      <c r="F4" s="119">
        <f>Page1!F4</f>
        <v>0</v>
      </c>
      <c r="G4" s="9" t="s">
        <v>5</v>
      </c>
      <c r="H4" s="10">
        <f>Page1!H4</f>
        <v>0</v>
      </c>
      <c r="I4" s="11" t="s">
        <v>6</v>
      </c>
      <c r="J4" s="221">
        <f>Page1!J4</f>
        <v>0</v>
      </c>
      <c r="K4" s="222"/>
    </row>
    <row r="5" spans="1:11" s="45" customFormat="1" ht="23.25" customHeight="1" thickBot="1" x14ac:dyDescent="0.3">
      <c r="A5" s="166" t="s">
        <v>18</v>
      </c>
      <c r="B5" s="167">
        <f>Page1!B5:D5</f>
        <v>0</v>
      </c>
      <c r="C5" s="168">
        <f>Page1!C5</f>
        <v>0</v>
      </c>
      <c r="D5" s="169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85">
        <f>Page1!J5</f>
        <v>0</v>
      </c>
      <c r="K5" s="186"/>
    </row>
    <row r="6" spans="1:11" s="45" customFormat="1" ht="15.75" customHeight="1" thickBot="1" x14ac:dyDescent="0.3">
      <c r="A6" s="205" t="s">
        <v>131</v>
      </c>
      <c r="B6" s="206"/>
      <c r="C6" s="207"/>
      <c r="D6" s="187"/>
      <c r="E6" s="188"/>
      <c r="F6" s="204"/>
      <c r="G6" s="191"/>
      <c r="H6" s="204"/>
      <c r="I6" s="202"/>
      <c r="J6" s="203"/>
      <c r="K6" s="55"/>
    </row>
    <row r="7" spans="1:11" s="5" customFormat="1" ht="15" customHeight="1" x14ac:dyDescent="0.25">
      <c r="A7" s="187" t="s">
        <v>0</v>
      </c>
      <c r="B7" s="188"/>
      <c r="C7" s="188"/>
      <c r="D7" s="208" t="s">
        <v>2</v>
      </c>
      <c r="E7" s="188"/>
      <c r="F7" s="209"/>
      <c r="G7" s="191" t="s">
        <v>125</v>
      </c>
      <c r="H7" s="188"/>
      <c r="I7" s="191" t="s">
        <v>132</v>
      </c>
      <c r="J7" s="204"/>
      <c r="K7" s="195" t="s">
        <v>121</v>
      </c>
    </row>
    <row r="8" spans="1:11" s="5" customFormat="1" ht="15" customHeight="1" x14ac:dyDescent="0.25">
      <c r="A8" s="189"/>
      <c r="B8" s="190"/>
      <c r="C8" s="190"/>
      <c r="D8" s="189" t="s">
        <v>13</v>
      </c>
      <c r="E8" s="199" t="s">
        <v>14</v>
      </c>
      <c r="F8" s="200" t="s">
        <v>12</v>
      </c>
      <c r="G8" s="192"/>
      <c r="H8" s="190"/>
      <c r="I8" s="192" t="s">
        <v>133</v>
      </c>
      <c r="J8" s="200"/>
      <c r="K8" s="196"/>
    </row>
    <row r="9" spans="1:11" s="5" customFormat="1" ht="15" customHeight="1" x14ac:dyDescent="0.25">
      <c r="A9" s="189"/>
      <c r="B9" s="190"/>
      <c r="C9" s="190"/>
      <c r="D9" s="189"/>
      <c r="E9" s="170"/>
      <c r="F9" s="200"/>
      <c r="G9" s="192"/>
      <c r="H9" s="190"/>
      <c r="I9" s="57" t="s">
        <v>123</v>
      </c>
      <c r="J9" s="58">
        <v>250</v>
      </c>
      <c r="K9" s="196"/>
    </row>
    <row r="10" spans="1:11" s="5" customFormat="1" ht="18.75" customHeight="1" thickBot="1" x14ac:dyDescent="0.3">
      <c r="A10" s="189"/>
      <c r="B10" s="190"/>
      <c r="C10" s="190"/>
      <c r="D10" s="198"/>
      <c r="E10" s="171"/>
      <c r="F10" s="201"/>
      <c r="G10" s="193"/>
      <c r="H10" s="194"/>
      <c r="I10" s="59" t="s">
        <v>124</v>
      </c>
      <c r="J10" s="60">
        <v>253</v>
      </c>
      <c r="K10" s="197"/>
    </row>
    <row r="11" spans="1:11" s="45" customFormat="1" ht="19.5" customHeight="1" x14ac:dyDescent="0.25">
      <c r="A11" s="120">
        <f>Page1!A9</f>
        <v>0</v>
      </c>
      <c r="B11" s="121">
        <f>Page1!B9</f>
        <v>0</v>
      </c>
      <c r="C11" s="122">
        <f>Page1!C9</f>
        <v>0</v>
      </c>
      <c r="D11" s="61"/>
      <c r="E11" s="24"/>
      <c r="F11" s="24"/>
      <c r="G11" s="212"/>
      <c r="H11" s="212"/>
      <c r="I11" s="223"/>
      <c r="J11" s="224"/>
      <c r="K11" s="62"/>
    </row>
    <row r="12" spans="1:11" s="45" customFormat="1" ht="19.5" customHeight="1" x14ac:dyDescent="0.25">
      <c r="A12" s="123">
        <f>Page1!A10</f>
        <v>0</v>
      </c>
      <c r="B12" s="124">
        <f>Page1!B10</f>
        <v>0</v>
      </c>
      <c r="C12" s="125">
        <f>Page1!C10</f>
        <v>0</v>
      </c>
      <c r="D12" s="63"/>
      <c r="E12" s="25"/>
      <c r="F12" s="25"/>
      <c r="G12" s="213"/>
      <c r="H12" s="213"/>
      <c r="I12" s="175"/>
      <c r="J12" s="176"/>
      <c r="K12" s="64"/>
    </row>
    <row r="13" spans="1:11" s="45" customFormat="1" ht="19.5" customHeight="1" x14ac:dyDescent="0.25">
      <c r="A13" s="123">
        <f>Page1!A11</f>
        <v>0</v>
      </c>
      <c r="B13" s="124">
        <f>Page1!B11</f>
        <v>0</v>
      </c>
      <c r="C13" s="126">
        <f>Page1!C11</f>
        <v>0</v>
      </c>
      <c r="D13" s="63"/>
      <c r="E13" s="25"/>
      <c r="F13" s="25"/>
      <c r="G13" s="213"/>
      <c r="H13" s="213"/>
      <c r="I13" s="175"/>
      <c r="J13" s="176"/>
      <c r="K13" s="64"/>
    </row>
    <row r="14" spans="1:11" s="45" customFormat="1" ht="19.5" customHeight="1" x14ac:dyDescent="0.25">
      <c r="A14" s="123">
        <f>Page1!A12</f>
        <v>0</v>
      </c>
      <c r="B14" s="127">
        <f>Page1!B12</f>
        <v>0</v>
      </c>
      <c r="C14" s="126">
        <f>Page1!C12</f>
        <v>0</v>
      </c>
      <c r="D14" s="63"/>
      <c r="E14" s="25"/>
      <c r="F14" s="25"/>
      <c r="G14" s="213"/>
      <c r="H14" s="213"/>
      <c r="I14" s="175"/>
      <c r="J14" s="176"/>
      <c r="K14" s="64"/>
    </row>
    <row r="15" spans="1:11" s="45" customFormat="1" ht="19.5" customHeight="1" x14ac:dyDescent="0.25">
      <c r="A15" s="123">
        <f>Page1!A13</f>
        <v>0</v>
      </c>
      <c r="B15" s="124">
        <f>Page1!B13</f>
        <v>0</v>
      </c>
      <c r="C15" s="125">
        <f>Page1!C13</f>
        <v>0</v>
      </c>
      <c r="D15" s="63"/>
      <c r="E15" s="25"/>
      <c r="F15" s="25"/>
      <c r="G15" s="213"/>
      <c r="H15" s="213"/>
      <c r="I15" s="175"/>
      <c r="J15" s="176"/>
      <c r="K15" s="64"/>
    </row>
    <row r="16" spans="1:11" s="45" customFormat="1" ht="19.5" customHeight="1" x14ac:dyDescent="0.25">
      <c r="A16" s="123">
        <f>Page1!A14</f>
        <v>0</v>
      </c>
      <c r="B16" s="124">
        <f>Page1!B14</f>
        <v>0</v>
      </c>
      <c r="C16" s="125">
        <f>Page1!C14</f>
        <v>0</v>
      </c>
      <c r="D16" s="61"/>
      <c r="E16" s="24"/>
      <c r="F16" s="24"/>
      <c r="G16" s="212"/>
      <c r="H16" s="212"/>
      <c r="I16" s="175"/>
      <c r="J16" s="176"/>
      <c r="K16" s="62"/>
    </row>
    <row r="17" spans="1:11" s="45" customFormat="1" ht="19.5" customHeight="1" x14ac:dyDescent="0.25">
      <c r="A17" s="123">
        <f>Page1!A15</f>
        <v>0</v>
      </c>
      <c r="B17" s="124">
        <f>Page1!B15</f>
        <v>0</v>
      </c>
      <c r="C17" s="125">
        <f>Page1!C15</f>
        <v>0</v>
      </c>
      <c r="D17" s="63"/>
      <c r="E17" s="25"/>
      <c r="F17" s="25"/>
      <c r="G17" s="213"/>
      <c r="H17" s="213"/>
      <c r="I17" s="175"/>
      <c r="J17" s="176"/>
      <c r="K17" s="64"/>
    </row>
    <row r="18" spans="1:11" s="45" customFormat="1" ht="19.5" customHeight="1" x14ac:dyDescent="0.25">
      <c r="A18" s="123">
        <f>Page1!A16</f>
        <v>0</v>
      </c>
      <c r="B18" s="124">
        <f>Page1!B16</f>
        <v>0</v>
      </c>
      <c r="C18" s="125">
        <f>Page1!C16</f>
        <v>0</v>
      </c>
      <c r="D18" s="63"/>
      <c r="E18" s="25"/>
      <c r="F18" s="25"/>
      <c r="G18" s="213"/>
      <c r="H18" s="213"/>
      <c r="I18" s="175"/>
      <c r="J18" s="176"/>
      <c r="K18" s="64"/>
    </row>
    <row r="19" spans="1:11" s="45" customFormat="1" ht="19.5" customHeight="1" x14ac:dyDescent="0.25">
      <c r="A19" s="123">
        <f>Page1!A17</f>
        <v>0</v>
      </c>
      <c r="B19" s="128">
        <f>Page1!B17</f>
        <v>0</v>
      </c>
      <c r="C19" s="125">
        <f>Page1!C17</f>
        <v>0</v>
      </c>
      <c r="D19" s="63"/>
      <c r="E19" s="25"/>
      <c r="F19" s="25"/>
      <c r="G19" s="213"/>
      <c r="H19" s="213"/>
      <c r="I19" s="175"/>
      <c r="J19" s="176"/>
      <c r="K19" s="64"/>
    </row>
    <row r="20" spans="1:11" s="45" customFormat="1" ht="19.5" customHeight="1" x14ac:dyDescent="0.25">
      <c r="A20" s="123">
        <f>Page1!A18</f>
        <v>0</v>
      </c>
      <c r="B20" s="124">
        <f>Page1!B18</f>
        <v>0</v>
      </c>
      <c r="C20" s="125">
        <f>Page1!C18</f>
        <v>0</v>
      </c>
      <c r="D20" s="63"/>
      <c r="E20" s="25"/>
      <c r="F20" s="25"/>
      <c r="G20" s="210"/>
      <c r="H20" s="211"/>
      <c r="I20" s="175"/>
      <c r="J20" s="176"/>
      <c r="K20" s="64"/>
    </row>
    <row r="21" spans="1:11" s="45" customFormat="1" ht="19.5" customHeight="1" x14ac:dyDescent="0.25">
      <c r="A21" s="129">
        <f>Page1!A19</f>
        <v>0</v>
      </c>
      <c r="B21" s="128">
        <f>Page1!B19</f>
        <v>0</v>
      </c>
      <c r="C21" s="126">
        <f>Page1!C19</f>
        <v>0</v>
      </c>
      <c r="D21" s="63"/>
      <c r="E21" s="25"/>
      <c r="F21" s="25"/>
      <c r="G21" s="210"/>
      <c r="H21" s="211"/>
      <c r="I21" s="175"/>
      <c r="J21" s="176"/>
      <c r="K21" s="64"/>
    </row>
    <row r="22" spans="1:11" s="45" customFormat="1" ht="19.5" customHeight="1" x14ac:dyDescent="0.25">
      <c r="A22" s="123">
        <f>Page1!A20</f>
        <v>0</v>
      </c>
      <c r="B22" s="124">
        <f>Page1!B20</f>
        <v>0</v>
      </c>
      <c r="C22" s="125">
        <f>Page1!C20</f>
        <v>0</v>
      </c>
      <c r="D22" s="63"/>
      <c r="E22" s="25"/>
      <c r="F22" s="25"/>
      <c r="G22" s="210"/>
      <c r="H22" s="211"/>
      <c r="I22" s="175"/>
      <c r="J22" s="176"/>
      <c r="K22" s="64"/>
    </row>
    <row r="23" spans="1:11" s="45" customFormat="1" ht="19.5" customHeight="1" x14ac:dyDescent="0.25">
      <c r="A23" s="123">
        <f>Page1!A21</f>
        <v>0</v>
      </c>
      <c r="B23" s="124">
        <f>Page1!B21</f>
        <v>0</v>
      </c>
      <c r="C23" s="126">
        <f>Page1!C21</f>
        <v>0</v>
      </c>
      <c r="D23" s="63"/>
      <c r="E23" s="25"/>
      <c r="F23" s="25"/>
      <c r="G23" s="210"/>
      <c r="H23" s="211"/>
      <c r="I23" s="175"/>
      <c r="J23" s="176"/>
      <c r="K23" s="64"/>
    </row>
    <row r="24" spans="1:11" s="45" customFormat="1" ht="19.5" customHeight="1" x14ac:dyDescent="0.25">
      <c r="A24" s="123">
        <f>Page1!A22</f>
        <v>0</v>
      </c>
      <c r="B24" s="127">
        <f>Page1!B22</f>
        <v>0</v>
      </c>
      <c r="C24" s="126">
        <f>Page1!C22</f>
        <v>0</v>
      </c>
      <c r="D24" s="63"/>
      <c r="E24" s="25"/>
      <c r="F24" s="25"/>
      <c r="G24" s="210"/>
      <c r="H24" s="211"/>
      <c r="I24" s="175"/>
      <c r="J24" s="176"/>
      <c r="K24" s="64"/>
    </row>
    <row r="25" spans="1:11" s="45" customFormat="1" ht="19.5" customHeight="1" x14ac:dyDescent="0.25">
      <c r="A25" s="123">
        <f>Page1!A23</f>
        <v>0</v>
      </c>
      <c r="B25" s="124">
        <f>Page1!B23</f>
        <v>0</v>
      </c>
      <c r="C25" s="125">
        <f>Page1!C23</f>
        <v>0</v>
      </c>
      <c r="D25" s="63"/>
      <c r="E25" s="25"/>
      <c r="F25" s="25"/>
      <c r="G25" s="210"/>
      <c r="H25" s="211"/>
      <c r="I25" s="175"/>
      <c r="J25" s="176"/>
      <c r="K25" s="64"/>
    </row>
    <row r="26" spans="1:11" s="45" customFormat="1" ht="19.5" customHeight="1" x14ac:dyDescent="0.25">
      <c r="A26" s="123">
        <f>Page1!A24</f>
        <v>0</v>
      </c>
      <c r="B26" s="124">
        <f>Page1!B24</f>
        <v>0</v>
      </c>
      <c r="C26" s="125">
        <f>Page1!C24</f>
        <v>0</v>
      </c>
      <c r="D26" s="63"/>
      <c r="E26" s="25"/>
      <c r="F26" s="25"/>
      <c r="G26" s="210"/>
      <c r="H26" s="211"/>
      <c r="I26" s="175"/>
      <c r="J26" s="176"/>
      <c r="K26" s="64"/>
    </row>
    <row r="27" spans="1:11" s="45" customFormat="1" ht="19.5" customHeight="1" x14ac:dyDescent="0.25">
      <c r="A27" s="123">
        <f>Page1!A25</f>
        <v>0</v>
      </c>
      <c r="B27" s="124">
        <f>Page1!B25</f>
        <v>0</v>
      </c>
      <c r="C27" s="125">
        <f>Page1!C25</f>
        <v>0</v>
      </c>
      <c r="D27" s="63"/>
      <c r="E27" s="25"/>
      <c r="F27" s="25"/>
      <c r="G27" s="210"/>
      <c r="H27" s="211"/>
      <c r="I27" s="175"/>
      <c r="J27" s="176"/>
      <c r="K27" s="64"/>
    </row>
    <row r="28" spans="1:11" s="45" customFormat="1" ht="19.5" customHeight="1" x14ac:dyDescent="0.25">
      <c r="A28" s="123">
        <f>Page1!A26</f>
        <v>0</v>
      </c>
      <c r="B28" s="124">
        <f>Page1!B26</f>
        <v>0</v>
      </c>
      <c r="C28" s="125">
        <f>Page1!C26</f>
        <v>0</v>
      </c>
      <c r="D28" s="63"/>
      <c r="E28" s="25"/>
      <c r="F28" s="25"/>
      <c r="G28" s="210"/>
      <c r="H28" s="211"/>
      <c r="I28" s="175"/>
      <c r="J28" s="176"/>
      <c r="K28" s="64"/>
    </row>
    <row r="29" spans="1:11" s="45" customFormat="1" ht="19.5" customHeight="1" x14ac:dyDescent="0.25">
      <c r="A29" s="123">
        <f>Page1!A27</f>
        <v>0</v>
      </c>
      <c r="B29" s="128">
        <f>Page1!B27</f>
        <v>0</v>
      </c>
      <c r="C29" s="125">
        <f>Page1!C27</f>
        <v>0</v>
      </c>
      <c r="D29" s="63"/>
      <c r="E29" s="25"/>
      <c r="F29" s="25"/>
      <c r="G29" s="210"/>
      <c r="H29" s="211"/>
      <c r="I29" s="175"/>
      <c r="J29" s="176"/>
      <c r="K29" s="64"/>
    </row>
    <row r="30" spans="1:11" s="45" customFormat="1" ht="19.5" customHeight="1" x14ac:dyDescent="0.25">
      <c r="A30" s="123">
        <f>Page1!A28</f>
        <v>0</v>
      </c>
      <c r="B30" s="124">
        <f>Page1!B28</f>
        <v>0</v>
      </c>
      <c r="C30" s="125">
        <f>Page1!C28</f>
        <v>0</v>
      </c>
      <c r="D30" s="63"/>
      <c r="E30" s="25"/>
      <c r="F30" s="25"/>
      <c r="G30" s="210"/>
      <c r="H30" s="211"/>
      <c r="I30" s="175"/>
      <c r="J30" s="176"/>
      <c r="K30" s="64"/>
    </row>
    <row r="31" spans="1:11" s="45" customFormat="1" ht="19.5" customHeight="1" x14ac:dyDescent="0.25">
      <c r="A31" s="129">
        <f>Page1!A29</f>
        <v>0</v>
      </c>
      <c r="B31" s="128">
        <f>Page1!B29</f>
        <v>0</v>
      </c>
      <c r="C31" s="126">
        <f>Page1!C29</f>
        <v>0</v>
      </c>
      <c r="D31" s="63"/>
      <c r="E31" s="25"/>
      <c r="F31" s="25"/>
      <c r="G31" s="210"/>
      <c r="H31" s="211"/>
      <c r="I31" s="175"/>
      <c r="J31" s="176"/>
      <c r="K31" s="64"/>
    </row>
    <row r="32" spans="1:11" s="45" customFormat="1" ht="19.5" customHeight="1" x14ac:dyDescent="0.25">
      <c r="A32" s="123">
        <f>Page1!A30</f>
        <v>0</v>
      </c>
      <c r="B32" s="124">
        <f>Page1!B30</f>
        <v>0</v>
      </c>
      <c r="C32" s="125">
        <f>Page1!C30</f>
        <v>0</v>
      </c>
      <c r="D32" s="63"/>
      <c r="E32" s="25"/>
      <c r="F32" s="25"/>
      <c r="G32" s="210"/>
      <c r="H32" s="211"/>
      <c r="I32" s="175"/>
      <c r="J32" s="176"/>
      <c r="K32" s="64"/>
    </row>
    <row r="33" spans="1:11" s="45" customFormat="1" ht="19.5" customHeight="1" x14ac:dyDescent="0.25">
      <c r="A33" s="123">
        <f>Page1!A31</f>
        <v>0</v>
      </c>
      <c r="B33" s="124">
        <f>Page1!B31</f>
        <v>0</v>
      </c>
      <c r="C33" s="126">
        <f>Page1!C31</f>
        <v>0</v>
      </c>
      <c r="D33" s="63"/>
      <c r="E33" s="25"/>
      <c r="F33" s="25"/>
      <c r="G33" s="210"/>
      <c r="H33" s="211"/>
      <c r="I33" s="175"/>
      <c r="J33" s="176"/>
      <c r="K33" s="64"/>
    </row>
    <row r="34" spans="1:11" s="45" customFormat="1" ht="19.5" customHeight="1" x14ac:dyDescent="0.25">
      <c r="A34" s="123">
        <f>Page1!A32</f>
        <v>0</v>
      </c>
      <c r="B34" s="127">
        <f>Page1!B32</f>
        <v>0</v>
      </c>
      <c r="C34" s="126">
        <f>Page1!C32</f>
        <v>0</v>
      </c>
      <c r="D34" s="63"/>
      <c r="E34" s="25"/>
      <c r="F34" s="25"/>
      <c r="G34" s="210"/>
      <c r="H34" s="211"/>
      <c r="I34" s="175"/>
      <c r="J34" s="176"/>
      <c r="K34" s="64"/>
    </row>
    <row r="35" spans="1:11" s="45" customFormat="1" ht="19.5" customHeight="1" x14ac:dyDescent="0.25">
      <c r="A35" s="123">
        <f>Page1!A33</f>
        <v>0</v>
      </c>
      <c r="B35" s="124">
        <f>Page1!B33</f>
        <v>0</v>
      </c>
      <c r="C35" s="125">
        <f>Page1!C33</f>
        <v>0</v>
      </c>
      <c r="D35" s="63"/>
      <c r="E35" s="25"/>
      <c r="F35" s="25"/>
      <c r="G35" s="210"/>
      <c r="H35" s="211"/>
      <c r="I35" s="175"/>
      <c r="J35" s="176"/>
      <c r="K35" s="64"/>
    </row>
    <row r="36" spans="1:11" s="45" customFormat="1" ht="19.5" customHeight="1" x14ac:dyDescent="0.25">
      <c r="A36" s="123">
        <f>Page1!A34</f>
        <v>0</v>
      </c>
      <c r="B36" s="124">
        <f>Page1!B34</f>
        <v>0</v>
      </c>
      <c r="C36" s="125">
        <f>Page1!C34</f>
        <v>0</v>
      </c>
      <c r="D36" s="63"/>
      <c r="E36" s="25"/>
      <c r="F36" s="25"/>
      <c r="G36" s="210"/>
      <c r="H36" s="211"/>
      <c r="I36" s="175"/>
      <c r="J36" s="176"/>
      <c r="K36" s="64"/>
    </row>
    <row r="37" spans="1:11" s="45" customFormat="1" ht="19.5" customHeight="1" x14ac:dyDescent="0.25">
      <c r="A37" s="123">
        <f>Page1!A35</f>
        <v>0</v>
      </c>
      <c r="B37" s="124">
        <f>Page1!B35</f>
        <v>0</v>
      </c>
      <c r="C37" s="125">
        <f>Page1!C35</f>
        <v>0</v>
      </c>
      <c r="D37" s="63"/>
      <c r="E37" s="25"/>
      <c r="F37" s="25"/>
      <c r="G37" s="210"/>
      <c r="H37" s="211"/>
      <c r="I37" s="175"/>
      <c r="J37" s="176"/>
      <c r="K37" s="64"/>
    </row>
    <row r="38" spans="1:11" s="45" customFormat="1" ht="19.5" customHeight="1" x14ac:dyDescent="0.25">
      <c r="A38" s="123">
        <f>Page1!A36</f>
        <v>0</v>
      </c>
      <c r="B38" s="124">
        <f>Page1!B36</f>
        <v>0</v>
      </c>
      <c r="C38" s="125">
        <f>Page1!C36</f>
        <v>0</v>
      </c>
      <c r="D38" s="63"/>
      <c r="E38" s="25"/>
      <c r="F38" s="25"/>
      <c r="G38" s="210"/>
      <c r="H38" s="211"/>
      <c r="I38" s="175"/>
      <c r="J38" s="176"/>
      <c r="K38" s="64"/>
    </row>
    <row r="39" spans="1:11" s="45" customFormat="1" ht="19.5" customHeight="1" x14ac:dyDescent="0.25">
      <c r="A39" s="123">
        <f>Page1!A37</f>
        <v>0</v>
      </c>
      <c r="B39" s="124">
        <f>Page1!B37</f>
        <v>0</v>
      </c>
      <c r="C39" s="125">
        <f>Page1!C37</f>
        <v>0</v>
      </c>
      <c r="D39" s="63"/>
      <c r="E39" s="25"/>
      <c r="F39" s="25"/>
      <c r="G39" s="210"/>
      <c r="H39" s="211"/>
      <c r="I39" s="175"/>
      <c r="J39" s="176"/>
      <c r="K39" s="64"/>
    </row>
    <row r="40" spans="1:11" s="45" customFormat="1" ht="19.5" customHeight="1" thickBot="1" x14ac:dyDescent="0.3">
      <c r="A40" s="130">
        <f>Page1!A38</f>
        <v>0</v>
      </c>
      <c r="B40" s="131">
        <f>Page1!B38</f>
        <v>0</v>
      </c>
      <c r="C40" s="132">
        <f>Page1!C38</f>
        <v>0</v>
      </c>
      <c r="D40" s="63"/>
      <c r="E40" s="25"/>
      <c r="F40" s="25"/>
      <c r="G40" s="213"/>
      <c r="H40" s="213"/>
      <c r="I40" s="175"/>
      <c r="J40" s="176"/>
      <c r="K40" s="64"/>
    </row>
    <row r="41" spans="1:11" s="45" customFormat="1" ht="19.5" customHeight="1" x14ac:dyDescent="0.25">
      <c r="A41" s="216" t="s">
        <v>26</v>
      </c>
      <c r="B41" s="217"/>
      <c r="C41" s="217"/>
      <c r="D41" s="65" t="e">
        <f>AVERAGE(D11:D40)</f>
        <v>#DIV/0!</v>
      </c>
      <c r="E41" s="36" t="e">
        <f>AVERAGE(E11:E40)</f>
        <v>#DIV/0!</v>
      </c>
      <c r="F41" s="36" t="e">
        <f>AVERAGE(F11:F40)</f>
        <v>#DIV/0!</v>
      </c>
      <c r="G41" s="214" t="e">
        <f>AVERAGE(G11:H40)</f>
        <v>#DIV/0!</v>
      </c>
      <c r="H41" s="215"/>
      <c r="I41" s="177" t="e">
        <f>AVERAGE(I11:J40)</f>
        <v>#DIV/0!</v>
      </c>
      <c r="J41" s="178"/>
      <c r="K41" s="37" t="e">
        <f>AVERAGE(K11:K40)</f>
        <v>#DIV/0!</v>
      </c>
    </row>
    <row r="42" spans="1:11" s="45" customFormat="1" ht="19.5" customHeight="1" x14ac:dyDescent="0.25">
      <c r="A42" s="218" t="s">
        <v>31</v>
      </c>
      <c r="B42" s="219"/>
      <c r="C42" s="219"/>
      <c r="D42" s="66">
        <f>MIN(D11:D40)</f>
        <v>0</v>
      </c>
      <c r="E42" s="39">
        <f>MIN(E11:E40)</f>
        <v>0</v>
      </c>
      <c r="F42" s="39">
        <f>MIN(F11:F40)</f>
        <v>0</v>
      </c>
      <c r="G42" s="225">
        <f>MIN(G11:H40)</f>
        <v>0</v>
      </c>
      <c r="H42" s="226"/>
      <c r="I42" s="173">
        <f>MIN(I11:J40)</f>
        <v>0</v>
      </c>
      <c r="J42" s="174"/>
      <c r="K42" s="40">
        <f>MIN(K11:K40)</f>
        <v>0</v>
      </c>
    </row>
    <row r="43" spans="1:11" s="5" customFormat="1" ht="19.5" customHeight="1" thickBot="1" x14ac:dyDescent="0.3">
      <c r="A43" s="183" t="s">
        <v>32</v>
      </c>
      <c r="B43" s="184"/>
      <c r="C43" s="184"/>
      <c r="D43" s="67">
        <f>MAX(D11:D40)</f>
        <v>0</v>
      </c>
      <c r="E43" s="68">
        <f>MAX(E11:E40)</f>
        <v>0</v>
      </c>
      <c r="F43" s="68">
        <f>MAX(F11:F40)</f>
        <v>0</v>
      </c>
      <c r="G43" s="179">
        <f>MAX(G11:H40)</f>
        <v>0</v>
      </c>
      <c r="H43" s="180"/>
      <c r="I43" s="181">
        <f>MAX(I11:J40)</f>
        <v>0</v>
      </c>
      <c r="J43" s="182"/>
      <c r="K43" s="69">
        <f>MAX(K11:K40)</f>
        <v>0</v>
      </c>
    </row>
    <row r="44" spans="1:11" s="45" customFormat="1" ht="16.5" customHeight="1" x14ac:dyDescent="0.25">
      <c r="A44" s="44" t="s">
        <v>20</v>
      </c>
      <c r="B44" s="151"/>
      <c r="C44" s="151"/>
      <c r="D44" s="44" t="s">
        <v>22</v>
      </c>
      <c r="F44" s="46"/>
      <c r="G44" s="47"/>
      <c r="H44" s="6"/>
      <c r="I44" s="6" t="s">
        <v>23</v>
      </c>
      <c r="J44" s="48"/>
      <c r="K44" s="49" t="s">
        <v>24</v>
      </c>
    </row>
    <row r="45" spans="1:11" s="45" customFormat="1" ht="16.5" customHeight="1" x14ac:dyDescent="0.25">
      <c r="A45" s="50"/>
      <c r="B45" s="152"/>
      <c r="C45" s="152"/>
      <c r="D45" s="44"/>
      <c r="F45" s="46"/>
      <c r="G45" s="47"/>
      <c r="H45" s="6"/>
      <c r="I45" s="7"/>
      <c r="J45" s="51"/>
    </row>
    <row r="46" spans="1:11" s="45" customFormat="1" ht="16.5" customHeight="1" x14ac:dyDescent="0.25">
      <c r="A46" s="134" t="s">
        <v>21</v>
      </c>
      <c r="B46" s="134"/>
      <c r="C46" s="134"/>
      <c r="D46" s="44"/>
      <c r="E46" s="44"/>
      <c r="F46" s="47" t="s">
        <v>129</v>
      </c>
      <c r="G46" s="46">
        <f>Page1!G44</f>
        <v>461309100</v>
      </c>
      <c r="H46" s="44"/>
    </row>
    <row r="47" spans="1:11" s="45" customFormat="1" ht="16.5" customHeight="1" x14ac:dyDescent="0.25">
      <c r="A47" s="134" t="s">
        <v>130</v>
      </c>
      <c r="B47" s="134"/>
      <c r="C47" s="134"/>
      <c r="D47" s="44"/>
      <c r="E47" s="44"/>
      <c r="F47" s="44"/>
      <c r="I47" s="44"/>
      <c r="J47" s="52"/>
      <c r="K47" s="52" t="s">
        <v>36</v>
      </c>
    </row>
    <row r="48" spans="1:11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4"/>
      <c r="K48" s="54"/>
    </row>
    <row r="51" spans="9:9" x14ac:dyDescent="0.25">
      <c r="I51" s="70"/>
    </row>
    <row r="52" spans="9:9" x14ac:dyDescent="0.25">
      <c r="I52" s="70"/>
    </row>
    <row r="53" spans="9:9" x14ac:dyDescent="0.25">
      <c r="I53" s="70"/>
    </row>
    <row r="54" spans="9:9" x14ac:dyDescent="0.25">
      <c r="I54" s="70"/>
    </row>
    <row r="55" spans="9:9" x14ac:dyDescent="0.25">
      <c r="I55" s="70"/>
    </row>
    <row r="56" spans="9:9" x14ac:dyDescent="0.25">
      <c r="I56" s="70"/>
    </row>
    <row r="57" spans="9:9" x14ac:dyDescent="0.25">
      <c r="I57" s="70"/>
    </row>
    <row r="58" spans="9:9" x14ac:dyDescent="0.25">
      <c r="I58" s="70"/>
    </row>
    <row r="59" spans="9:9" x14ac:dyDescent="0.25">
      <c r="I59" s="70"/>
    </row>
    <row r="60" spans="9:9" x14ac:dyDescent="0.25">
      <c r="I60" s="70"/>
    </row>
  </sheetData>
  <mergeCells count="94">
    <mergeCell ref="A41:C41"/>
    <mergeCell ref="A42:C42"/>
    <mergeCell ref="A5:B5"/>
    <mergeCell ref="C5:D5"/>
    <mergeCell ref="A1:J1"/>
    <mergeCell ref="A2:J2"/>
    <mergeCell ref="A4:B4"/>
    <mergeCell ref="C4:D4"/>
    <mergeCell ref="J4:K4"/>
    <mergeCell ref="I11:J11"/>
    <mergeCell ref="I12:J12"/>
    <mergeCell ref="I13:J13"/>
    <mergeCell ref="I14:J14"/>
    <mergeCell ref="I7:J7"/>
    <mergeCell ref="G42:H42"/>
    <mergeCell ref="G28:H28"/>
    <mergeCell ref="G41:H41"/>
    <mergeCell ref="I17:J17"/>
    <mergeCell ref="I18:J18"/>
    <mergeCell ref="G20:H20"/>
    <mergeCell ref="G21:H21"/>
    <mergeCell ref="G22:H22"/>
    <mergeCell ref="G23:H23"/>
    <mergeCell ref="G24:H24"/>
    <mergeCell ref="G25:H25"/>
    <mergeCell ref="G26:H26"/>
    <mergeCell ref="G27:H27"/>
    <mergeCell ref="G19:H19"/>
    <mergeCell ref="G40:H40"/>
    <mergeCell ref="G29:H29"/>
    <mergeCell ref="G30:H30"/>
    <mergeCell ref="G31:H31"/>
    <mergeCell ref="G37:H37"/>
    <mergeCell ref="G38:H38"/>
    <mergeCell ref="G39:H39"/>
    <mergeCell ref="G11:H11"/>
    <mergeCell ref="G12:H12"/>
    <mergeCell ref="G13:H13"/>
    <mergeCell ref="G14:H14"/>
    <mergeCell ref="G15:H15"/>
    <mergeCell ref="G16:H16"/>
    <mergeCell ref="G17:H17"/>
    <mergeCell ref="G18:H18"/>
    <mergeCell ref="G34:H34"/>
    <mergeCell ref="G35:H35"/>
    <mergeCell ref="G36:H36"/>
    <mergeCell ref="G32:H32"/>
    <mergeCell ref="G33:H33"/>
    <mergeCell ref="J5:K5"/>
    <mergeCell ref="A7:C10"/>
    <mergeCell ref="G7:H10"/>
    <mergeCell ref="K7:K10"/>
    <mergeCell ref="D8:D10"/>
    <mergeCell ref="E8:E10"/>
    <mergeCell ref="F8:F10"/>
    <mergeCell ref="I8:J8"/>
    <mergeCell ref="I6:J6"/>
    <mergeCell ref="G6:H6"/>
    <mergeCell ref="A6:C6"/>
    <mergeCell ref="D6:F6"/>
    <mergeCell ref="D7:F7"/>
    <mergeCell ref="G43:H43"/>
    <mergeCell ref="I43:J43"/>
    <mergeCell ref="B44:C44"/>
    <mergeCell ref="B45:C45"/>
    <mergeCell ref="A47:C47"/>
    <mergeCell ref="A46:C46"/>
    <mergeCell ref="A43:C43"/>
    <mergeCell ref="I15:J15"/>
    <mergeCell ref="I16:J16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42:J42"/>
    <mergeCell ref="I37:J37"/>
    <mergeCell ref="I38:J38"/>
    <mergeCell ref="I39:J39"/>
    <mergeCell ref="I40:J40"/>
    <mergeCell ref="I41:J41"/>
  </mergeCells>
  <phoneticPr fontId="10" type="noConversion"/>
  <conditionalFormatting sqref="D11:D43">
    <cfRule type="cellIs" dxfId="9" priority="8" operator="notBetween">
      <formula>700</formula>
      <formula>1000</formula>
    </cfRule>
  </conditionalFormatting>
  <conditionalFormatting sqref="E11:E43">
    <cfRule type="cellIs" dxfId="8" priority="7" operator="lessThan">
      <formula>400</formula>
    </cfRule>
  </conditionalFormatting>
  <conditionalFormatting sqref="F11:F43">
    <cfRule type="cellIs" dxfId="7" priority="6" operator="lessThan">
      <formula>300</formula>
    </cfRule>
  </conditionalFormatting>
  <conditionalFormatting sqref="G11:H19 G20:G39 G40:H43">
    <cfRule type="cellIs" dxfId="6" priority="4" operator="notBetween">
      <formula>45</formula>
      <formula>55</formula>
    </cfRule>
  </conditionalFormatting>
  <conditionalFormatting sqref="I11:J43">
    <cfRule type="cellIs" dxfId="5" priority="1" operator="notBetween">
      <formula>250</formula>
      <formula>253</formula>
    </cfRule>
  </conditionalFormatting>
  <conditionalFormatting sqref="K11:K43">
    <cfRule type="cellIs" dxfId="4" priority="2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K47"/>
  <sheetViews>
    <sheetView view="pageBreakPreview" zoomScaleNormal="100" zoomScaleSheetLayoutView="100" workbookViewId="0">
      <selection activeCell="E15" sqref="E15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5"/>
  </cols>
  <sheetData>
    <row r="1" spans="1:11" s="45" customFormat="1" ht="15.75" customHeight="1" x14ac:dyDescent="0.25">
      <c r="A1" s="161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3" t="s">
        <v>27</v>
      </c>
    </row>
    <row r="2" spans="1:11" s="45" customFormat="1" ht="15.75" customHeight="1" x14ac:dyDescent="0.25">
      <c r="A2" s="161" t="s">
        <v>19</v>
      </c>
      <c r="B2" s="161"/>
      <c r="C2" s="161"/>
      <c r="D2" s="161"/>
      <c r="E2" s="161"/>
      <c r="F2" s="161"/>
      <c r="G2" s="161"/>
      <c r="H2" s="161"/>
      <c r="I2" s="161"/>
      <c r="J2" s="161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62" t="s">
        <v>17</v>
      </c>
      <c r="B4" s="163">
        <f>Page1!B4:D4</f>
        <v>0</v>
      </c>
      <c r="C4" s="220">
        <f>Page1!C4</f>
        <v>0</v>
      </c>
      <c r="D4" s="209"/>
      <c r="E4" s="9" t="s">
        <v>4</v>
      </c>
      <c r="F4" s="119">
        <f>Page1!F4</f>
        <v>0</v>
      </c>
      <c r="G4" s="9" t="s">
        <v>5</v>
      </c>
      <c r="H4" s="10">
        <f>Page1!H4</f>
        <v>0</v>
      </c>
      <c r="I4" s="11" t="s">
        <v>6</v>
      </c>
      <c r="J4" s="221">
        <f>Page1!J4</f>
        <v>0</v>
      </c>
      <c r="K4" s="222"/>
    </row>
    <row r="5" spans="1:11" s="45" customFormat="1" ht="23.25" customHeight="1" thickBot="1" x14ac:dyDescent="0.3">
      <c r="A5" s="166" t="s">
        <v>18</v>
      </c>
      <c r="B5" s="167">
        <f>Page1!B5:D5</f>
        <v>0</v>
      </c>
      <c r="C5" s="168">
        <f>Page1!C5</f>
        <v>0</v>
      </c>
      <c r="D5" s="169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85">
        <f>Page1!J5</f>
        <v>0</v>
      </c>
      <c r="K5" s="186"/>
    </row>
    <row r="6" spans="1:11" s="45" customFormat="1" ht="15.75" customHeight="1" thickBot="1" x14ac:dyDescent="0.3">
      <c r="A6" s="227" t="s">
        <v>131</v>
      </c>
      <c r="B6" s="228"/>
      <c r="C6" s="229"/>
      <c r="D6" s="230"/>
      <c r="E6" s="154"/>
      <c r="F6" s="154"/>
      <c r="G6" s="172"/>
      <c r="H6" s="71"/>
      <c r="I6" s="187"/>
      <c r="J6" s="188"/>
      <c r="K6" s="195"/>
    </row>
    <row r="7" spans="1:11" s="5" customFormat="1" ht="15" customHeight="1" x14ac:dyDescent="0.25">
      <c r="A7" s="187" t="s">
        <v>0</v>
      </c>
      <c r="B7" s="188"/>
      <c r="C7" s="188"/>
      <c r="D7" s="208" t="s">
        <v>34</v>
      </c>
      <c r="E7" s="231"/>
      <c r="F7" s="231"/>
      <c r="G7" s="232"/>
      <c r="H7" s="195" t="s">
        <v>126</v>
      </c>
      <c r="I7" s="189"/>
      <c r="J7" s="190"/>
      <c r="K7" s="196"/>
    </row>
    <row r="8" spans="1:11" s="5" customFormat="1" ht="26.25" customHeight="1" x14ac:dyDescent="0.25">
      <c r="A8" s="189"/>
      <c r="B8" s="190"/>
      <c r="C8" s="190"/>
      <c r="D8" s="235" t="s">
        <v>139</v>
      </c>
      <c r="E8" s="237" t="s">
        <v>140</v>
      </c>
      <c r="F8" s="237" t="s">
        <v>141</v>
      </c>
      <c r="G8" s="239" t="s">
        <v>128</v>
      </c>
      <c r="H8" s="196"/>
      <c r="I8" s="189"/>
      <c r="J8" s="190"/>
      <c r="K8" s="196"/>
    </row>
    <row r="9" spans="1:11" s="5" customFormat="1" ht="26.25" customHeight="1" thickBot="1" x14ac:dyDescent="0.3">
      <c r="A9" s="189"/>
      <c r="B9" s="190"/>
      <c r="C9" s="190"/>
      <c r="D9" s="236"/>
      <c r="E9" s="238"/>
      <c r="F9" s="238"/>
      <c r="G9" s="240"/>
      <c r="H9" s="197"/>
      <c r="I9" s="189"/>
      <c r="J9" s="190"/>
      <c r="K9" s="196"/>
    </row>
    <row r="10" spans="1:11" s="45" customFormat="1" ht="19.5" customHeight="1" x14ac:dyDescent="0.25">
      <c r="A10" s="120">
        <f>Page1!A9</f>
        <v>0</v>
      </c>
      <c r="B10" s="121">
        <f>Page1!B9</f>
        <v>0</v>
      </c>
      <c r="C10" s="122">
        <f>Page1!C9</f>
        <v>0</v>
      </c>
      <c r="D10" s="72"/>
      <c r="E10" s="23"/>
      <c r="F10" s="23"/>
      <c r="G10" s="73"/>
      <c r="H10" s="74"/>
      <c r="I10" s="189"/>
      <c r="J10" s="190"/>
      <c r="K10" s="196"/>
    </row>
    <row r="11" spans="1:11" s="45" customFormat="1" ht="19.5" customHeight="1" x14ac:dyDescent="0.25">
      <c r="A11" s="123">
        <f>Page1!A10</f>
        <v>0</v>
      </c>
      <c r="B11" s="124">
        <f>Page1!B10</f>
        <v>0</v>
      </c>
      <c r="C11" s="125">
        <f>Page1!C10</f>
        <v>0</v>
      </c>
      <c r="D11" s="75"/>
      <c r="E11" s="26"/>
      <c r="F11" s="26"/>
      <c r="G11" s="76"/>
      <c r="H11" s="77"/>
      <c r="I11" s="189"/>
      <c r="J11" s="190"/>
      <c r="K11" s="196"/>
    </row>
    <row r="12" spans="1:11" s="45" customFormat="1" ht="19.5" customHeight="1" x14ac:dyDescent="0.25">
      <c r="A12" s="123">
        <f>Page1!A11</f>
        <v>0</v>
      </c>
      <c r="B12" s="124">
        <f>Page1!B11</f>
        <v>0</v>
      </c>
      <c r="C12" s="126">
        <f>Page1!C11</f>
        <v>0</v>
      </c>
      <c r="D12" s="75"/>
      <c r="E12" s="26"/>
      <c r="F12" s="26"/>
      <c r="G12" s="76"/>
      <c r="H12" s="77"/>
      <c r="I12" s="189"/>
      <c r="J12" s="190"/>
      <c r="K12" s="196"/>
    </row>
    <row r="13" spans="1:11" s="45" customFormat="1" ht="19.5" customHeight="1" x14ac:dyDescent="0.25">
      <c r="A13" s="123">
        <f>Page1!A12</f>
        <v>0</v>
      </c>
      <c r="B13" s="127">
        <f>Page1!B12</f>
        <v>0</v>
      </c>
      <c r="C13" s="126">
        <f>Page1!C12</f>
        <v>0</v>
      </c>
      <c r="D13" s="72"/>
      <c r="E13" s="23"/>
      <c r="F13" s="23"/>
      <c r="G13" s="73"/>
      <c r="H13" s="77"/>
      <c r="I13" s="189"/>
      <c r="J13" s="190"/>
      <c r="K13" s="196"/>
    </row>
    <row r="14" spans="1:11" s="45" customFormat="1" ht="19.5" customHeight="1" x14ac:dyDescent="0.25">
      <c r="A14" s="123">
        <f>Page1!A13</f>
        <v>0</v>
      </c>
      <c r="B14" s="124">
        <f>Page1!B13</f>
        <v>0</v>
      </c>
      <c r="C14" s="125">
        <f>Page1!C13</f>
        <v>0</v>
      </c>
      <c r="D14" s="75"/>
      <c r="E14" s="26"/>
      <c r="F14" s="26"/>
      <c r="G14" s="76"/>
      <c r="H14" s="77"/>
      <c r="I14" s="189"/>
      <c r="J14" s="190"/>
      <c r="K14" s="196"/>
    </row>
    <row r="15" spans="1:11" s="45" customFormat="1" ht="19.5" customHeight="1" x14ac:dyDescent="0.25">
      <c r="A15" s="123">
        <f>Page1!A14</f>
        <v>0</v>
      </c>
      <c r="B15" s="124">
        <f>Page1!B14</f>
        <v>0</v>
      </c>
      <c r="C15" s="125">
        <f>Page1!C14</f>
        <v>0</v>
      </c>
      <c r="D15" s="75"/>
      <c r="E15" s="26"/>
      <c r="F15" s="26"/>
      <c r="G15" s="76"/>
      <c r="H15" s="77"/>
      <c r="I15" s="189"/>
      <c r="J15" s="190"/>
      <c r="K15" s="196"/>
    </row>
    <row r="16" spans="1:11" s="45" customFormat="1" ht="19.5" customHeight="1" x14ac:dyDescent="0.25">
      <c r="A16" s="123">
        <f>Page1!A15</f>
        <v>0</v>
      </c>
      <c r="B16" s="124">
        <f>Page1!B15</f>
        <v>0</v>
      </c>
      <c r="C16" s="125">
        <f>Page1!C15</f>
        <v>0</v>
      </c>
      <c r="D16" s="75"/>
      <c r="E16" s="26"/>
      <c r="F16" s="26"/>
      <c r="G16" s="76"/>
      <c r="H16" s="77"/>
      <c r="I16" s="189"/>
      <c r="J16" s="190"/>
      <c r="K16" s="196"/>
    </row>
    <row r="17" spans="1:11" s="45" customFormat="1" ht="19.5" customHeight="1" x14ac:dyDescent="0.25">
      <c r="A17" s="123">
        <f>Page1!A16</f>
        <v>0</v>
      </c>
      <c r="B17" s="124">
        <f>Page1!B16</f>
        <v>0</v>
      </c>
      <c r="C17" s="125">
        <f>Page1!C16</f>
        <v>0</v>
      </c>
      <c r="D17" s="75"/>
      <c r="E17" s="26"/>
      <c r="F17" s="26"/>
      <c r="G17" s="76"/>
      <c r="H17" s="77"/>
      <c r="I17" s="189"/>
      <c r="J17" s="190"/>
      <c r="K17" s="196"/>
    </row>
    <row r="18" spans="1:11" s="45" customFormat="1" ht="19.5" customHeight="1" x14ac:dyDescent="0.25">
      <c r="A18" s="123">
        <f>Page1!A17</f>
        <v>0</v>
      </c>
      <c r="B18" s="128">
        <f>Page1!B17</f>
        <v>0</v>
      </c>
      <c r="C18" s="125">
        <f>Page1!C17</f>
        <v>0</v>
      </c>
      <c r="D18" s="75"/>
      <c r="E18" s="26"/>
      <c r="F18" s="26"/>
      <c r="G18" s="76"/>
      <c r="H18" s="77"/>
      <c r="I18" s="189"/>
      <c r="J18" s="190"/>
      <c r="K18" s="196"/>
    </row>
    <row r="19" spans="1:11" s="45" customFormat="1" ht="19.5" customHeight="1" x14ac:dyDescent="0.25">
      <c r="A19" s="123">
        <f>Page1!A18</f>
        <v>0</v>
      </c>
      <c r="B19" s="124">
        <f>Page1!B18</f>
        <v>0</v>
      </c>
      <c r="C19" s="125">
        <f>Page1!C18</f>
        <v>0</v>
      </c>
      <c r="D19" s="75"/>
      <c r="E19" s="26"/>
      <c r="F19" s="26"/>
      <c r="G19" s="76"/>
      <c r="H19" s="77"/>
      <c r="I19" s="189"/>
      <c r="J19" s="190"/>
      <c r="K19" s="196"/>
    </row>
    <row r="20" spans="1:11" s="45" customFormat="1" ht="19.5" customHeight="1" x14ac:dyDescent="0.25">
      <c r="A20" s="129">
        <f>Page1!A19</f>
        <v>0</v>
      </c>
      <c r="B20" s="128">
        <f>Page1!B19</f>
        <v>0</v>
      </c>
      <c r="C20" s="126">
        <f>Page1!C19</f>
        <v>0</v>
      </c>
      <c r="D20" s="75"/>
      <c r="E20" s="26"/>
      <c r="F20" s="26"/>
      <c r="G20" s="76"/>
      <c r="H20" s="77"/>
      <c r="I20" s="189"/>
      <c r="J20" s="190"/>
      <c r="K20" s="196"/>
    </row>
    <row r="21" spans="1:11" s="45" customFormat="1" ht="19.5" customHeight="1" x14ac:dyDescent="0.25">
      <c r="A21" s="123">
        <f>Page1!A20</f>
        <v>0</v>
      </c>
      <c r="B21" s="124">
        <f>Page1!B20</f>
        <v>0</v>
      </c>
      <c r="C21" s="125">
        <f>Page1!C20</f>
        <v>0</v>
      </c>
      <c r="D21" s="75"/>
      <c r="E21" s="26"/>
      <c r="F21" s="26"/>
      <c r="G21" s="76"/>
      <c r="H21" s="77"/>
      <c r="I21" s="189"/>
      <c r="J21" s="190"/>
      <c r="K21" s="196"/>
    </row>
    <row r="22" spans="1:11" s="45" customFormat="1" ht="19.5" customHeight="1" x14ac:dyDescent="0.25">
      <c r="A22" s="123">
        <f>Page1!A21</f>
        <v>0</v>
      </c>
      <c r="B22" s="124">
        <f>Page1!B21</f>
        <v>0</v>
      </c>
      <c r="C22" s="126">
        <f>Page1!C21</f>
        <v>0</v>
      </c>
      <c r="D22" s="75"/>
      <c r="E22" s="26"/>
      <c r="F22" s="26"/>
      <c r="G22" s="76"/>
      <c r="H22" s="77"/>
      <c r="I22" s="189"/>
      <c r="J22" s="190"/>
      <c r="K22" s="196"/>
    </row>
    <row r="23" spans="1:11" s="45" customFormat="1" ht="19.5" customHeight="1" x14ac:dyDescent="0.25">
      <c r="A23" s="123">
        <f>Page1!A22</f>
        <v>0</v>
      </c>
      <c r="B23" s="127">
        <f>Page1!B22</f>
        <v>0</v>
      </c>
      <c r="C23" s="126">
        <f>Page1!C22</f>
        <v>0</v>
      </c>
      <c r="D23" s="75"/>
      <c r="E23" s="26"/>
      <c r="F23" s="26"/>
      <c r="G23" s="76"/>
      <c r="H23" s="77"/>
      <c r="I23" s="189"/>
      <c r="J23" s="190"/>
      <c r="K23" s="196"/>
    </row>
    <row r="24" spans="1:11" s="45" customFormat="1" ht="19.5" customHeight="1" x14ac:dyDescent="0.25">
      <c r="A24" s="123">
        <f>Page1!A23</f>
        <v>0</v>
      </c>
      <c r="B24" s="124">
        <f>Page1!B23</f>
        <v>0</v>
      </c>
      <c r="C24" s="125">
        <f>Page1!C23</f>
        <v>0</v>
      </c>
      <c r="D24" s="75"/>
      <c r="E24" s="26"/>
      <c r="F24" s="26"/>
      <c r="G24" s="76"/>
      <c r="H24" s="77"/>
      <c r="I24" s="189"/>
      <c r="J24" s="190"/>
      <c r="K24" s="196"/>
    </row>
    <row r="25" spans="1:11" s="45" customFormat="1" ht="19.5" customHeight="1" x14ac:dyDescent="0.25">
      <c r="A25" s="123">
        <f>Page1!A24</f>
        <v>0</v>
      </c>
      <c r="B25" s="124">
        <f>Page1!B24</f>
        <v>0</v>
      </c>
      <c r="C25" s="125">
        <f>Page1!C24</f>
        <v>0</v>
      </c>
      <c r="D25" s="75"/>
      <c r="E25" s="26"/>
      <c r="F25" s="26"/>
      <c r="G25" s="76"/>
      <c r="H25" s="77"/>
      <c r="I25" s="189"/>
      <c r="J25" s="190"/>
      <c r="K25" s="196"/>
    </row>
    <row r="26" spans="1:11" s="45" customFormat="1" ht="19.5" customHeight="1" x14ac:dyDescent="0.25">
      <c r="A26" s="123">
        <f>Page1!A25</f>
        <v>0</v>
      </c>
      <c r="B26" s="124">
        <f>Page1!B25</f>
        <v>0</v>
      </c>
      <c r="C26" s="125">
        <f>Page1!C25</f>
        <v>0</v>
      </c>
      <c r="D26" s="75"/>
      <c r="E26" s="26"/>
      <c r="F26" s="26"/>
      <c r="G26" s="76"/>
      <c r="H26" s="77"/>
      <c r="I26" s="189"/>
      <c r="J26" s="190"/>
      <c r="K26" s="196"/>
    </row>
    <row r="27" spans="1:11" s="45" customFormat="1" ht="19.5" customHeight="1" x14ac:dyDescent="0.25">
      <c r="A27" s="123">
        <f>Page1!A26</f>
        <v>0</v>
      </c>
      <c r="B27" s="124">
        <f>Page1!B26</f>
        <v>0</v>
      </c>
      <c r="C27" s="125">
        <f>Page1!C26</f>
        <v>0</v>
      </c>
      <c r="D27" s="75"/>
      <c r="E27" s="26"/>
      <c r="F27" s="26"/>
      <c r="G27" s="76"/>
      <c r="H27" s="77"/>
      <c r="I27" s="189"/>
      <c r="J27" s="190"/>
      <c r="K27" s="196"/>
    </row>
    <row r="28" spans="1:11" s="45" customFormat="1" ht="19.5" customHeight="1" x14ac:dyDescent="0.25">
      <c r="A28" s="123">
        <f>Page1!A27</f>
        <v>0</v>
      </c>
      <c r="B28" s="128">
        <f>Page1!B27</f>
        <v>0</v>
      </c>
      <c r="C28" s="125">
        <f>Page1!C27</f>
        <v>0</v>
      </c>
      <c r="D28" s="75"/>
      <c r="E28" s="26"/>
      <c r="F28" s="26"/>
      <c r="G28" s="76"/>
      <c r="H28" s="77"/>
      <c r="I28" s="189"/>
      <c r="J28" s="190"/>
      <c r="K28" s="196"/>
    </row>
    <row r="29" spans="1:11" s="45" customFormat="1" ht="19.5" customHeight="1" x14ac:dyDescent="0.25">
      <c r="A29" s="123">
        <f>Page1!A28</f>
        <v>0</v>
      </c>
      <c r="B29" s="124">
        <f>Page1!B28</f>
        <v>0</v>
      </c>
      <c r="C29" s="125">
        <f>Page1!C28</f>
        <v>0</v>
      </c>
      <c r="D29" s="75"/>
      <c r="E29" s="26"/>
      <c r="F29" s="26"/>
      <c r="G29" s="76"/>
      <c r="H29" s="77"/>
      <c r="I29" s="189"/>
      <c r="J29" s="190"/>
      <c r="K29" s="196"/>
    </row>
    <row r="30" spans="1:11" s="45" customFormat="1" ht="19.5" customHeight="1" x14ac:dyDescent="0.25">
      <c r="A30" s="129">
        <f>Page1!A29</f>
        <v>0</v>
      </c>
      <c r="B30" s="128">
        <f>Page1!B29</f>
        <v>0</v>
      </c>
      <c r="C30" s="126">
        <f>Page1!C29</f>
        <v>0</v>
      </c>
      <c r="D30" s="75"/>
      <c r="E30" s="26"/>
      <c r="F30" s="26"/>
      <c r="G30" s="76"/>
      <c r="H30" s="77"/>
      <c r="I30" s="189"/>
      <c r="J30" s="190"/>
      <c r="K30" s="196"/>
    </row>
    <row r="31" spans="1:11" s="45" customFormat="1" ht="19.5" customHeight="1" x14ac:dyDescent="0.25">
      <c r="A31" s="123">
        <f>Page1!A30</f>
        <v>0</v>
      </c>
      <c r="B31" s="124">
        <f>Page1!B30</f>
        <v>0</v>
      </c>
      <c r="C31" s="125">
        <f>Page1!C30</f>
        <v>0</v>
      </c>
      <c r="D31" s="75"/>
      <c r="E31" s="26"/>
      <c r="F31" s="26"/>
      <c r="G31" s="76"/>
      <c r="H31" s="77"/>
      <c r="I31" s="189"/>
      <c r="J31" s="190"/>
      <c r="K31" s="196"/>
    </row>
    <row r="32" spans="1:11" s="45" customFormat="1" ht="19.5" customHeight="1" x14ac:dyDescent="0.25">
      <c r="A32" s="123">
        <f>Page1!A31</f>
        <v>0</v>
      </c>
      <c r="B32" s="124">
        <f>Page1!B31</f>
        <v>0</v>
      </c>
      <c r="C32" s="126">
        <f>Page1!C31</f>
        <v>0</v>
      </c>
      <c r="D32" s="75"/>
      <c r="E32" s="26"/>
      <c r="F32" s="26"/>
      <c r="G32" s="76"/>
      <c r="H32" s="77"/>
      <c r="I32" s="189"/>
      <c r="J32" s="190"/>
      <c r="K32" s="196"/>
    </row>
    <row r="33" spans="1:11" s="45" customFormat="1" ht="19.5" customHeight="1" x14ac:dyDescent="0.25">
      <c r="A33" s="123">
        <f>Page1!A32</f>
        <v>0</v>
      </c>
      <c r="B33" s="127">
        <f>Page1!B32</f>
        <v>0</v>
      </c>
      <c r="C33" s="126">
        <f>Page1!C32</f>
        <v>0</v>
      </c>
      <c r="D33" s="75"/>
      <c r="E33" s="26"/>
      <c r="F33" s="26"/>
      <c r="G33" s="76"/>
      <c r="H33" s="77"/>
      <c r="I33" s="189"/>
      <c r="J33" s="190"/>
      <c r="K33" s="196"/>
    </row>
    <row r="34" spans="1:11" s="45" customFormat="1" ht="19.5" customHeight="1" x14ac:dyDescent="0.25">
      <c r="A34" s="123">
        <f>Page1!A33</f>
        <v>0</v>
      </c>
      <c r="B34" s="124">
        <f>Page1!B33</f>
        <v>0</v>
      </c>
      <c r="C34" s="125">
        <f>Page1!C33</f>
        <v>0</v>
      </c>
      <c r="D34" s="75"/>
      <c r="E34" s="26"/>
      <c r="F34" s="26"/>
      <c r="G34" s="76"/>
      <c r="H34" s="77"/>
      <c r="I34" s="189"/>
      <c r="J34" s="190"/>
      <c r="K34" s="196"/>
    </row>
    <row r="35" spans="1:11" s="45" customFormat="1" ht="19.5" customHeight="1" x14ac:dyDescent="0.25">
      <c r="A35" s="123">
        <f>Page1!A34</f>
        <v>0</v>
      </c>
      <c r="B35" s="124">
        <f>Page1!B34</f>
        <v>0</v>
      </c>
      <c r="C35" s="125">
        <f>Page1!C34</f>
        <v>0</v>
      </c>
      <c r="D35" s="75"/>
      <c r="E35" s="26"/>
      <c r="F35" s="26"/>
      <c r="G35" s="76"/>
      <c r="H35" s="77"/>
      <c r="I35" s="189"/>
      <c r="J35" s="190"/>
      <c r="K35" s="196"/>
    </row>
    <row r="36" spans="1:11" s="45" customFormat="1" ht="19.5" customHeight="1" x14ac:dyDescent="0.25">
      <c r="A36" s="123">
        <f>Page1!A35</f>
        <v>0</v>
      </c>
      <c r="B36" s="124">
        <f>Page1!B35</f>
        <v>0</v>
      </c>
      <c r="C36" s="125">
        <f>Page1!C35</f>
        <v>0</v>
      </c>
      <c r="D36" s="75"/>
      <c r="E36" s="26"/>
      <c r="F36" s="26"/>
      <c r="G36" s="76"/>
      <c r="H36" s="77"/>
      <c r="I36" s="189"/>
      <c r="J36" s="190"/>
      <c r="K36" s="196"/>
    </row>
    <row r="37" spans="1:11" s="45" customFormat="1" ht="19.5" customHeight="1" x14ac:dyDescent="0.25">
      <c r="A37" s="123">
        <f>Page1!A36</f>
        <v>0</v>
      </c>
      <c r="B37" s="124">
        <f>Page1!B36</f>
        <v>0</v>
      </c>
      <c r="C37" s="125">
        <f>Page1!C36</f>
        <v>0</v>
      </c>
      <c r="D37" s="75"/>
      <c r="E37" s="26"/>
      <c r="F37" s="26"/>
      <c r="G37" s="76"/>
      <c r="H37" s="77"/>
      <c r="I37" s="189"/>
      <c r="J37" s="190"/>
      <c r="K37" s="196"/>
    </row>
    <row r="38" spans="1:11" s="45" customFormat="1" ht="19.5" customHeight="1" x14ac:dyDescent="0.25">
      <c r="A38" s="123">
        <f>Page1!A37</f>
        <v>0</v>
      </c>
      <c r="B38" s="124">
        <f>Page1!B37</f>
        <v>0</v>
      </c>
      <c r="C38" s="125">
        <f>Page1!C37</f>
        <v>0</v>
      </c>
      <c r="D38" s="75"/>
      <c r="E38" s="26"/>
      <c r="F38" s="26"/>
      <c r="G38" s="76"/>
      <c r="H38" s="77"/>
      <c r="I38" s="189"/>
      <c r="J38" s="190"/>
      <c r="K38" s="196"/>
    </row>
    <row r="39" spans="1:11" s="45" customFormat="1" ht="19.5" customHeight="1" thickBot="1" x14ac:dyDescent="0.3">
      <c r="A39" s="130">
        <f>Page1!A38</f>
        <v>0</v>
      </c>
      <c r="B39" s="131">
        <f>Page1!B38</f>
        <v>0</v>
      </c>
      <c r="C39" s="132">
        <f>Page1!C38</f>
        <v>0</v>
      </c>
      <c r="D39" s="75"/>
      <c r="E39" s="26"/>
      <c r="F39" s="26"/>
      <c r="G39" s="76"/>
      <c r="H39" s="77"/>
      <c r="I39" s="189"/>
      <c r="J39" s="190"/>
      <c r="K39" s="196"/>
    </row>
    <row r="40" spans="1:11" s="45" customFormat="1" ht="19.5" customHeight="1" x14ac:dyDescent="0.25">
      <c r="A40" s="233" t="s">
        <v>26</v>
      </c>
      <c r="B40" s="234"/>
      <c r="C40" s="234"/>
      <c r="D40" s="78" t="e">
        <f>AVERAGE(D10:D39)</f>
        <v>#DIV/0!</v>
      </c>
      <c r="E40" s="35" t="e">
        <f>AVERAGE(E10:E39)</f>
        <v>#DIV/0!</v>
      </c>
      <c r="F40" s="35" t="e">
        <f>AVERAGE(F10:F39)</f>
        <v>#DIV/0!</v>
      </c>
      <c r="G40" s="35" t="e">
        <f>AVERAGE(G10:G39)</f>
        <v>#DIV/0!</v>
      </c>
      <c r="H40" s="79" t="e">
        <f>AVERAGE(H10:H39)</f>
        <v>#DIV/0!</v>
      </c>
      <c r="I40" s="190"/>
      <c r="J40" s="190"/>
      <c r="K40" s="196"/>
    </row>
    <row r="41" spans="1:11" s="45" customFormat="1" ht="19.5" customHeight="1" x14ac:dyDescent="0.25">
      <c r="A41" s="218" t="s">
        <v>31</v>
      </c>
      <c r="B41" s="219"/>
      <c r="C41" s="219"/>
      <c r="D41" s="80">
        <f>MIN(D10:D39)</f>
        <v>0</v>
      </c>
      <c r="E41" s="38">
        <f>MIN(E10:E39)</f>
        <v>0</v>
      </c>
      <c r="F41" s="38">
        <f>MIN(F10:F39)</f>
        <v>0</v>
      </c>
      <c r="G41" s="38">
        <f>MIN(G10:G39)</f>
        <v>0</v>
      </c>
      <c r="H41" s="81">
        <f>MIN(H10:H39)</f>
        <v>0</v>
      </c>
      <c r="I41" s="190"/>
      <c r="J41" s="190"/>
      <c r="K41" s="196"/>
    </row>
    <row r="42" spans="1:11" s="5" customFormat="1" ht="19.5" customHeight="1" thickBot="1" x14ac:dyDescent="0.3">
      <c r="A42" s="183" t="s">
        <v>32</v>
      </c>
      <c r="B42" s="184"/>
      <c r="C42" s="184"/>
      <c r="D42" s="82">
        <f>MAX(D10:D39)</f>
        <v>0</v>
      </c>
      <c r="E42" s="83">
        <f>MAX(E10:E39)</f>
        <v>0</v>
      </c>
      <c r="F42" s="83">
        <f>MAX(F10:F39)</f>
        <v>0</v>
      </c>
      <c r="G42" s="83">
        <f>MAX(G10:G39)</f>
        <v>0</v>
      </c>
      <c r="H42" s="84">
        <f>MAX(H10:H39)</f>
        <v>0</v>
      </c>
      <c r="I42" s="194"/>
      <c r="J42" s="194"/>
      <c r="K42" s="197"/>
    </row>
    <row r="43" spans="1:11" s="45" customFormat="1" ht="16.5" customHeight="1" x14ac:dyDescent="0.25">
      <c r="A43" s="44" t="s">
        <v>20</v>
      </c>
      <c r="B43" s="151"/>
      <c r="C43" s="151"/>
      <c r="D43" s="44" t="s">
        <v>22</v>
      </c>
      <c r="F43" s="46"/>
      <c r="G43" s="47"/>
      <c r="H43" s="6"/>
      <c r="I43" s="6" t="s">
        <v>40</v>
      </c>
      <c r="J43" s="48"/>
      <c r="K43" s="49" t="s">
        <v>24</v>
      </c>
    </row>
    <row r="44" spans="1:11" s="45" customFormat="1" ht="16.5" customHeight="1" x14ac:dyDescent="0.25">
      <c r="A44" s="50"/>
      <c r="B44" s="152"/>
      <c r="C44" s="152"/>
      <c r="D44" s="44"/>
      <c r="F44" s="46"/>
      <c r="G44" s="47"/>
      <c r="H44" s="6"/>
      <c r="I44" s="7"/>
      <c r="J44" s="51"/>
    </row>
    <row r="45" spans="1:11" s="45" customFormat="1" ht="16.5" customHeight="1" x14ac:dyDescent="0.25">
      <c r="A45" s="134" t="s">
        <v>21</v>
      </c>
      <c r="B45" s="134"/>
      <c r="C45" s="134"/>
      <c r="D45" s="44"/>
      <c r="E45" s="44"/>
      <c r="F45" s="47" t="s">
        <v>129</v>
      </c>
      <c r="G45" s="46">
        <f>Page1!G44</f>
        <v>461309100</v>
      </c>
      <c r="H45" s="44"/>
    </row>
    <row r="46" spans="1:11" s="45" customFormat="1" ht="16.5" customHeight="1" x14ac:dyDescent="0.25">
      <c r="A46" s="134" t="s">
        <v>130</v>
      </c>
      <c r="B46" s="134"/>
      <c r="C46" s="134"/>
      <c r="D46" s="44"/>
      <c r="E46" s="44"/>
      <c r="F46" s="44"/>
      <c r="I46" s="44"/>
      <c r="J46" s="52"/>
      <c r="K46" s="52" t="s">
        <v>37</v>
      </c>
    </row>
    <row r="47" spans="1:11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</sheetData>
  <mergeCells count="25">
    <mergeCell ref="B44:C44"/>
    <mergeCell ref="J4:K4"/>
    <mergeCell ref="J5:K5"/>
    <mergeCell ref="A1:J1"/>
    <mergeCell ref="A2:J2"/>
    <mergeCell ref="A4:B4"/>
    <mergeCell ref="C4:D4"/>
    <mergeCell ref="A5:B5"/>
    <mergeCell ref="C5:D5"/>
    <mergeCell ref="A46:C46"/>
    <mergeCell ref="I6:K42"/>
    <mergeCell ref="H7:H9"/>
    <mergeCell ref="A6:C6"/>
    <mergeCell ref="D6:G6"/>
    <mergeCell ref="A45:C45"/>
    <mergeCell ref="D7:G7"/>
    <mergeCell ref="A40:C40"/>
    <mergeCell ref="A41:C41"/>
    <mergeCell ref="A42:C42"/>
    <mergeCell ref="A7:C9"/>
    <mergeCell ref="D8:D9"/>
    <mergeCell ref="E8:E9"/>
    <mergeCell ref="F8:F9"/>
    <mergeCell ref="G8:G9"/>
    <mergeCell ref="B43:C43"/>
  </mergeCells>
  <conditionalFormatting sqref="D10:D42">
    <cfRule type="cellIs" dxfId="3" priority="4" operator="notBetween">
      <formula>57.5</formula>
      <formula>65.5</formula>
    </cfRule>
  </conditionalFormatting>
  <conditionalFormatting sqref="E10:E42">
    <cfRule type="cellIs" dxfId="2" priority="3" operator="notBetween">
      <formula>46</formula>
      <formula>56</formula>
    </cfRule>
  </conditionalFormatting>
  <conditionalFormatting sqref="F10:F42">
    <cfRule type="cellIs" dxfId="1" priority="2" operator="notBetween">
      <formula>-14</formula>
      <formula>-8</formula>
    </cfRule>
  </conditionalFormatting>
  <conditionalFormatting sqref="G10:H42">
    <cfRule type="cellIs" dxfId="0" priority="1" operator="notBetween">
      <formula>0</formula>
      <formula>4</formula>
    </cfRule>
  </conditionalFormatting>
  <dataValidations disablePrompts="1" count="1">
    <dataValidation type="textLength" allowBlank="1" showInputMessage="1" showErrorMessage="1" sqref="D8:F9" xr:uid="{119C1EAE-9453-45F6-B9BC-276001B555A7}">
      <formula1>1000</formula1>
      <formula2>100000</formula2>
    </dataValidation>
  </dataValidations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pageSetUpPr fitToPage="1"/>
  </sheetPr>
  <dimension ref="A1:G47"/>
  <sheetViews>
    <sheetView view="pageBreakPreview" zoomScaleNormal="100" zoomScaleSheetLayoutView="100" workbookViewId="0">
      <selection activeCell="D7" sqref="D7:E7"/>
    </sheetView>
  </sheetViews>
  <sheetFormatPr defaultRowHeight="15" x14ac:dyDescent="0.25"/>
  <cols>
    <col min="1" max="2" width="21.42578125" style="86" customWidth="1"/>
    <col min="3" max="5" width="12.85546875" style="86" customWidth="1"/>
    <col min="6" max="6" width="17.140625" style="86" customWidth="1"/>
    <col min="7" max="7" width="21.42578125" style="86" customWidth="1"/>
    <col min="8" max="16384" width="9.140625" style="117"/>
  </cols>
  <sheetData>
    <row r="1" spans="1:7" s="86" customFormat="1" x14ac:dyDescent="0.25">
      <c r="A1" s="242" t="s">
        <v>41</v>
      </c>
      <c r="B1" s="243"/>
      <c r="C1" s="243"/>
      <c r="D1" s="243"/>
      <c r="E1" s="243"/>
      <c r="F1" s="243"/>
      <c r="G1" s="244"/>
    </row>
    <row r="2" spans="1:7" s="86" customFormat="1" x14ac:dyDescent="0.25">
      <c r="A2" s="87"/>
      <c r="B2" s="88"/>
      <c r="C2" s="88"/>
      <c r="D2" s="88"/>
      <c r="E2" s="88"/>
      <c r="F2" s="88"/>
      <c r="G2" s="89" t="s">
        <v>42</v>
      </c>
    </row>
    <row r="3" spans="1:7" s="86" customFormat="1" ht="19.5" customHeight="1" x14ac:dyDescent="0.25">
      <c r="A3" s="253" t="s">
        <v>137</v>
      </c>
      <c r="B3" s="254"/>
      <c r="C3" s="254"/>
      <c r="D3" s="254"/>
      <c r="E3" s="254"/>
      <c r="F3" s="254"/>
      <c r="G3" s="255"/>
    </row>
    <row r="4" spans="1:7" s="86" customFormat="1" ht="19.5" customHeight="1" x14ac:dyDescent="0.25">
      <c r="A4" s="189" t="s">
        <v>43</v>
      </c>
      <c r="B4" s="190"/>
      <c r="C4" s="190"/>
      <c r="D4" s="190"/>
      <c r="E4" s="190"/>
      <c r="F4" s="190"/>
      <c r="G4" s="196"/>
    </row>
    <row r="5" spans="1:7" s="86" customFormat="1" ht="19.5" customHeight="1" x14ac:dyDescent="0.25">
      <c r="A5" s="245" t="s">
        <v>44</v>
      </c>
      <c r="B5" s="246"/>
      <c r="C5" s="246"/>
      <c r="D5" s="246"/>
      <c r="E5" s="246"/>
      <c r="F5" s="246"/>
      <c r="G5" s="247"/>
    </row>
    <row r="6" spans="1:7" s="86" customFormat="1" ht="16.5" customHeight="1" x14ac:dyDescent="0.25">
      <c r="A6" s="90" t="s">
        <v>45</v>
      </c>
      <c r="B6" s="91" t="s">
        <v>46</v>
      </c>
      <c r="C6" s="92" t="s">
        <v>5</v>
      </c>
      <c r="D6" s="248">
        <f>Page1!H4</f>
        <v>0</v>
      </c>
      <c r="E6" s="249"/>
      <c r="F6" s="250" t="s">
        <v>47</v>
      </c>
      <c r="G6" s="251">
        <f>Page1!J4</f>
        <v>0</v>
      </c>
    </row>
    <row r="7" spans="1:7" s="86" customFormat="1" ht="16.5" customHeight="1" x14ac:dyDescent="0.25">
      <c r="A7" s="90" t="s">
        <v>48</v>
      </c>
      <c r="B7" s="94"/>
      <c r="C7" s="92" t="s">
        <v>49</v>
      </c>
      <c r="D7" s="248">
        <f>Page1!F5</f>
        <v>0</v>
      </c>
      <c r="E7" s="249"/>
      <c r="F7" s="250"/>
      <c r="G7" s="252"/>
    </row>
    <row r="8" spans="1:7" s="86" customFormat="1" ht="37.5" customHeight="1" x14ac:dyDescent="0.25">
      <c r="A8" s="90" t="s">
        <v>50</v>
      </c>
      <c r="B8" s="93">
        <f>Page1!C4</f>
        <v>0</v>
      </c>
      <c r="C8" s="92" t="s">
        <v>51</v>
      </c>
      <c r="D8" s="250">
        <f>Page1!H5</f>
        <v>0</v>
      </c>
      <c r="E8" s="250"/>
      <c r="F8" s="265" t="s">
        <v>9</v>
      </c>
      <c r="G8" s="251">
        <f>Page1!J5</f>
        <v>0</v>
      </c>
    </row>
    <row r="9" spans="1:7" s="86" customFormat="1" ht="16.5" customHeight="1" x14ac:dyDescent="0.25">
      <c r="A9" s="96" t="s">
        <v>52</v>
      </c>
      <c r="B9" s="95">
        <f>Page1!G44</f>
        <v>461309100</v>
      </c>
      <c r="C9" s="265" t="s">
        <v>53</v>
      </c>
      <c r="D9" s="270" t="s">
        <v>54</v>
      </c>
      <c r="E9" s="271"/>
      <c r="F9" s="266"/>
      <c r="G9" s="268"/>
    </row>
    <row r="10" spans="1:7" s="86" customFormat="1" ht="15.75" thickBot="1" x14ac:dyDescent="0.3">
      <c r="A10" s="97" t="s">
        <v>55</v>
      </c>
      <c r="B10" s="98">
        <f>Page1!C5</f>
        <v>0</v>
      </c>
      <c r="C10" s="267"/>
      <c r="D10" s="272"/>
      <c r="E10" s="273"/>
      <c r="F10" s="267"/>
      <c r="G10" s="269"/>
    </row>
    <row r="11" spans="1:7" s="86" customFormat="1" ht="16.5" customHeight="1" x14ac:dyDescent="0.25">
      <c r="A11" s="256" t="s">
        <v>56</v>
      </c>
      <c r="B11" s="258" t="s">
        <v>57</v>
      </c>
      <c r="C11" s="260" t="s">
        <v>18</v>
      </c>
      <c r="D11" s="261"/>
      <c r="E11" s="262"/>
      <c r="F11" s="258" t="s">
        <v>58</v>
      </c>
      <c r="G11" s="263" t="s">
        <v>59</v>
      </c>
    </row>
    <row r="12" spans="1:7" s="86" customFormat="1" ht="16.5" customHeight="1" thickBot="1" x14ac:dyDescent="0.3">
      <c r="A12" s="257"/>
      <c r="B12" s="259"/>
      <c r="C12" s="99" t="s">
        <v>60</v>
      </c>
      <c r="D12" s="99" t="s">
        <v>61</v>
      </c>
      <c r="E12" s="99" t="s">
        <v>62</v>
      </c>
      <c r="F12" s="259"/>
      <c r="G12" s="264"/>
    </row>
    <row r="13" spans="1:7" s="86" customFormat="1" ht="16.5" customHeight="1" x14ac:dyDescent="0.25">
      <c r="A13" s="100" t="s">
        <v>63</v>
      </c>
      <c r="B13" s="101" t="s">
        <v>64</v>
      </c>
      <c r="C13" s="102">
        <v>17</v>
      </c>
      <c r="D13" s="102">
        <v>18</v>
      </c>
      <c r="E13" s="102">
        <v>20</v>
      </c>
      <c r="F13" s="103" t="e">
        <f>Page1!D39</f>
        <v>#DIV/0!</v>
      </c>
      <c r="G13" s="18" t="s">
        <v>65</v>
      </c>
    </row>
    <row r="14" spans="1:7" s="86" customFormat="1" ht="16.5" customHeight="1" x14ac:dyDescent="0.25">
      <c r="A14" s="104" t="s">
        <v>66</v>
      </c>
      <c r="B14" s="105" t="s">
        <v>67</v>
      </c>
      <c r="C14" s="106">
        <v>18</v>
      </c>
      <c r="D14" s="106">
        <v>23</v>
      </c>
      <c r="E14" s="106">
        <v>28</v>
      </c>
      <c r="F14" s="107" t="e">
        <f>Page1!E39</f>
        <v>#DIV/0!</v>
      </c>
      <c r="G14" s="108" t="s">
        <v>68</v>
      </c>
    </row>
    <row r="15" spans="1:7" s="86" customFormat="1" ht="16.5" customHeight="1" x14ac:dyDescent="0.25">
      <c r="A15" s="104" t="s">
        <v>69</v>
      </c>
      <c r="B15" s="105" t="s">
        <v>70</v>
      </c>
      <c r="C15" s="106">
        <v>300</v>
      </c>
      <c r="D15" s="106" t="s">
        <v>39</v>
      </c>
      <c r="E15" s="106" t="s">
        <v>39</v>
      </c>
      <c r="F15" s="39" t="e">
        <f>Page1!K39</f>
        <v>#DIV/0!</v>
      </c>
      <c r="G15" s="239" t="s">
        <v>71</v>
      </c>
    </row>
    <row r="16" spans="1:7" s="86" customFormat="1" ht="16.5" customHeight="1" x14ac:dyDescent="0.25">
      <c r="A16" s="104" t="s">
        <v>72</v>
      </c>
      <c r="B16" s="105" t="s">
        <v>70</v>
      </c>
      <c r="C16" s="106">
        <v>300</v>
      </c>
      <c r="D16" s="106" t="s">
        <v>39</v>
      </c>
      <c r="E16" s="106" t="s">
        <v>39</v>
      </c>
      <c r="F16" s="39" t="e">
        <f>Page2!F41</f>
        <v>#DIV/0!</v>
      </c>
      <c r="G16" s="274"/>
    </row>
    <row r="17" spans="1:7" s="86" customFormat="1" ht="16.5" customHeight="1" x14ac:dyDescent="0.25">
      <c r="A17" s="104" t="s">
        <v>73</v>
      </c>
      <c r="B17" s="105" t="s">
        <v>70</v>
      </c>
      <c r="C17" s="106">
        <v>900</v>
      </c>
      <c r="D17" s="106" t="s">
        <v>39</v>
      </c>
      <c r="E17" s="106">
        <v>1200</v>
      </c>
      <c r="F17" s="39" t="e">
        <f>Page1!I39</f>
        <v>#DIV/0!</v>
      </c>
      <c r="G17" s="274"/>
    </row>
    <row r="18" spans="1:7" s="86" customFormat="1" ht="16.5" customHeight="1" x14ac:dyDescent="0.25">
      <c r="A18" s="104" t="s">
        <v>74</v>
      </c>
      <c r="B18" s="105" t="s">
        <v>70</v>
      </c>
      <c r="C18" s="106">
        <v>700</v>
      </c>
      <c r="D18" s="106" t="s">
        <v>39</v>
      </c>
      <c r="E18" s="106">
        <v>1000</v>
      </c>
      <c r="F18" s="39" t="e">
        <f>Page2!D41</f>
        <v>#DIV/0!</v>
      </c>
      <c r="G18" s="274"/>
    </row>
    <row r="19" spans="1:7" s="86" customFormat="1" ht="16.5" customHeight="1" x14ac:dyDescent="0.25">
      <c r="A19" s="104" t="s">
        <v>75</v>
      </c>
      <c r="B19" s="105" t="s">
        <v>76</v>
      </c>
      <c r="C19" s="106">
        <v>350</v>
      </c>
      <c r="D19" s="106" t="s">
        <v>39</v>
      </c>
      <c r="E19" s="106" t="s">
        <v>39</v>
      </c>
      <c r="F19" s="39" t="e">
        <f>Page1!J39</f>
        <v>#DIV/0!</v>
      </c>
      <c r="G19" s="274"/>
    </row>
    <row r="20" spans="1:7" s="86" customFormat="1" ht="16.5" customHeight="1" x14ac:dyDescent="0.25">
      <c r="A20" s="104" t="s">
        <v>77</v>
      </c>
      <c r="B20" s="105" t="s">
        <v>76</v>
      </c>
      <c r="C20" s="106">
        <v>400</v>
      </c>
      <c r="D20" s="106" t="s">
        <v>39</v>
      </c>
      <c r="E20" s="106" t="s">
        <v>39</v>
      </c>
      <c r="F20" s="39" t="e">
        <f>Page2!E41</f>
        <v>#DIV/0!</v>
      </c>
      <c r="G20" s="274"/>
    </row>
    <row r="21" spans="1:7" s="86" customFormat="1" ht="16.5" customHeight="1" x14ac:dyDescent="0.25">
      <c r="A21" s="104" t="s">
        <v>78</v>
      </c>
      <c r="B21" s="105" t="s">
        <v>39</v>
      </c>
      <c r="C21" s="38">
        <v>0.3</v>
      </c>
      <c r="D21" s="38">
        <v>0.45</v>
      </c>
      <c r="E21" s="38">
        <v>0.6</v>
      </c>
      <c r="F21" s="38" t="e">
        <f>Page1!G39</f>
        <v>#DIV/0!</v>
      </c>
      <c r="G21" s="274"/>
    </row>
    <row r="22" spans="1:7" s="86" customFormat="1" ht="16.5" customHeight="1" x14ac:dyDescent="0.25">
      <c r="A22" s="104" t="s">
        <v>79</v>
      </c>
      <c r="B22" s="105" t="s">
        <v>39</v>
      </c>
      <c r="C22" s="38">
        <v>0.6</v>
      </c>
      <c r="D22" s="38">
        <v>0.8</v>
      </c>
      <c r="E22" s="38">
        <v>1.4</v>
      </c>
      <c r="F22" s="38" t="e">
        <f>Page1!H39</f>
        <v>#DIV/0!</v>
      </c>
      <c r="G22" s="156"/>
    </row>
    <row r="23" spans="1:7" s="86" customFormat="1" ht="16.5" customHeight="1" x14ac:dyDescent="0.25">
      <c r="A23" s="104" t="s">
        <v>80</v>
      </c>
      <c r="B23" s="105" t="s">
        <v>81</v>
      </c>
      <c r="C23" s="39">
        <v>360</v>
      </c>
      <c r="D23" s="39">
        <v>380</v>
      </c>
      <c r="E23" s="39">
        <v>400</v>
      </c>
      <c r="F23" s="39" t="e">
        <f>Page1!F39</f>
        <v>#DIV/0!</v>
      </c>
      <c r="G23" s="108" t="s">
        <v>82</v>
      </c>
    </row>
    <row r="24" spans="1:7" s="86" customFormat="1" ht="16.5" customHeight="1" x14ac:dyDescent="0.25">
      <c r="A24" s="104" t="s">
        <v>83</v>
      </c>
      <c r="B24" s="105" t="s">
        <v>84</v>
      </c>
      <c r="C24" s="106" t="s">
        <v>39</v>
      </c>
      <c r="D24" s="39">
        <f>Page2!J9</f>
        <v>250</v>
      </c>
      <c r="E24" s="39">
        <f>Page2!J10</f>
        <v>253</v>
      </c>
      <c r="F24" s="39" t="e">
        <f>Page2!I41</f>
        <v>#DIV/0!</v>
      </c>
      <c r="G24" s="108" t="s">
        <v>85</v>
      </c>
    </row>
    <row r="25" spans="1:7" s="86" customFormat="1" ht="16.5" customHeight="1" x14ac:dyDescent="0.25">
      <c r="A25" s="104" t="s">
        <v>86</v>
      </c>
      <c r="B25" s="105" t="s">
        <v>87</v>
      </c>
      <c r="C25" s="39">
        <v>6000</v>
      </c>
      <c r="D25" s="106" t="s">
        <v>39</v>
      </c>
      <c r="E25" s="106" t="s">
        <v>39</v>
      </c>
      <c r="F25" s="39">
        <v>6000</v>
      </c>
      <c r="G25" s="108" t="s">
        <v>88</v>
      </c>
    </row>
    <row r="26" spans="1:7" s="86" customFormat="1" ht="16.5" customHeight="1" thickBot="1" x14ac:dyDescent="0.3">
      <c r="A26" s="110" t="s">
        <v>89</v>
      </c>
      <c r="B26" s="111" t="s">
        <v>84</v>
      </c>
      <c r="C26" s="56">
        <v>410</v>
      </c>
      <c r="D26" s="56">
        <v>430</v>
      </c>
      <c r="E26" s="112">
        <v>450</v>
      </c>
      <c r="F26" s="112" t="e">
        <f>Page2!K41</f>
        <v>#DIV/0!</v>
      </c>
      <c r="G26" s="109" t="s">
        <v>85</v>
      </c>
    </row>
    <row r="27" spans="1:7" s="86" customFormat="1" ht="16.5" customHeight="1" thickBot="1" x14ac:dyDescent="0.3">
      <c r="A27" s="275" t="s">
        <v>90</v>
      </c>
      <c r="B27" s="276"/>
      <c r="C27" s="276"/>
      <c r="D27" s="276"/>
      <c r="E27" s="276"/>
      <c r="F27" s="276"/>
      <c r="G27" s="277"/>
    </row>
    <row r="28" spans="1:7" s="86" customFormat="1" ht="16.5" customHeight="1" x14ac:dyDescent="0.25">
      <c r="A28" s="278" t="s">
        <v>91</v>
      </c>
      <c r="B28" s="279"/>
      <c r="C28" s="280" t="s">
        <v>127</v>
      </c>
      <c r="D28" s="281"/>
      <c r="E28" s="282"/>
      <c r="F28" s="113" t="s">
        <v>92</v>
      </c>
      <c r="G28" s="18" t="s">
        <v>119</v>
      </c>
    </row>
    <row r="29" spans="1:7" s="86" customFormat="1" ht="16.5" customHeight="1" x14ac:dyDescent="0.25">
      <c r="A29" s="283" t="s">
        <v>94</v>
      </c>
      <c r="B29" s="249"/>
      <c r="C29" s="284" t="s">
        <v>95</v>
      </c>
      <c r="D29" s="285"/>
      <c r="E29" s="286"/>
      <c r="F29" s="66" t="s">
        <v>92</v>
      </c>
      <c r="G29" s="108" t="s">
        <v>93</v>
      </c>
    </row>
    <row r="30" spans="1:7" s="86" customFormat="1" ht="16.5" customHeight="1" x14ac:dyDescent="0.25">
      <c r="A30" s="283" t="s">
        <v>96</v>
      </c>
      <c r="B30" s="249"/>
      <c r="C30" s="284" t="s">
        <v>97</v>
      </c>
      <c r="D30" s="285"/>
      <c r="E30" s="286"/>
      <c r="F30" s="66" t="s">
        <v>92</v>
      </c>
      <c r="G30" s="18" t="s">
        <v>119</v>
      </c>
    </row>
    <row r="31" spans="1:7" s="86" customFormat="1" ht="16.5" customHeight="1" x14ac:dyDescent="0.25">
      <c r="A31" s="283" t="s">
        <v>98</v>
      </c>
      <c r="B31" s="249"/>
      <c r="C31" s="284" t="s">
        <v>99</v>
      </c>
      <c r="D31" s="285"/>
      <c r="E31" s="286"/>
      <c r="F31" s="66" t="s">
        <v>92</v>
      </c>
      <c r="G31" s="108" t="s">
        <v>100</v>
      </c>
    </row>
    <row r="32" spans="1:7" s="86" customFormat="1" ht="16.5" customHeight="1" x14ac:dyDescent="0.25">
      <c r="A32" s="283" t="s">
        <v>101</v>
      </c>
      <c r="B32" s="249"/>
      <c r="C32" s="284" t="s">
        <v>102</v>
      </c>
      <c r="D32" s="285"/>
      <c r="E32" s="286"/>
      <c r="F32" s="66" t="s">
        <v>92</v>
      </c>
      <c r="G32" s="108" t="s">
        <v>93</v>
      </c>
    </row>
    <row r="33" spans="1:7" s="86" customFormat="1" ht="16.5" customHeight="1" x14ac:dyDescent="0.25">
      <c r="A33" s="283" t="s">
        <v>103</v>
      </c>
      <c r="B33" s="249"/>
      <c r="C33" s="284" t="s">
        <v>104</v>
      </c>
      <c r="D33" s="285"/>
      <c r="E33" s="286"/>
      <c r="F33" s="66" t="s">
        <v>92</v>
      </c>
      <c r="G33" s="108" t="s">
        <v>120</v>
      </c>
    </row>
    <row r="34" spans="1:7" s="86" customFormat="1" ht="33" customHeight="1" thickBot="1" x14ac:dyDescent="0.3">
      <c r="A34" s="166" t="s">
        <v>105</v>
      </c>
      <c r="B34" s="167"/>
      <c r="C34" s="289" t="s">
        <v>106</v>
      </c>
      <c r="D34" s="290"/>
      <c r="E34" s="291"/>
      <c r="F34" s="114" t="s">
        <v>92</v>
      </c>
      <c r="G34" s="133" t="s">
        <v>120</v>
      </c>
    </row>
    <row r="35" spans="1:7" s="86" customFormat="1" ht="16.5" customHeight="1" thickBot="1" x14ac:dyDescent="0.3">
      <c r="A35" s="275" t="s">
        <v>107</v>
      </c>
      <c r="B35" s="276"/>
      <c r="C35" s="276"/>
      <c r="D35" s="276"/>
      <c r="E35" s="276"/>
      <c r="F35" s="276"/>
      <c r="G35" s="277"/>
    </row>
    <row r="36" spans="1:7" s="86" customFormat="1" ht="16.5" customHeight="1" x14ac:dyDescent="0.25">
      <c r="A36" s="162" t="s">
        <v>108</v>
      </c>
      <c r="B36" s="163"/>
      <c r="C36" s="287" t="s">
        <v>97</v>
      </c>
      <c r="D36" s="288"/>
      <c r="E36" s="163"/>
      <c r="F36" s="10" t="s">
        <v>92</v>
      </c>
      <c r="G36" s="18" t="s">
        <v>119</v>
      </c>
    </row>
    <row r="37" spans="1:7" s="86" customFormat="1" ht="16.5" customHeight="1" x14ac:dyDescent="0.25">
      <c r="A37" s="278" t="s">
        <v>109</v>
      </c>
      <c r="B37" s="279"/>
      <c r="C37" s="248" t="s">
        <v>110</v>
      </c>
      <c r="D37" s="292"/>
      <c r="E37" s="249"/>
      <c r="F37" s="106" t="s">
        <v>92</v>
      </c>
      <c r="G37" s="108" t="s">
        <v>93</v>
      </c>
    </row>
    <row r="38" spans="1:7" s="86" customFormat="1" ht="16.5" customHeight="1" x14ac:dyDescent="0.25">
      <c r="A38" s="283" t="s">
        <v>111</v>
      </c>
      <c r="B38" s="249"/>
      <c r="C38" s="248" t="s">
        <v>112</v>
      </c>
      <c r="D38" s="292"/>
      <c r="E38" s="249"/>
      <c r="F38" s="106" t="s">
        <v>92</v>
      </c>
      <c r="G38" s="108" t="s">
        <v>93</v>
      </c>
    </row>
    <row r="39" spans="1:7" s="86" customFormat="1" ht="16.5" customHeight="1" thickBot="1" x14ac:dyDescent="0.3">
      <c r="A39" s="166" t="s">
        <v>113</v>
      </c>
      <c r="B39" s="167"/>
      <c r="C39" s="293" t="s">
        <v>114</v>
      </c>
      <c r="D39" s="294"/>
      <c r="E39" s="167"/>
      <c r="F39" s="1" t="s">
        <v>92</v>
      </c>
      <c r="G39" s="109" t="s">
        <v>85</v>
      </c>
    </row>
    <row r="40" spans="1:7" s="86" customFormat="1" ht="16.5" customHeight="1" x14ac:dyDescent="0.25">
      <c r="A40" s="297" t="s">
        <v>115</v>
      </c>
      <c r="B40" s="298"/>
      <c r="C40" s="299" t="s">
        <v>134</v>
      </c>
      <c r="D40" s="300"/>
      <c r="E40" s="301"/>
      <c r="F40" s="299" t="s">
        <v>135</v>
      </c>
      <c r="G40" s="301"/>
    </row>
    <row r="41" spans="1:7" s="86" customFormat="1" ht="123" customHeight="1" x14ac:dyDescent="0.25">
      <c r="A41" s="302"/>
      <c r="B41" s="303"/>
      <c r="C41" s="189"/>
      <c r="D41" s="190"/>
      <c r="E41" s="196"/>
      <c r="F41" s="306"/>
      <c r="G41" s="307"/>
    </row>
    <row r="42" spans="1:7" s="86" customFormat="1" ht="16.5" customHeight="1" thickBot="1" x14ac:dyDescent="0.3">
      <c r="A42" s="304"/>
      <c r="B42" s="305"/>
      <c r="C42" s="308" t="s">
        <v>22</v>
      </c>
      <c r="D42" s="309"/>
      <c r="E42" s="310"/>
      <c r="F42" s="308" t="s">
        <v>136</v>
      </c>
      <c r="G42" s="310"/>
    </row>
    <row r="43" spans="1:7" ht="16.5" customHeight="1" x14ac:dyDescent="0.25">
      <c r="A43" s="115"/>
      <c r="B43" s="115"/>
      <c r="C43" s="115"/>
      <c r="D43" s="115"/>
      <c r="E43" s="295"/>
      <c r="F43" s="295"/>
      <c r="G43" s="295"/>
    </row>
    <row r="44" spans="1:7" x14ac:dyDescent="0.25">
      <c r="A44" s="46" t="s">
        <v>116</v>
      </c>
      <c r="B44" s="116"/>
      <c r="C44" s="118"/>
      <c r="D44" s="115"/>
      <c r="E44" s="296"/>
      <c r="F44" s="296"/>
      <c r="G44" s="296"/>
    </row>
    <row r="46" spans="1:7" x14ac:dyDescent="0.25">
      <c r="A46" s="241" t="s">
        <v>117</v>
      </c>
      <c r="B46" s="241"/>
    </row>
    <row r="47" spans="1:7" x14ac:dyDescent="0.25">
      <c r="A47" s="241" t="s">
        <v>118</v>
      </c>
      <c r="B47" s="241"/>
    </row>
  </sheetData>
  <mergeCells count="55">
    <mergeCell ref="E43:G43"/>
    <mergeCell ref="E44:G44"/>
    <mergeCell ref="A40:B40"/>
    <mergeCell ref="C40:E40"/>
    <mergeCell ref="F40:G40"/>
    <mergeCell ref="A41:B42"/>
    <mergeCell ref="C41:E41"/>
    <mergeCell ref="F41:G41"/>
    <mergeCell ref="C42:E42"/>
    <mergeCell ref="F42:G42"/>
    <mergeCell ref="A37:B37"/>
    <mergeCell ref="C37:E37"/>
    <mergeCell ref="A38:B38"/>
    <mergeCell ref="C38:E38"/>
    <mergeCell ref="A39:B39"/>
    <mergeCell ref="C39:E39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G35"/>
    <mergeCell ref="A27:G27"/>
    <mergeCell ref="A28:B28"/>
    <mergeCell ref="C28:E28"/>
    <mergeCell ref="A29:B29"/>
    <mergeCell ref="C29:E29"/>
    <mergeCell ref="F8:F10"/>
    <mergeCell ref="G8:G10"/>
    <mergeCell ref="C9:C10"/>
    <mergeCell ref="D9:E10"/>
    <mergeCell ref="G15:G22"/>
    <mergeCell ref="A46:B46"/>
    <mergeCell ref="A47:B47"/>
    <mergeCell ref="A1:G1"/>
    <mergeCell ref="A4:G4"/>
    <mergeCell ref="A5:G5"/>
    <mergeCell ref="D6:E6"/>
    <mergeCell ref="F6:F7"/>
    <mergeCell ref="G6:G7"/>
    <mergeCell ref="D7:E7"/>
    <mergeCell ref="A3:G3"/>
    <mergeCell ref="A11:A12"/>
    <mergeCell ref="B11:B12"/>
    <mergeCell ref="C11:E11"/>
    <mergeCell ref="F11:F12"/>
    <mergeCell ref="G11:G12"/>
    <mergeCell ref="D8:E8"/>
  </mergeCells>
  <pageMargins left="0.15748031496062992" right="0.15748031496062992" top="0.78740157480314965" bottom="0" header="0.31496062992125984" footer="0.31496062992125984"/>
  <pageSetup paperSize="9" scale="8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2025-12-22T17:02:55Z</dcterms:modified>
</cp:coreProperties>
</file>