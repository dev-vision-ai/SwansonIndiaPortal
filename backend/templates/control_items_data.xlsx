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uresh Chari\Downloads\"/>
    </mc:Choice>
  </mc:AlternateContent>
  <xr:revisionPtr revIDLastSave="0" documentId="13_ncr:1_{8A5FF4DC-F269-44CC-89CB-BCF7EDB6326B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Sheet1" sheetId="7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Unit_Of_Measure">[1]Config!$G$2:$G$433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R5" i="71" l="1"/>
  <c r="OQ5" i="71"/>
  <c r="OO5" i="71"/>
  <c r="OT5" i="71" s="1"/>
  <c r="ON5" i="71"/>
  <c r="OR4" i="71"/>
  <c r="OQ4" i="71"/>
  <c r="OO4" i="71"/>
  <c r="OT4" i="71" s="1"/>
  <c r="ON4" i="71"/>
  <c r="OR3" i="71"/>
  <c r="OQ3" i="71"/>
  <c r="OO3" i="71"/>
  <c r="OT3" i="71" s="1"/>
  <c r="ON3" i="71"/>
  <c r="OP5" i="71" l="1"/>
  <c r="OP4" i="71"/>
  <c r="OS4" i="71"/>
  <c r="OS5" i="71"/>
  <c r="OS3" i="71"/>
  <c r="OP3" i="71"/>
</calcChain>
</file>

<file path=xl/sharedStrings.xml><?xml version="1.0" encoding="utf-8"?>
<sst xmlns="http://schemas.openxmlformats.org/spreadsheetml/2006/main" count="14" uniqueCount="14">
  <si>
    <t>Requirement</t>
  </si>
  <si>
    <t>Average</t>
  </si>
  <si>
    <t>STDEV</t>
  </si>
  <si>
    <t>cpk</t>
  </si>
  <si>
    <t>Min</t>
  </si>
  <si>
    <t>Max</t>
  </si>
  <si>
    <t>Paper core ID</t>
  </si>
  <si>
    <t>Paper core OD</t>
  </si>
  <si>
    <t>Roll Diameter</t>
  </si>
  <si>
    <t>Cr</t>
  </si>
  <si>
    <t>Tz</t>
  </si>
  <si>
    <t>Sr. no.</t>
  </si>
  <si>
    <t>Remarks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</si>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</sst>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0.0"/>
    <numFmt numFmtId="168" formatCode="0.00000"/>
  </numFmts>
  <fonts count="125"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2"/>
      <name val="新細明體"/>
      <family val="1"/>
      <charset val="136"/>
    </font>
    <font>
      <sz val="12"/>
      <name val="宋体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sz val="14"/>
      <color indexed="9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5">
    <xf numFmtId="0" fontId="0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5" fillId="0" borderId="0">
      <alignment vertical="center"/>
    </xf>
    <xf numFmtId="0" fontId="112" fillId="0" borderId="0"/>
    <xf numFmtId="0" fontId="111" fillId="0" borderId="0"/>
    <xf numFmtId="0" fontId="116" fillId="0" borderId="0">
      <alignment vertical="center"/>
    </xf>
    <xf numFmtId="0" fontId="111" fillId="0" borderId="0"/>
    <xf numFmtId="0" fontId="111" fillId="0" borderId="0"/>
    <xf numFmtId="0" fontId="117" fillId="0" borderId="0"/>
    <xf numFmtId="0" fontId="118" fillId="0" borderId="0"/>
    <xf numFmtId="0" fontId="118" fillId="0" borderId="0"/>
    <xf numFmtId="0" fontId="11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44" fontId="104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44" fontId="104" fillId="0" borderId="0" applyFont="0" applyFill="0" applyBorder="0" applyAlignment="0" applyProtection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4" fillId="0" borderId="0"/>
    <xf numFmtId="0" fontId="93" fillId="0" borderId="0"/>
    <xf numFmtId="0" fontId="93" fillId="0" borderId="0"/>
    <xf numFmtId="0" fontId="92" fillId="0" borderId="0"/>
    <xf numFmtId="0" fontId="91" fillId="0" borderId="0"/>
    <xf numFmtId="0" fontId="91" fillId="0" borderId="0"/>
    <xf numFmtId="0" fontId="90" fillId="0" borderId="0"/>
    <xf numFmtId="0" fontId="90" fillId="0" borderId="0"/>
    <xf numFmtId="0" fontId="89" fillId="0" borderId="0"/>
    <xf numFmtId="0" fontId="89" fillId="0" borderId="0"/>
    <xf numFmtId="0" fontId="88" fillId="0" borderId="0"/>
    <xf numFmtId="0" fontId="88" fillId="0" borderId="0"/>
    <xf numFmtId="0" fontId="87" fillId="0" borderId="0"/>
    <xf numFmtId="0" fontId="87" fillId="0" borderId="0"/>
    <xf numFmtId="0" fontId="86" fillId="0" borderId="0"/>
    <xf numFmtId="0" fontId="86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3" fillId="0" borderId="0"/>
    <xf numFmtId="44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2" fillId="0" borderId="0"/>
    <xf numFmtId="0" fontId="82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7" fillId="0" borderId="0"/>
    <xf numFmtId="0" fontId="77" fillId="0" borderId="0"/>
    <xf numFmtId="0" fontId="76" fillId="0" borderId="0"/>
    <xf numFmtId="0" fontId="76" fillId="0" borderId="0"/>
    <xf numFmtId="0" fontId="75" fillId="0" borderId="0"/>
    <xf numFmtId="0" fontId="75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1" fillId="0" borderId="0"/>
    <xf numFmtId="0" fontId="71" fillId="0" borderId="0"/>
    <xf numFmtId="0" fontId="70" fillId="0" borderId="0"/>
    <xf numFmtId="0" fontId="70" fillId="0" borderId="0"/>
    <xf numFmtId="0" fontId="69" fillId="0" borderId="0"/>
    <xf numFmtId="0" fontId="69" fillId="0" borderId="0"/>
    <xf numFmtId="0" fontId="68" fillId="0" borderId="0"/>
    <xf numFmtId="0" fontId="68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5" fillId="0" borderId="0"/>
    <xf numFmtId="0" fontId="65" fillId="0" borderId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/>
    <xf numFmtId="0" fontId="63" fillId="0" borderId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2" fillId="0" borderId="0"/>
    <xf numFmtId="0" fontId="62" fillId="0" borderId="0"/>
    <xf numFmtId="0" fontId="61" fillId="0" borderId="0"/>
    <xf numFmtId="0" fontId="61" fillId="0" borderId="0"/>
    <xf numFmtId="0" fontId="60" fillId="0" borderId="0"/>
    <xf numFmtId="0" fontId="60" fillId="0" borderId="0"/>
    <xf numFmtId="0" fontId="59" fillId="0" borderId="0"/>
    <xf numFmtId="0" fontId="59" fillId="0" borderId="0"/>
    <xf numFmtId="44" fontId="58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58" fillId="0" borderId="0"/>
    <xf numFmtId="0" fontId="58" fillId="0" borderId="0"/>
    <xf numFmtId="0" fontId="57" fillId="0" borderId="0"/>
    <xf numFmtId="0" fontId="57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6" fillId="0" borderId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5" fillId="0" borderId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4" fillId="0" borderId="0"/>
    <xf numFmtId="0" fontId="34" fillId="0" borderId="0"/>
    <xf numFmtId="0" fontId="33" fillId="0" borderId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7" fillId="0" borderId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24">
    <xf numFmtId="0" fontId="0" fillId="0" borderId="0" xfId="0">
      <alignment vertical="center"/>
    </xf>
    <xf numFmtId="0" fontId="120" fillId="0" borderId="0" xfId="0" applyFont="1">
      <alignment vertical="center"/>
    </xf>
    <xf numFmtId="0" fontId="120" fillId="0" borderId="0" xfId="0" applyFont="1" applyAlignment="1"/>
    <xf numFmtId="168" fontId="122" fillId="3" borderId="1" xfId="0" applyNumberFormat="1" applyFont="1" applyFill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1" fontId="120" fillId="0" borderId="1" xfId="0" applyNumberFormat="1" applyFont="1" applyBorder="1" applyAlignment="1">
      <alignment horizontal="center" vertical="center" wrapText="1"/>
    </xf>
    <xf numFmtId="49" fontId="120" fillId="0" borderId="1" xfId="8" applyNumberFormat="1" applyFont="1" applyBorder="1" applyAlignment="1" applyProtection="1">
      <alignment horizontal="left" vertical="center"/>
      <protection locked="0"/>
    </xf>
    <xf numFmtId="2" fontId="120" fillId="0" borderId="0" xfId="0" applyNumberFormat="1" applyFont="1" applyAlignment="1">
      <alignment horizontal="center" vertical="center" wrapText="1"/>
    </xf>
    <xf numFmtId="1" fontId="123" fillId="2" borderId="1" xfId="0" applyNumberFormat="1" applyFont="1" applyFill="1" applyBorder="1" applyAlignment="1" applyProtection="1">
      <alignment horizontal="center" vertical="center"/>
      <protection locked="0"/>
    </xf>
    <xf numFmtId="165" fontId="120" fillId="0" borderId="0" xfId="0" applyNumberFormat="1" applyFont="1" applyAlignment="1"/>
    <xf numFmtId="0" fontId="120" fillId="0" borderId="1" xfId="0" applyFont="1" applyBorder="1" applyAlignment="1">
      <alignment horizontal="center" vertical="center"/>
    </xf>
    <xf numFmtId="0" fontId="120" fillId="0" borderId="1" xfId="8" applyFont="1" applyBorder="1" applyAlignment="1">
      <alignment horizontal="left" vertical="center"/>
    </xf>
    <xf numFmtId="0" fontId="120" fillId="0" borderId="0" xfId="0" applyFont="1" applyAlignment="1">
      <alignment wrapText="1"/>
    </xf>
    <xf numFmtId="0" fontId="120" fillId="0" borderId="0" xfId="0" applyFont="1" applyAlignment="1">
      <alignment vertical="center" wrapText="1"/>
    </xf>
    <xf numFmtId="2" fontId="120" fillId="0" borderId="0" xfId="0" applyNumberFormat="1" applyFont="1" applyAlignment="1">
      <alignment wrapText="1"/>
    </xf>
    <xf numFmtId="2" fontId="120" fillId="5" borderId="1" xfId="0" applyNumberFormat="1" applyFont="1" applyFill="1" applyBorder="1" applyAlignment="1">
      <alignment horizontal="center" vertical="center" wrapText="1"/>
    </xf>
    <xf numFmtId="1" fontId="120" fillId="5" borderId="1" xfId="0" applyNumberFormat="1" applyFont="1" applyFill="1" applyBorder="1" applyAlignment="1">
      <alignment horizontal="center" vertical="center" wrapText="1"/>
    </xf>
    <xf numFmtId="0" fontId="120" fillId="5" borderId="1" xfId="0" applyFont="1" applyFill="1" applyBorder="1" applyAlignment="1">
      <alignment horizontal="left" vertical="top" wrapText="1"/>
    </xf>
    <xf numFmtId="0" fontId="120" fillId="5" borderId="1" xfId="0" applyFont="1" applyFill="1" applyBorder="1" applyAlignment="1">
      <alignment horizontal="center" vertical="center" wrapText="1"/>
    </xf>
    <xf numFmtId="49" fontId="121" fillId="4" borderId="1" xfId="0" applyNumberFormat="1" applyFont="1" applyFill="1" applyBorder="1" applyAlignment="1" applyProtection="1">
      <alignment horizontal="center" vertical="center" textRotation="90"/>
      <protection locked="0"/>
    </xf>
    <xf numFmtId="1" fontId="122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124" fillId="4" borderId="1" xfId="0" applyNumberFormat="1" applyFont="1" applyFill="1" applyBorder="1" applyAlignment="1">
      <alignment horizontal="center" vertical="center" wrapText="1"/>
    </xf>
    <xf numFmtId="49" fontId="124" fillId="4" borderId="1" xfId="0" applyNumberFormat="1" applyFont="1" applyFill="1" applyBorder="1" applyAlignment="1">
      <alignment horizontal="center" vertical="center"/>
    </xf>
    <xf numFmtId="2" fontId="120" fillId="0" borderId="0" xfId="0" applyNumberFormat="1" applyFont="1" applyAlignment="1">
      <alignment horizontal="center" vertical="center" wrapText="1"/>
    </xf>
  </cellXfs>
  <cellStyles count="465">
    <cellStyle name="Currency 10" xfId="170" xr:uid="{00000000-0005-0000-0000-000000000000}"/>
    <cellStyle name="Currency 11" xfId="311" xr:uid="{00000000-0005-0000-0000-000001000000}"/>
    <cellStyle name="Currency 12" xfId="319" xr:uid="{00000000-0005-0000-0000-000002000000}"/>
    <cellStyle name="Currency 13" xfId="322" xr:uid="{00000000-0005-0000-0000-000003000000}"/>
    <cellStyle name="Currency 14" xfId="342" xr:uid="{00000000-0005-0000-0000-000004000000}"/>
    <cellStyle name="Currency 15" xfId="347" xr:uid="{00000000-0005-0000-0000-000005000000}"/>
    <cellStyle name="Currency 16" xfId="358" xr:uid="{00000000-0005-0000-0000-000006000000}"/>
    <cellStyle name="Currency 17" xfId="365" xr:uid="{00000000-0005-0000-0000-000007000000}"/>
    <cellStyle name="Currency 18" xfId="368" xr:uid="{00000000-0005-0000-0000-000008000000}"/>
    <cellStyle name="Currency 2" xfId="37" xr:uid="{00000000-0005-0000-0000-000009000000}"/>
    <cellStyle name="Currency 2 10" xfId="312" xr:uid="{00000000-0005-0000-0000-00000A000000}"/>
    <cellStyle name="Currency 2 11" xfId="320" xr:uid="{00000000-0005-0000-0000-00000B000000}"/>
    <cellStyle name="Currency 2 12" xfId="323" xr:uid="{00000000-0005-0000-0000-00000C000000}"/>
    <cellStyle name="Currency 2 13" xfId="343" xr:uid="{00000000-0005-0000-0000-00000D000000}"/>
    <cellStyle name="Currency 2 14" xfId="348" xr:uid="{00000000-0005-0000-0000-00000E000000}"/>
    <cellStyle name="Currency 2 15" xfId="359" xr:uid="{00000000-0005-0000-0000-00000F000000}"/>
    <cellStyle name="Currency 2 16" xfId="366" xr:uid="{00000000-0005-0000-0000-000010000000}"/>
    <cellStyle name="Currency 2 17" xfId="369" xr:uid="{00000000-0005-0000-0000-000011000000}"/>
    <cellStyle name="Currency 2 18" xfId="383" xr:uid="{00000000-0005-0000-0000-000012000000}"/>
    <cellStyle name="Currency 2 19" xfId="384" xr:uid="{00000000-0005-0000-0000-000013000000}"/>
    <cellStyle name="Currency 2 2" xfId="70" xr:uid="{00000000-0005-0000-0000-000014000000}"/>
    <cellStyle name="Currency 2 2 2" xfId="231" xr:uid="{00000000-0005-0000-0000-000015000000}"/>
    <cellStyle name="Currency 2 2 2 2" xfId="385" xr:uid="{00000000-0005-0000-0000-000016000000}"/>
    <cellStyle name="Currency 2 2 2 2 2" xfId="427" xr:uid="{00000000-0005-0000-0000-000017000000}"/>
    <cellStyle name="Currency 2 2 2 3" xfId="386" xr:uid="{00000000-0005-0000-0000-000018000000}"/>
    <cellStyle name="Currency 2 2 2 3 2" xfId="428" xr:uid="{00000000-0005-0000-0000-000019000000}"/>
    <cellStyle name="Currency 2 2 2 4" xfId="429" xr:uid="{00000000-0005-0000-0000-00001A000000}"/>
    <cellStyle name="Currency 2 2 3" xfId="387" xr:uid="{00000000-0005-0000-0000-00001B000000}"/>
    <cellStyle name="Currency 2 2 3 2" xfId="388" xr:uid="{00000000-0005-0000-0000-00001C000000}"/>
    <cellStyle name="Currency 2 2 3 2 2" xfId="430" xr:uid="{00000000-0005-0000-0000-00001D000000}"/>
    <cellStyle name="Currency 2 2 3 3" xfId="431" xr:uid="{00000000-0005-0000-0000-00001E000000}"/>
    <cellStyle name="Currency 2 2 3 4" xfId="432" xr:uid="{00000000-0005-0000-0000-00001F000000}"/>
    <cellStyle name="Currency 2 2 4" xfId="389" xr:uid="{00000000-0005-0000-0000-000020000000}"/>
    <cellStyle name="Currency 2 2 4 2" xfId="433" xr:uid="{00000000-0005-0000-0000-000021000000}"/>
    <cellStyle name="Currency 2 2 5" xfId="390" xr:uid="{00000000-0005-0000-0000-000022000000}"/>
    <cellStyle name="Currency 2 2 5 2" xfId="434" xr:uid="{00000000-0005-0000-0000-000023000000}"/>
    <cellStyle name="Currency 2 2 6" xfId="435" xr:uid="{00000000-0005-0000-0000-000024000000}"/>
    <cellStyle name="Currency 2 20" xfId="391" xr:uid="{00000000-0005-0000-0000-000025000000}"/>
    <cellStyle name="Currency 2 21" xfId="392" xr:uid="{00000000-0005-0000-0000-000026000000}"/>
    <cellStyle name="Currency 2 22" xfId="436" xr:uid="{00000000-0005-0000-0000-000027000000}"/>
    <cellStyle name="Currency 2 3" xfId="108" xr:uid="{00000000-0005-0000-0000-000028000000}"/>
    <cellStyle name="Currency 2 3 2" xfId="269" xr:uid="{00000000-0005-0000-0000-000029000000}"/>
    <cellStyle name="Currency 2 3 2 2" xfId="393" xr:uid="{00000000-0005-0000-0000-00002A000000}"/>
    <cellStyle name="Currency 2 3 2 2 2" xfId="437" xr:uid="{00000000-0005-0000-0000-00002B000000}"/>
    <cellStyle name="Currency 2 3 2 3" xfId="394" xr:uid="{00000000-0005-0000-0000-00002C000000}"/>
    <cellStyle name="Currency 2 3 2 3 2" xfId="438" xr:uid="{00000000-0005-0000-0000-00002D000000}"/>
    <cellStyle name="Currency 2 3 2 4" xfId="439" xr:uid="{00000000-0005-0000-0000-00002E000000}"/>
    <cellStyle name="Currency 2 3 3" xfId="395" xr:uid="{00000000-0005-0000-0000-00002F000000}"/>
    <cellStyle name="Currency 2 3 3 2" xfId="396" xr:uid="{00000000-0005-0000-0000-000030000000}"/>
    <cellStyle name="Currency 2 3 3 2 2" xfId="440" xr:uid="{00000000-0005-0000-0000-000031000000}"/>
    <cellStyle name="Currency 2 3 3 3" xfId="441" xr:uid="{00000000-0005-0000-0000-000032000000}"/>
    <cellStyle name="Currency 2 3 3 4" xfId="442" xr:uid="{00000000-0005-0000-0000-000033000000}"/>
    <cellStyle name="Currency 2 3 4" xfId="397" xr:uid="{00000000-0005-0000-0000-000034000000}"/>
    <cellStyle name="Currency 2 3 4 2" xfId="443" xr:uid="{00000000-0005-0000-0000-000035000000}"/>
    <cellStyle name="Currency 2 3 5" xfId="398" xr:uid="{00000000-0005-0000-0000-000036000000}"/>
    <cellStyle name="Currency 2 3 5 2" xfId="444" xr:uid="{00000000-0005-0000-0000-000037000000}"/>
    <cellStyle name="Currency 2 3 6" xfId="445" xr:uid="{00000000-0005-0000-0000-000038000000}"/>
    <cellStyle name="Currency 2 4" xfId="114" xr:uid="{00000000-0005-0000-0000-000039000000}"/>
    <cellStyle name="Currency 2 4 2" xfId="275" xr:uid="{00000000-0005-0000-0000-00003A000000}"/>
    <cellStyle name="Currency 2 4 2 2" xfId="446" xr:uid="{00000000-0005-0000-0000-00003B000000}"/>
    <cellStyle name="Currency 2 4 3" xfId="399" xr:uid="{00000000-0005-0000-0000-00003C000000}"/>
    <cellStyle name="Currency 2 4 3 2" xfId="447" xr:uid="{00000000-0005-0000-0000-00003D000000}"/>
    <cellStyle name="Currency 2 4 4" xfId="400" xr:uid="{00000000-0005-0000-0000-00003E000000}"/>
    <cellStyle name="Currency 2 4 4 2" xfId="448" xr:uid="{00000000-0005-0000-0000-00003F000000}"/>
    <cellStyle name="Currency 2 4 5" xfId="449" xr:uid="{00000000-0005-0000-0000-000040000000}"/>
    <cellStyle name="Currency 2 5" xfId="123" xr:uid="{00000000-0005-0000-0000-000041000000}"/>
    <cellStyle name="Currency 2 5 2" xfId="284" xr:uid="{00000000-0005-0000-0000-000042000000}"/>
    <cellStyle name="Currency 2 5 2 2" xfId="450" xr:uid="{00000000-0005-0000-0000-000043000000}"/>
    <cellStyle name="Currency 2 5 3" xfId="401" xr:uid="{00000000-0005-0000-0000-000044000000}"/>
    <cellStyle name="Currency 2 5 3 2" xfId="451" xr:uid="{00000000-0005-0000-0000-000045000000}"/>
    <cellStyle name="Currency 2 5 4" xfId="402" xr:uid="{00000000-0005-0000-0000-000046000000}"/>
    <cellStyle name="Currency 2 5 4 2" xfId="452" xr:uid="{00000000-0005-0000-0000-000047000000}"/>
    <cellStyle name="Currency 2 5 5" xfId="453" xr:uid="{00000000-0005-0000-0000-000048000000}"/>
    <cellStyle name="Currency 2 6" xfId="163" xr:uid="{00000000-0005-0000-0000-000049000000}"/>
    <cellStyle name="Currency 2 6 2" xfId="454" xr:uid="{00000000-0005-0000-0000-00004A000000}"/>
    <cellStyle name="Currency 2 7" xfId="166" xr:uid="{00000000-0005-0000-0000-00004B000000}"/>
    <cellStyle name="Currency 2 7 2" xfId="455" xr:uid="{00000000-0005-0000-0000-00004C000000}"/>
    <cellStyle name="Currency 2 8" xfId="171" xr:uid="{00000000-0005-0000-0000-00004D000000}"/>
    <cellStyle name="Currency 2 8 2" xfId="456" xr:uid="{00000000-0005-0000-0000-00004E000000}"/>
    <cellStyle name="Currency 2 9" xfId="198" xr:uid="{00000000-0005-0000-0000-00004F000000}"/>
    <cellStyle name="Currency 3" xfId="35" xr:uid="{00000000-0005-0000-0000-000050000000}"/>
    <cellStyle name="Currency 3 2" xfId="197" xr:uid="{00000000-0005-0000-0000-000051000000}"/>
    <cellStyle name="Currency 4" xfId="69" xr:uid="{00000000-0005-0000-0000-000052000000}"/>
    <cellStyle name="Currency 4 2" xfId="230" xr:uid="{00000000-0005-0000-0000-000053000000}"/>
    <cellStyle name="Currency 5" xfId="107" xr:uid="{00000000-0005-0000-0000-000054000000}"/>
    <cellStyle name="Currency 5 2" xfId="268" xr:uid="{00000000-0005-0000-0000-000055000000}"/>
    <cellStyle name="Currency 6" xfId="113" xr:uid="{00000000-0005-0000-0000-000056000000}"/>
    <cellStyle name="Currency 6 2" xfId="274" xr:uid="{00000000-0005-0000-0000-000057000000}"/>
    <cellStyle name="Currency 7" xfId="124" xr:uid="{00000000-0005-0000-0000-000058000000}"/>
    <cellStyle name="Currency 7 2" xfId="285" xr:uid="{00000000-0005-0000-0000-000059000000}"/>
    <cellStyle name="Currency 8" xfId="162" xr:uid="{00000000-0005-0000-0000-00005A000000}"/>
    <cellStyle name="Currency 9" xfId="165" xr:uid="{00000000-0005-0000-0000-00005B000000}"/>
    <cellStyle name="Hyperlink 2" xfId="36" xr:uid="{00000000-0005-0000-0000-00005C000000}"/>
    <cellStyle name="Normal" xfId="0" builtinId="0"/>
    <cellStyle name="Normal 10" xfId="10" xr:uid="{00000000-0005-0000-0000-00005E000000}"/>
    <cellStyle name="Normal 10 2" xfId="18" xr:uid="{00000000-0005-0000-0000-00005F000000}"/>
    <cellStyle name="Normal 10 2 2" xfId="28" xr:uid="{00000000-0005-0000-0000-000060000000}"/>
    <cellStyle name="Normal 10 2 2 2" xfId="190" xr:uid="{00000000-0005-0000-0000-000061000000}"/>
    <cellStyle name="Normal 10 2 3" xfId="180" xr:uid="{00000000-0005-0000-0000-000062000000}"/>
    <cellStyle name="Normal 10 3" xfId="23" xr:uid="{00000000-0005-0000-0000-000063000000}"/>
    <cellStyle name="Normal 10 3 2" xfId="185" xr:uid="{00000000-0005-0000-0000-000064000000}"/>
    <cellStyle name="Normal 10 4" xfId="175" xr:uid="{00000000-0005-0000-0000-000065000000}"/>
    <cellStyle name="Normal 100" xfId="351" xr:uid="{00000000-0005-0000-0000-000066000000}"/>
    <cellStyle name="Normal 101" xfId="353" xr:uid="{00000000-0005-0000-0000-000067000000}"/>
    <cellStyle name="Normal 102" xfId="355" xr:uid="{00000000-0005-0000-0000-000068000000}"/>
    <cellStyle name="Normal 103" xfId="357" xr:uid="{00000000-0005-0000-0000-000069000000}"/>
    <cellStyle name="Normal 104" xfId="360" xr:uid="{00000000-0005-0000-0000-00006A000000}"/>
    <cellStyle name="Normal 105" xfId="361" xr:uid="{00000000-0005-0000-0000-00006B000000}"/>
    <cellStyle name="Normal 106" xfId="362" xr:uid="{00000000-0005-0000-0000-00006C000000}"/>
    <cellStyle name="Normal 107" xfId="363" xr:uid="{00000000-0005-0000-0000-00006D000000}"/>
    <cellStyle name="Normal 108" xfId="364" xr:uid="{00000000-0005-0000-0000-00006E000000}"/>
    <cellStyle name="Normal 109" xfId="367" xr:uid="{00000000-0005-0000-0000-00006F000000}"/>
    <cellStyle name="Normal 11" xfId="32" xr:uid="{00000000-0005-0000-0000-000070000000}"/>
    <cellStyle name="Normal 11 2" xfId="194" xr:uid="{00000000-0005-0000-0000-000071000000}"/>
    <cellStyle name="Normal 110" xfId="371" xr:uid="{00000000-0005-0000-0000-000072000000}"/>
    <cellStyle name="Normal 111" xfId="372" xr:uid="{00000000-0005-0000-0000-000073000000}"/>
    <cellStyle name="Normal 112" xfId="373" xr:uid="{00000000-0005-0000-0000-000074000000}"/>
    <cellStyle name="Normal 113" xfId="374" xr:uid="{00000000-0005-0000-0000-000075000000}"/>
    <cellStyle name="Normal 114" xfId="375" xr:uid="{00000000-0005-0000-0000-000076000000}"/>
    <cellStyle name="Normal 115" xfId="376" xr:uid="{00000000-0005-0000-0000-000077000000}"/>
    <cellStyle name="Normal 116" xfId="377" xr:uid="{00000000-0005-0000-0000-000078000000}"/>
    <cellStyle name="Normal 117" xfId="378" xr:uid="{00000000-0005-0000-0000-000079000000}"/>
    <cellStyle name="Normal 118" xfId="379" xr:uid="{00000000-0005-0000-0000-00007A000000}"/>
    <cellStyle name="Normal 119" xfId="380" xr:uid="{00000000-0005-0000-0000-00007B000000}"/>
    <cellStyle name="Normal 12" xfId="33" xr:uid="{00000000-0005-0000-0000-00007C000000}"/>
    <cellStyle name="Normal 12 2" xfId="195" xr:uid="{00000000-0005-0000-0000-00007D000000}"/>
    <cellStyle name="Normal 120" xfId="381" xr:uid="{00000000-0005-0000-0000-00007E000000}"/>
    <cellStyle name="Normal 121" xfId="403" xr:uid="{00000000-0005-0000-0000-00007F000000}"/>
    <cellStyle name="Normal 122" xfId="404" xr:uid="{00000000-0005-0000-0000-000080000000}"/>
    <cellStyle name="Normal 123" xfId="405" xr:uid="{00000000-0005-0000-0000-000081000000}"/>
    <cellStyle name="Normal 124" xfId="406" xr:uid="{00000000-0005-0000-0000-000082000000}"/>
    <cellStyle name="Normal 125" xfId="407" xr:uid="{00000000-0005-0000-0000-000083000000}"/>
    <cellStyle name="Normal 126" xfId="408" xr:uid="{00000000-0005-0000-0000-000084000000}"/>
    <cellStyle name="Normal 127" xfId="409" xr:uid="{00000000-0005-0000-0000-000085000000}"/>
    <cellStyle name="Normal 128" xfId="410" xr:uid="{00000000-0005-0000-0000-000086000000}"/>
    <cellStyle name="Normal 129" xfId="411" xr:uid="{00000000-0005-0000-0000-000087000000}"/>
    <cellStyle name="Normal 13" xfId="34" xr:uid="{00000000-0005-0000-0000-000088000000}"/>
    <cellStyle name="Normal 13 2" xfId="51" xr:uid="{00000000-0005-0000-0000-000089000000}"/>
    <cellStyle name="Normal 13 2 2" xfId="212" xr:uid="{00000000-0005-0000-0000-00008A000000}"/>
    <cellStyle name="Normal 13 3" xfId="68" xr:uid="{00000000-0005-0000-0000-00008B000000}"/>
    <cellStyle name="Normal 13 3 2" xfId="101" xr:uid="{00000000-0005-0000-0000-00008C000000}"/>
    <cellStyle name="Normal 13 3 2 2" xfId="262" xr:uid="{00000000-0005-0000-0000-00008D000000}"/>
    <cellStyle name="Normal 13 3 3" xfId="229" xr:uid="{00000000-0005-0000-0000-00008E000000}"/>
    <cellStyle name="Normal 13 4" xfId="196" xr:uid="{00000000-0005-0000-0000-00008F000000}"/>
    <cellStyle name="Normal 130" xfId="412" xr:uid="{00000000-0005-0000-0000-000090000000}"/>
    <cellStyle name="Normal 131" xfId="413" xr:uid="{00000000-0005-0000-0000-000091000000}"/>
    <cellStyle name="Normal 132" xfId="414" xr:uid="{00000000-0005-0000-0000-000092000000}"/>
    <cellStyle name="Normal 133" xfId="415" xr:uid="{00000000-0005-0000-0000-000093000000}"/>
    <cellStyle name="Normal 134" xfId="416" xr:uid="{00000000-0005-0000-0000-000094000000}"/>
    <cellStyle name="Normal 135" xfId="417" xr:uid="{00000000-0005-0000-0000-000095000000}"/>
    <cellStyle name="Normal 136" xfId="418" xr:uid="{00000000-0005-0000-0000-000096000000}"/>
    <cellStyle name="Normal 137" xfId="419" xr:uid="{00000000-0005-0000-0000-000097000000}"/>
    <cellStyle name="Normal 138" xfId="420" xr:uid="{00000000-0005-0000-0000-000098000000}"/>
    <cellStyle name="Normal 139" xfId="421" xr:uid="{00000000-0005-0000-0000-000099000000}"/>
    <cellStyle name="Normal 14" xfId="38" xr:uid="{00000000-0005-0000-0000-00009A000000}"/>
    <cellStyle name="Normal 14 2" xfId="199" xr:uid="{00000000-0005-0000-0000-00009B000000}"/>
    <cellStyle name="Normal 140" xfId="422" xr:uid="{00000000-0005-0000-0000-00009C000000}"/>
    <cellStyle name="Normal 141" xfId="423" xr:uid="{00000000-0005-0000-0000-00009D000000}"/>
    <cellStyle name="Normal 142" xfId="457" xr:uid="{00000000-0005-0000-0000-00009E000000}"/>
    <cellStyle name="Normal 143" xfId="458" xr:uid="{00000000-0005-0000-0000-00009F000000}"/>
    <cellStyle name="Normal 144" xfId="459" xr:uid="{00000000-0005-0000-0000-0000A0000000}"/>
    <cellStyle name="Normal 145" xfId="460" xr:uid="{00000000-0005-0000-0000-0000A1000000}"/>
    <cellStyle name="Normal 146" xfId="461" xr:uid="{00000000-0005-0000-0000-0000A2000000}"/>
    <cellStyle name="Normal 147" xfId="462" xr:uid="{00000000-0005-0000-0000-0000A3000000}"/>
    <cellStyle name="Normal 148" xfId="463" xr:uid="{00000000-0005-0000-0000-0000A4000000}"/>
    <cellStyle name="Normal 15" xfId="39" xr:uid="{00000000-0005-0000-0000-0000A5000000}"/>
    <cellStyle name="Normal 15 2" xfId="200" xr:uid="{00000000-0005-0000-0000-0000A6000000}"/>
    <cellStyle name="Normal 16" xfId="40" xr:uid="{00000000-0005-0000-0000-0000A7000000}"/>
    <cellStyle name="Normal 16 2" xfId="201" xr:uid="{00000000-0005-0000-0000-0000A8000000}"/>
    <cellStyle name="Normal 17" xfId="41" xr:uid="{00000000-0005-0000-0000-0000A9000000}"/>
    <cellStyle name="Normal 17 2" xfId="202" xr:uid="{00000000-0005-0000-0000-0000AA000000}"/>
    <cellStyle name="Normal 18" xfId="42" xr:uid="{00000000-0005-0000-0000-0000AB000000}"/>
    <cellStyle name="Normal 18 2" xfId="203" xr:uid="{00000000-0005-0000-0000-0000AC000000}"/>
    <cellStyle name="Normal 19" xfId="43" xr:uid="{00000000-0005-0000-0000-0000AD000000}"/>
    <cellStyle name="Normal 19 2" xfId="204" xr:uid="{00000000-0005-0000-0000-0000AE000000}"/>
    <cellStyle name="Normal 2" xfId="4" xr:uid="{00000000-0005-0000-0000-0000AF000000}"/>
    <cellStyle name="Normal 2 2" xfId="12" xr:uid="{00000000-0005-0000-0000-0000B0000000}"/>
    <cellStyle name="Normal 2 3" xfId="8" xr:uid="{00000000-0005-0000-0000-0000B1000000}"/>
    <cellStyle name="Normal 20" xfId="44" xr:uid="{00000000-0005-0000-0000-0000B2000000}"/>
    <cellStyle name="Normal 20 2" xfId="126" xr:uid="{00000000-0005-0000-0000-0000B3000000}"/>
    <cellStyle name="Normal 20 2 2" xfId="287" xr:uid="{00000000-0005-0000-0000-0000B4000000}"/>
    <cellStyle name="Normal 20 3" xfId="205" xr:uid="{00000000-0005-0000-0000-0000B5000000}"/>
    <cellStyle name="Normal 20 4" xfId="426" xr:uid="{00000000-0005-0000-0000-0000B6000000}"/>
    <cellStyle name="Normal 21" xfId="45" xr:uid="{00000000-0005-0000-0000-0000B7000000}"/>
    <cellStyle name="Normal 21 2" xfId="206" xr:uid="{00000000-0005-0000-0000-0000B8000000}"/>
    <cellStyle name="Normal 22" xfId="46" xr:uid="{00000000-0005-0000-0000-0000B9000000}"/>
    <cellStyle name="Normal 22 2" xfId="207" xr:uid="{00000000-0005-0000-0000-0000BA000000}"/>
    <cellStyle name="Normal 23" xfId="47" xr:uid="{00000000-0005-0000-0000-0000BB000000}"/>
    <cellStyle name="Normal 23 2" xfId="208" xr:uid="{00000000-0005-0000-0000-0000BC000000}"/>
    <cellStyle name="Normal 24" xfId="49" xr:uid="{00000000-0005-0000-0000-0000BD000000}"/>
    <cellStyle name="Normal 24 2" xfId="210" xr:uid="{00000000-0005-0000-0000-0000BE000000}"/>
    <cellStyle name="Normal 25" xfId="52" xr:uid="{00000000-0005-0000-0000-0000BF000000}"/>
    <cellStyle name="Normal 25 2" xfId="213" xr:uid="{00000000-0005-0000-0000-0000C0000000}"/>
    <cellStyle name="Normal 26" xfId="54" xr:uid="{00000000-0005-0000-0000-0000C1000000}"/>
    <cellStyle name="Normal 26 2" xfId="215" xr:uid="{00000000-0005-0000-0000-0000C2000000}"/>
    <cellStyle name="Normal 27" xfId="56" xr:uid="{00000000-0005-0000-0000-0000C3000000}"/>
    <cellStyle name="Normal 27 2" xfId="217" xr:uid="{00000000-0005-0000-0000-0000C4000000}"/>
    <cellStyle name="Normal 28" xfId="58" xr:uid="{00000000-0005-0000-0000-0000C5000000}"/>
    <cellStyle name="Normal 28 2" xfId="219" xr:uid="{00000000-0005-0000-0000-0000C6000000}"/>
    <cellStyle name="Normal 29" xfId="60" xr:uid="{00000000-0005-0000-0000-0000C7000000}"/>
    <cellStyle name="Normal 29 2" xfId="221" xr:uid="{00000000-0005-0000-0000-0000C8000000}"/>
    <cellStyle name="Normal 3" xfId="6" xr:uid="{00000000-0005-0000-0000-0000C9000000}"/>
    <cellStyle name="Normal 3 2" xfId="11" xr:uid="{00000000-0005-0000-0000-0000CA000000}"/>
    <cellStyle name="Normal 3 3" xfId="15" xr:uid="{00000000-0005-0000-0000-0000CB000000}"/>
    <cellStyle name="Normal 3 3 2" xfId="25" xr:uid="{00000000-0005-0000-0000-0000CC000000}"/>
    <cellStyle name="Normal 3 3 2 2" xfId="187" xr:uid="{00000000-0005-0000-0000-0000CD000000}"/>
    <cellStyle name="Normal 3 3 3" xfId="177" xr:uid="{00000000-0005-0000-0000-0000CE000000}"/>
    <cellStyle name="Normal 3 4" xfId="20" xr:uid="{00000000-0005-0000-0000-0000CF000000}"/>
    <cellStyle name="Normal 3 4 2" xfId="182" xr:uid="{00000000-0005-0000-0000-0000D0000000}"/>
    <cellStyle name="Normal 3 5" xfId="172" xr:uid="{00000000-0005-0000-0000-0000D1000000}"/>
    <cellStyle name="Normal 30" xfId="62" xr:uid="{00000000-0005-0000-0000-0000D2000000}"/>
    <cellStyle name="Normal 30 2" xfId="223" xr:uid="{00000000-0005-0000-0000-0000D3000000}"/>
    <cellStyle name="Normal 31" xfId="64" xr:uid="{00000000-0005-0000-0000-0000D4000000}"/>
    <cellStyle name="Normal 31 2" xfId="225" xr:uid="{00000000-0005-0000-0000-0000D5000000}"/>
    <cellStyle name="Normal 32" xfId="66" xr:uid="{00000000-0005-0000-0000-0000D6000000}"/>
    <cellStyle name="Normal 32 2" xfId="227" xr:uid="{00000000-0005-0000-0000-0000D7000000}"/>
    <cellStyle name="Normal 33" xfId="71" xr:uid="{00000000-0005-0000-0000-0000D8000000}"/>
    <cellStyle name="Normal 33 2" xfId="232" xr:uid="{00000000-0005-0000-0000-0000D9000000}"/>
    <cellStyle name="Normal 34" xfId="73" xr:uid="{00000000-0005-0000-0000-0000DA000000}"/>
    <cellStyle name="Normal 34 2" xfId="234" xr:uid="{00000000-0005-0000-0000-0000DB000000}"/>
    <cellStyle name="Normal 35" xfId="75" xr:uid="{00000000-0005-0000-0000-0000DC000000}"/>
    <cellStyle name="Normal 35 2" xfId="236" xr:uid="{00000000-0005-0000-0000-0000DD000000}"/>
    <cellStyle name="Normal 36" xfId="77" xr:uid="{00000000-0005-0000-0000-0000DE000000}"/>
    <cellStyle name="Normal 36 2" xfId="238" xr:uid="{00000000-0005-0000-0000-0000DF000000}"/>
    <cellStyle name="Normal 37" xfId="79" xr:uid="{00000000-0005-0000-0000-0000E0000000}"/>
    <cellStyle name="Normal 37 2" xfId="240" xr:uid="{00000000-0005-0000-0000-0000E1000000}"/>
    <cellStyle name="Normal 38" xfId="81" xr:uid="{00000000-0005-0000-0000-0000E2000000}"/>
    <cellStyle name="Normal 38 2" xfId="242" xr:uid="{00000000-0005-0000-0000-0000E3000000}"/>
    <cellStyle name="Normal 39" xfId="83" xr:uid="{00000000-0005-0000-0000-0000E4000000}"/>
    <cellStyle name="Normal 39 2" xfId="244" xr:uid="{00000000-0005-0000-0000-0000E5000000}"/>
    <cellStyle name="Normal 4" xfId="7" xr:uid="{00000000-0005-0000-0000-0000E6000000}"/>
    <cellStyle name="Normal 4 2" xfId="16" xr:uid="{00000000-0005-0000-0000-0000E7000000}"/>
    <cellStyle name="Normal 4 2 2" xfId="26" xr:uid="{00000000-0005-0000-0000-0000E8000000}"/>
    <cellStyle name="Normal 4 2 2 2" xfId="188" xr:uid="{00000000-0005-0000-0000-0000E9000000}"/>
    <cellStyle name="Normal 4 2 3" xfId="178" xr:uid="{00000000-0005-0000-0000-0000EA000000}"/>
    <cellStyle name="Normal 4 3" xfId="21" xr:uid="{00000000-0005-0000-0000-0000EB000000}"/>
    <cellStyle name="Normal 4 3 2" xfId="183" xr:uid="{00000000-0005-0000-0000-0000EC000000}"/>
    <cellStyle name="Normal 4 4" xfId="173" xr:uid="{00000000-0005-0000-0000-0000ED000000}"/>
    <cellStyle name="Normal 40" xfId="85" xr:uid="{00000000-0005-0000-0000-0000EE000000}"/>
    <cellStyle name="Normal 40 2" xfId="246" xr:uid="{00000000-0005-0000-0000-0000EF000000}"/>
    <cellStyle name="Normal 41" xfId="87" xr:uid="{00000000-0005-0000-0000-0000F0000000}"/>
    <cellStyle name="Normal 41 2" xfId="248" xr:uid="{00000000-0005-0000-0000-0000F1000000}"/>
    <cellStyle name="Normal 42" xfId="89" xr:uid="{00000000-0005-0000-0000-0000F2000000}"/>
    <cellStyle name="Normal 42 2" xfId="250" xr:uid="{00000000-0005-0000-0000-0000F3000000}"/>
    <cellStyle name="Normal 43" xfId="91" xr:uid="{00000000-0005-0000-0000-0000F4000000}"/>
    <cellStyle name="Normal 43 2" xfId="252" xr:uid="{00000000-0005-0000-0000-0000F5000000}"/>
    <cellStyle name="Normal 44" xfId="93" xr:uid="{00000000-0005-0000-0000-0000F6000000}"/>
    <cellStyle name="Normal 44 2" xfId="254" xr:uid="{00000000-0005-0000-0000-0000F7000000}"/>
    <cellStyle name="Normal 45" xfId="95" xr:uid="{00000000-0005-0000-0000-0000F8000000}"/>
    <cellStyle name="Normal 45 2" xfId="256" xr:uid="{00000000-0005-0000-0000-0000F9000000}"/>
    <cellStyle name="Normal 46" xfId="48" xr:uid="{00000000-0005-0000-0000-0000FA000000}"/>
    <cellStyle name="Normal 46 10" xfId="67" xr:uid="{00000000-0005-0000-0000-0000FB000000}"/>
    <cellStyle name="Normal 46 10 2" xfId="228" xr:uid="{00000000-0005-0000-0000-0000FC000000}"/>
    <cellStyle name="Normal 46 11" xfId="72" xr:uid="{00000000-0005-0000-0000-0000FD000000}"/>
    <cellStyle name="Normal 46 11 2" xfId="233" xr:uid="{00000000-0005-0000-0000-0000FE000000}"/>
    <cellStyle name="Normal 46 12" xfId="74" xr:uid="{00000000-0005-0000-0000-0000FF000000}"/>
    <cellStyle name="Normal 46 12 2" xfId="235" xr:uid="{00000000-0005-0000-0000-000000010000}"/>
    <cellStyle name="Normal 46 13" xfId="76" xr:uid="{00000000-0005-0000-0000-000001010000}"/>
    <cellStyle name="Normal 46 13 2" xfId="237" xr:uid="{00000000-0005-0000-0000-000002010000}"/>
    <cellStyle name="Normal 46 14" xfId="78" xr:uid="{00000000-0005-0000-0000-000003010000}"/>
    <cellStyle name="Normal 46 14 2" xfId="239" xr:uid="{00000000-0005-0000-0000-000004010000}"/>
    <cellStyle name="Normal 46 15" xfId="80" xr:uid="{00000000-0005-0000-0000-000005010000}"/>
    <cellStyle name="Normal 46 15 2" xfId="241" xr:uid="{00000000-0005-0000-0000-000006010000}"/>
    <cellStyle name="Normal 46 16" xfId="82" xr:uid="{00000000-0005-0000-0000-000007010000}"/>
    <cellStyle name="Normal 46 16 2" xfId="243" xr:uid="{00000000-0005-0000-0000-000008010000}"/>
    <cellStyle name="Normal 46 17" xfId="84" xr:uid="{00000000-0005-0000-0000-000009010000}"/>
    <cellStyle name="Normal 46 17 2" xfId="245" xr:uid="{00000000-0005-0000-0000-00000A010000}"/>
    <cellStyle name="Normal 46 18" xfId="86" xr:uid="{00000000-0005-0000-0000-00000B010000}"/>
    <cellStyle name="Normal 46 18 2" xfId="247" xr:uid="{00000000-0005-0000-0000-00000C010000}"/>
    <cellStyle name="Normal 46 19" xfId="88" xr:uid="{00000000-0005-0000-0000-00000D010000}"/>
    <cellStyle name="Normal 46 19 2" xfId="249" xr:uid="{00000000-0005-0000-0000-00000E010000}"/>
    <cellStyle name="Normal 46 2" xfId="50" xr:uid="{00000000-0005-0000-0000-00000F010000}"/>
    <cellStyle name="Normal 46 2 2" xfId="211" xr:uid="{00000000-0005-0000-0000-000010010000}"/>
    <cellStyle name="Normal 46 20" xfId="90" xr:uid="{00000000-0005-0000-0000-000011010000}"/>
    <cellStyle name="Normal 46 20 2" xfId="251" xr:uid="{00000000-0005-0000-0000-000012010000}"/>
    <cellStyle name="Normal 46 21" xfId="92" xr:uid="{00000000-0005-0000-0000-000013010000}"/>
    <cellStyle name="Normal 46 21 2" xfId="253" xr:uid="{00000000-0005-0000-0000-000014010000}"/>
    <cellStyle name="Normal 46 22" xfId="94" xr:uid="{00000000-0005-0000-0000-000015010000}"/>
    <cellStyle name="Normal 46 22 2" xfId="255" xr:uid="{00000000-0005-0000-0000-000016010000}"/>
    <cellStyle name="Normal 46 23" xfId="96" xr:uid="{00000000-0005-0000-0000-000017010000}"/>
    <cellStyle name="Normal 46 23 2" xfId="257" xr:uid="{00000000-0005-0000-0000-000018010000}"/>
    <cellStyle name="Normal 46 24" xfId="98" xr:uid="{00000000-0005-0000-0000-000019010000}"/>
    <cellStyle name="Normal 46 24 2" xfId="259" xr:uid="{00000000-0005-0000-0000-00001A010000}"/>
    <cellStyle name="Normal 46 25" xfId="100" xr:uid="{00000000-0005-0000-0000-00001B010000}"/>
    <cellStyle name="Normal 46 25 2" xfId="261" xr:uid="{00000000-0005-0000-0000-00001C010000}"/>
    <cellStyle name="Normal 46 26" xfId="102" xr:uid="{00000000-0005-0000-0000-00001D010000}"/>
    <cellStyle name="Normal 46 26 2" xfId="263" xr:uid="{00000000-0005-0000-0000-00001E010000}"/>
    <cellStyle name="Normal 46 27" xfId="104" xr:uid="{00000000-0005-0000-0000-00001F010000}"/>
    <cellStyle name="Normal 46 27 2" xfId="265" xr:uid="{00000000-0005-0000-0000-000020010000}"/>
    <cellStyle name="Normal 46 28" xfId="106" xr:uid="{00000000-0005-0000-0000-000021010000}"/>
    <cellStyle name="Normal 46 28 2" xfId="267" xr:uid="{00000000-0005-0000-0000-000022010000}"/>
    <cellStyle name="Normal 46 29" xfId="110" xr:uid="{00000000-0005-0000-0000-000023010000}"/>
    <cellStyle name="Normal 46 29 2" xfId="271" xr:uid="{00000000-0005-0000-0000-000024010000}"/>
    <cellStyle name="Normal 46 3" xfId="53" xr:uid="{00000000-0005-0000-0000-000025010000}"/>
    <cellStyle name="Normal 46 3 2" xfId="214" xr:uid="{00000000-0005-0000-0000-000026010000}"/>
    <cellStyle name="Normal 46 30" xfId="112" xr:uid="{00000000-0005-0000-0000-000027010000}"/>
    <cellStyle name="Normal 46 30 2" xfId="273" xr:uid="{00000000-0005-0000-0000-000028010000}"/>
    <cellStyle name="Normal 46 31" xfId="116" xr:uid="{00000000-0005-0000-0000-000029010000}"/>
    <cellStyle name="Normal 46 31 2" xfId="277" xr:uid="{00000000-0005-0000-0000-00002A010000}"/>
    <cellStyle name="Normal 46 32" xfId="118" xr:uid="{00000000-0005-0000-0000-00002B010000}"/>
    <cellStyle name="Normal 46 32 2" xfId="279" xr:uid="{00000000-0005-0000-0000-00002C010000}"/>
    <cellStyle name="Normal 46 33" xfId="120" xr:uid="{00000000-0005-0000-0000-00002D010000}"/>
    <cellStyle name="Normal 46 33 2" xfId="281" xr:uid="{00000000-0005-0000-0000-00002E010000}"/>
    <cellStyle name="Normal 46 34" xfId="122" xr:uid="{00000000-0005-0000-0000-00002F010000}"/>
    <cellStyle name="Normal 46 34 2" xfId="283" xr:uid="{00000000-0005-0000-0000-000030010000}"/>
    <cellStyle name="Normal 46 35" xfId="128" xr:uid="{00000000-0005-0000-0000-000031010000}"/>
    <cellStyle name="Normal 46 35 2" xfId="289" xr:uid="{00000000-0005-0000-0000-000032010000}"/>
    <cellStyle name="Normal 46 35 2 2" xfId="370" xr:uid="{00000000-0005-0000-0000-000033010000}"/>
    <cellStyle name="Normal 46 35 2 2 2" xfId="425" xr:uid="{00000000-0005-0000-0000-000034010000}"/>
    <cellStyle name="Normal 46 35 2 3" xfId="382" xr:uid="{00000000-0005-0000-0000-000035010000}"/>
    <cellStyle name="Normal 46 35 2 4" xfId="464" xr:uid="{6BFB7402-2DDF-4CBA-A21C-FEB7D4E4B5BF}"/>
    <cellStyle name="Normal 46 36" xfId="130" xr:uid="{00000000-0005-0000-0000-000036010000}"/>
    <cellStyle name="Normal 46 36 2" xfId="291" xr:uid="{00000000-0005-0000-0000-000037010000}"/>
    <cellStyle name="Normal 46 37" xfId="132" xr:uid="{00000000-0005-0000-0000-000038010000}"/>
    <cellStyle name="Normal 46 37 2" xfId="293" xr:uid="{00000000-0005-0000-0000-000039010000}"/>
    <cellStyle name="Normal 46 38" xfId="136" xr:uid="{00000000-0005-0000-0000-00003A010000}"/>
    <cellStyle name="Normal 46 38 2" xfId="297" xr:uid="{00000000-0005-0000-0000-00003B010000}"/>
    <cellStyle name="Normal 46 39" xfId="138" xr:uid="{00000000-0005-0000-0000-00003C010000}"/>
    <cellStyle name="Normal 46 39 2" xfId="299" xr:uid="{00000000-0005-0000-0000-00003D010000}"/>
    <cellStyle name="Normal 46 4" xfId="55" xr:uid="{00000000-0005-0000-0000-00003E010000}"/>
    <cellStyle name="Normal 46 4 2" xfId="216" xr:uid="{00000000-0005-0000-0000-00003F010000}"/>
    <cellStyle name="Normal 46 40" xfId="140" xr:uid="{00000000-0005-0000-0000-000040010000}"/>
    <cellStyle name="Normal 46 40 2" xfId="301" xr:uid="{00000000-0005-0000-0000-000041010000}"/>
    <cellStyle name="Normal 46 41" xfId="142" xr:uid="{00000000-0005-0000-0000-000042010000}"/>
    <cellStyle name="Normal 46 41 2" xfId="303" xr:uid="{00000000-0005-0000-0000-000043010000}"/>
    <cellStyle name="Normal 46 42" xfId="150" xr:uid="{00000000-0005-0000-0000-000044010000}"/>
    <cellStyle name="Normal 46 43" xfId="152" xr:uid="{00000000-0005-0000-0000-000045010000}"/>
    <cellStyle name="Normal 46 44" xfId="154" xr:uid="{00000000-0005-0000-0000-000046010000}"/>
    <cellStyle name="Normal 46 45" xfId="156" xr:uid="{00000000-0005-0000-0000-000047010000}"/>
    <cellStyle name="Normal 46 46" xfId="158" xr:uid="{00000000-0005-0000-0000-000048010000}"/>
    <cellStyle name="Normal 46 47" xfId="160" xr:uid="{00000000-0005-0000-0000-000049010000}"/>
    <cellStyle name="Normal 46 48" xfId="168" xr:uid="{00000000-0005-0000-0000-00004A010000}"/>
    <cellStyle name="Normal 46 49" xfId="209" xr:uid="{00000000-0005-0000-0000-00004B010000}"/>
    <cellStyle name="Normal 46 5" xfId="57" xr:uid="{00000000-0005-0000-0000-00004C010000}"/>
    <cellStyle name="Normal 46 5 2" xfId="218" xr:uid="{00000000-0005-0000-0000-00004D010000}"/>
    <cellStyle name="Normal 46 50" xfId="314" xr:uid="{00000000-0005-0000-0000-00004E010000}"/>
    <cellStyle name="Normal 46 51" xfId="316" xr:uid="{00000000-0005-0000-0000-00004F010000}"/>
    <cellStyle name="Normal 46 52" xfId="318" xr:uid="{00000000-0005-0000-0000-000050010000}"/>
    <cellStyle name="Normal 46 53" xfId="325" xr:uid="{00000000-0005-0000-0000-000051010000}"/>
    <cellStyle name="Normal 46 54" xfId="327" xr:uid="{00000000-0005-0000-0000-000052010000}"/>
    <cellStyle name="Normal 46 55" xfId="329" xr:uid="{00000000-0005-0000-0000-000053010000}"/>
    <cellStyle name="Normal 46 56" xfId="331" xr:uid="{00000000-0005-0000-0000-000054010000}"/>
    <cellStyle name="Normal 46 57" xfId="333" xr:uid="{00000000-0005-0000-0000-000055010000}"/>
    <cellStyle name="Normal 46 58" xfId="335" xr:uid="{00000000-0005-0000-0000-000056010000}"/>
    <cellStyle name="Normal 46 59" xfId="337" xr:uid="{00000000-0005-0000-0000-000057010000}"/>
    <cellStyle name="Normal 46 6" xfId="59" xr:uid="{00000000-0005-0000-0000-000058010000}"/>
    <cellStyle name="Normal 46 6 2" xfId="220" xr:uid="{00000000-0005-0000-0000-000059010000}"/>
    <cellStyle name="Normal 46 60" xfId="339" xr:uid="{00000000-0005-0000-0000-00005A010000}"/>
    <cellStyle name="Normal 46 61" xfId="341" xr:uid="{00000000-0005-0000-0000-00005B010000}"/>
    <cellStyle name="Normal 46 62" xfId="345" xr:uid="{00000000-0005-0000-0000-00005C010000}"/>
    <cellStyle name="Normal 46 63" xfId="350" xr:uid="{00000000-0005-0000-0000-00005D010000}"/>
    <cellStyle name="Normal 46 64" xfId="352" xr:uid="{00000000-0005-0000-0000-00005E010000}"/>
    <cellStyle name="Normal 46 65" xfId="354" xr:uid="{00000000-0005-0000-0000-00005F010000}"/>
    <cellStyle name="Normal 46 66" xfId="356" xr:uid="{00000000-0005-0000-0000-000060010000}"/>
    <cellStyle name="Normal 46 7" xfId="61" xr:uid="{00000000-0005-0000-0000-000061010000}"/>
    <cellStyle name="Normal 46 7 2" xfId="222" xr:uid="{00000000-0005-0000-0000-000062010000}"/>
    <cellStyle name="Normal 46 8" xfId="63" xr:uid="{00000000-0005-0000-0000-000063010000}"/>
    <cellStyle name="Normal 46 8 2" xfId="224" xr:uid="{00000000-0005-0000-0000-000064010000}"/>
    <cellStyle name="Normal 46 9" xfId="65" xr:uid="{00000000-0005-0000-0000-000065010000}"/>
    <cellStyle name="Normal 46 9 2" xfId="226" xr:uid="{00000000-0005-0000-0000-000066010000}"/>
    <cellStyle name="Normal 47" xfId="97" xr:uid="{00000000-0005-0000-0000-000067010000}"/>
    <cellStyle name="Normal 47 2" xfId="258" xr:uid="{00000000-0005-0000-0000-000068010000}"/>
    <cellStyle name="Normal 48" xfId="99" xr:uid="{00000000-0005-0000-0000-000069010000}"/>
    <cellStyle name="Normal 48 2" xfId="260" xr:uid="{00000000-0005-0000-0000-00006A010000}"/>
    <cellStyle name="Normal 49" xfId="103" xr:uid="{00000000-0005-0000-0000-00006B010000}"/>
    <cellStyle name="Normal 49 2" xfId="264" xr:uid="{00000000-0005-0000-0000-00006C010000}"/>
    <cellStyle name="Normal 5" xfId="13" xr:uid="{00000000-0005-0000-0000-00006D010000}"/>
    <cellStyle name="Normal 50" xfId="105" xr:uid="{00000000-0005-0000-0000-00006E010000}"/>
    <cellStyle name="Normal 50 2" xfId="266" xr:uid="{00000000-0005-0000-0000-00006F010000}"/>
    <cellStyle name="Normal 51" xfId="109" xr:uid="{00000000-0005-0000-0000-000070010000}"/>
    <cellStyle name="Normal 51 2" xfId="270" xr:uid="{00000000-0005-0000-0000-000071010000}"/>
    <cellStyle name="Normal 52" xfId="111" xr:uid="{00000000-0005-0000-0000-000072010000}"/>
    <cellStyle name="Normal 52 2" xfId="272" xr:uid="{00000000-0005-0000-0000-000073010000}"/>
    <cellStyle name="Normal 53" xfId="115" xr:uid="{00000000-0005-0000-0000-000074010000}"/>
    <cellStyle name="Normal 53 2" xfId="276" xr:uid="{00000000-0005-0000-0000-000075010000}"/>
    <cellStyle name="Normal 54" xfId="117" xr:uid="{00000000-0005-0000-0000-000076010000}"/>
    <cellStyle name="Normal 54 2" xfId="278" xr:uid="{00000000-0005-0000-0000-000077010000}"/>
    <cellStyle name="Normal 55" xfId="119" xr:uid="{00000000-0005-0000-0000-000078010000}"/>
    <cellStyle name="Normal 55 2" xfId="280" xr:uid="{00000000-0005-0000-0000-000079010000}"/>
    <cellStyle name="Normal 56" xfId="121" xr:uid="{00000000-0005-0000-0000-00007A010000}"/>
    <cellStyle name="Normal 56 2" xfId="282" xr:uid="{00000000-0005-0000-0000-00007B010000}"/>
    <cellStyle name="Normal 57" xfId="127" xr:uid="{00000000-0005-0000-0000-00007C010000}"/>
    <cellStyle name="Normal 57 2" xfId="288" xr:uid="{00000000-0005-0000-0000-00007D010000}"/>
    <cellStyle name="Normal 58" xfId="129" xr:uid="{00000000-0005-0000-0000-00007E010000}"/>
    <cellStyle name="Normal 58 2" xfId="290" xr:uid="{00000000-0005-0000-0000-00007F010000}"/>
    <cellStyle name="Normal 59" xfId="125" xr:uid="{00000000-0005-0000-0000-000080010000}"/>
    <cellStyle name="Normal 59 2" xfId="286" xr:uid="{00000000-0005-0000-0000-000081010000}"/>
    <cellStyle name="Normal 6" xfId="14" xr:uid="{00000000-0005-0000-0000-000082010000}"/>
    <cellStyle name="Normal 6 2" xfId="19" xr:uid="{00000000-0005-0000-0000-000083010000}"/>
    <cellStyle name="Normal 6 2 2" xfId="29" xr:uid="{00000000-0005-0000-0000-000084010000}"/>
    <cellStyle name="Normal 6 2 2 2" xfId="191" xr:uid="{00000000-0005-0000-0000-000085010000}"/>
    <cellStyle name="Normal 6 2 3" xfId="181" xr:uid="{00000000-0005-0000-0000-000086010000}"/>
    <cellStyle name="Normal 6 3" xfId="24" xr:uid="{00000000-0005-0000-0000-000087010000}"/>
    <cellStyle name="Normal 6 3 2" xfId="186" xr:uid="{00000000-0005-0000-0000-000088010000}"/>
    <cellStyle name="Normal 6 4" xfId="176" xr:uid="{00000000-0005-0000-0000-000089010000}"/>
    <cellStyle name="Normal 60" xfId="131" xr:uid="{00000000-0005-0000-0000-00008A010000}"/>
    <cellStyle name="Normal 60 2" xfId="292" xr:uid="{00000000-0005-0000-0000-00008B010000}"/>
    <cellStyle name="Normal 61" xfId="133" xr:uid="{00000000-0005-0000-0000-00008C010000}"/>
    <cellStyle name="Normal 61 2" xfId="294" xr:uid="{00000000-0005-0000-0000-00008D010000}"/>
    <cellStyle name="Normal 62" xfId="134" xr:uid="{00000000-0005-0000-0000-00008E010000}"/>
    <cellStyle name="Normal 62 2" xfId="295" xr:uid="{00000000-0005-0000-0000-00008F010000}"/>
    <cellStyle name="Normal 63" xfId="135" xr:uid="{00000000-0005-0000-0000-000090010000}"/>
    <cellStyle name="Normal 63 2" xfId="296" xr:uid="{00000000-0005-0000-0000-000091010000}"/>
    <cellStyle name="Normal 64" xfId="137" xr:uid="{00000000-0005-0000-0000-000092010000}"/>
    <cellStyle name="Normal 64 2" xfId="298" xr:uid="{00000000-0005-0000-0000-000093010000}"/>
    <cellStyle name="Normal 65" xfId="139" xr:uid="{00000000-0005-0000-0000-000094010000}"/>
    <cellStyle name="Normal 65 2" xfId="300" xr:uid="{00000000-0005-0000-0000-000095010000}"/>
    <cellStyle name="Normal 66" xfId="141" xr:uid="{00000000-0005-0000-0000-000096010000}"/>
    <cellStyle name="Normal 66 2" xfId="302" xr:uid="{00000000-0005-0000-0000-000097010000}"/>
    <cellStyle name="Normal 67" xfId="143" xr:uid="{00000000-0005-0000-0000-000098010000}"/>
    <cellStyle name="Normal 67 2" xfId="304" xr:uid="{00000000-0005-0000-0000-000099010000}"/>
    <cellStyle name="Normal 68" xfId="144" xr:uid="{00000000-0005-0000-0000-00009A010000}"/>
    <cellStyle name="Normal 68 2" xfId="305" xr:uid="{00000000-0005-0000-0000-00009B010000}"/>
    <cellStyle name="Normal 69" xfId="145" xr:uid="{00000000-0005-0000-0000-00009C010000}"/>
    <cellStyle name="Normal 69 2" xfId="306" xr:uid="{00000000-0005-0000-0000-00009D010000}"/>
    <cellStyle name="Normal 7" xfId="30" xr:uid="{00000000-0005-0000-0000-00009E010000}"/>
    <cellStyle name="Normal 7 2" xfId="192" xr:uid="{00000000-0005-0000-0000-00009F010000}"/>
    <cellStyle name="Normal 70" xfId="146" xr:uid="{00000000-0005-0000-0000-0000A0010000}"/>
    <cellStyle name="Normal 70 2" xfId="307" xr:uid="{00000000-0005-0000-0000-0000A1010000}"/>
    <cellStyle name="Normal 71" xfId="147" xr:uid="{00000000-0005-0000-0000-0000A2010000}"/>
    <cellStyle name="Normal 71 2" xfId="308" xr:uid="{00000000-0005-0000-0000-0000A3010000}"/>
    <cellStyle name="Normal 72" xfId="148" xr:uid="{00000000-0005-0000-0000-0000A4010000}"/>
    <cellStyle name="Normal 72 2" xfId="309" xr:uid="{00000000-0005-0000-0000-0000A5010000}"/>
    <cellStyle name="Normal 73" xfId="149" xr:uid="{00000000-0005-0000-0000-0000A6010000}"/>
    <cellStyle name="Normal 74" xfId="151" xr:uid="{00000000-0005-0000-0000-0000A7010000}"/>
    <cellStyle name="Normal 75" xfId="153" xr:uid="{00000000-0005-0000-0000-0000A8010000}"/>
    <cellStyle name="Normal 76" xfId="155" xr:uid="{00000000-0005-0000-0000-0000A9010000}"/>
    <cellStyle name="Normal 77" xfId="157" xr:uid="{00000000-0005-0000-0000-0000AA010000}"/>
    <cellStyle name="Normal 78" xfId="159" xr:uid="{00000000-0005-0000-0000-0000AB010000}"/>
    <cellStyle name="Normal 79" xfId="161" xr:uid="{00000000-0005-0000-0000-0000AC010000}"/>
    <cellStyle name="Normal 8" xfId="31" xr:uid="{00000000-0005-0000-0000-0000AD010000}"/>
    <cellStyle name="Normal 8 2" xfId="193" xr:uid="{00000000-0005-0000-0000-0000AE010000}"/>
    <cellStyle name="Normal 80" xfId="164" xr:uid="{00000000-0005-0000-0000-0000AF010000}"/>
    <cellStyle name="Normal 81" xfId="167" xr:uid="{00000000-0005-0000-0000-0000B0010000}"/>
    <cellStyle name="Normal 82" xfId="169" xr:uid="{00000000-0005-0000-0000-0000B1010000}"/>
    <cellStyle name="Normal 83" xfId="310" xr:uid="{00000000-0005-0000-0000-0000B2010000}"/>
    <cellStyle name="Normal 84" xfId="313" xr:uid="{00000000-0005-0000-0000-0000B3010000}"/>
    <cellStyle name="Normal 85" xfId="315" xr:uid="{00000000-0005-0000-0000-0000B4010000}"/>
    <cellStyle name="Normal 86" xfId="317" xr:uid="{00000000-0005-0000-0000-0000B5010000}"/>
    <cellStyle name="Normal 87" xfId="321" xr:uid="{00000000-0005-0000-0000-0000B6010000}"/>
    <cellStyle name="Normal 88" xfId="324" xr:uid="{00000000-0005-0000-0000-0000B7010000}"/>
    <cellStyle name="Normal 89" xfId="326" xr:uid="{00000000-0005-0000-0000-0000B8010000}"/>
    <cellStyle name="Normal 9" xfId="9" xr:uid="{00000000-0005-0000-0000-0000B9010000}"/>
    <cellStyle name="Normal 9 2" xfId="17" xr:uid="{00000000-0005-0000-0000-0000BA010000}"/>
    <cellStyle name="Normal 9 2 2" xfId="27" xr:uid="{00000000-0005-0000-0000-0000BB010000}"/>
    <cellStyle name="Normal 9 2 2 2" xfId="189" xr:uid="{00000000-0005-0000-0000-0000BC010000}"/>
    <cellStyle name="Normal 9 2 3" xfId="179" xr:uid="{00000000-0005-0000-0000-0000BD010000}"/>
    <cellStyle name="Normal 9 3" xfId="22" xr:uid="{00000000-0005-0000-0000-0000BE010000}"/>
    <cellStyle name="Normal 9 3 2" xfId="184" xr:uid="{00000000-0005-0000-0000-0000BF010000}"/>
    <cellStyle name="Normal 9 4" xfId="174" xr:uid="{00000000-0005-0000-0000-0000C0010000}"/>
    <cellStyle name="Normal 90" xfId="328" xr:uid="{00000000-0005-0000-0000-0000C1010000}"/>
    <cellStyle name="Normal 91" xfId="330" xr:uid="{00000000-0005-0000-0000-0000C2010000}"/>
    <cellStyle name="Normal 92" xfId="332" xr:uid="{00000000-0005-0000-0000-0000C3010000}"/>
    <cellStyle name="Normal 93" xfId="334" xr:uid="{00000000-0005-0000-0000-0000C4010000}"/>
    <cellStyle name="Normal 94" xfId="336" xr:uid="{00000000-0005-0000-0000-0000C5010000}"/>
    <cellStyle name="Normal 95" xfId="338" xr:uid="{00000000-0005-0000-0000-0000C6010000}"/>
    <cellStyle name="Normal 96" xfId="340" xr:uid="{00000000-0005-0000-0000-0000C7010000}"/>
    <cellStyle name="Normal 97" xfId="344" xr:uid="{00000000-0005-0000-0000-0000C8010000}"/>
    <cellStyle name="Normal 98" xfId="346" xr:uid="{00000000-0005-0000-0000-0000C9010000}"/>
    <cellStyle name="Normal 99" xfId="349" xr:uid="{00000000-0005-0000-0000-0000CA010000}"/>
    <cellStyle name="Normal 99 2" xfId="424" xr:uid="{00000000-0005-0000-0000-0000CB010000}"/>
    <cellStyle name="一般 2" xfId="2" xr:uid="{00000000-0005-0000-0000-0000CC010000}"/>
    <cellStyle name="常规 2" xfId="3" xr:uid="{00000000-0005-0000-0000-0000CD010000}"/>
    <cellStyle name="常规 3" xfId="1" xr:uid="{00000000-0005-0000-0000-0000CE010000}"/>
    <cellStyle name="常规 3 2" xfId="5" xr:uid="{00000000-0005-0000-0000-0000CF010000}"/>
  </cellStyles>
  <dxfs count="4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b/>
        <i val="0"/>
        <strike/>
        <color rgb="FFFF0000"/>
      </font>
    </dxf>
  </dxfs>
  <tableStyles count="0" defaultTableStyle="TableStyleMedium2" defaultPivotStyle="PivotStyleLight16"/>
  <colors>
    <mruColors>
      <color rgb="FFF6B032"/>
      <color rgb="FFE40CBB"/>
      <color rgb="FFF79F57"/>
      <color rgb="FFFA6EF0"/>
      <color rgb="FFFF66FF"/>
      <color rgb="FFFF99FF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ss.internal.pg.com/ExcelTemplates/CSS_Performance_Specification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3.1.8\data_qc\Users\Nilesh\AppData\Local\Microsoft\Windows\Temporary%20Internet%20Files\Content.MSO\1.Report%20Item%20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3.1.8\data_qc\P&amp;G\KE%2312%20LABORATORY%20CONTROL\Data%20Analysis\Report,%20Contol%20&amp;%20Summary%20Item%20Analysis\2019\11.Report%20Item%20Analysis-Novemb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.MQC%20SPI%20-Aug%202019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3.1.8\data_qc\Users\SPI-QC\AppData\Local\Microsoft\Windows\Temporary%20Internet%20Files\Content.MSO\2.Report%20Item%20Analysis-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 Edit Window"/>
      <sheetName val="Config"/>
      <sheetName val="MenuConfig"/>
      <sheetName val="TS Edit Window-template"/>
    </sheetNames>
    <sheetDataSet>
      <sheetData sheetId="0"/>
      <sheetData sheetId="1">
        <row r="2">
          <cell r="G2" t="str">
            <v>% Strength</v>
          </cell>
        </row>
        <row r="3">
          <cell r="G3" t="str">
            <v>% Volume per volume</v>
          </cell>
        </row>
        <row r="4">
          <cell r="G4" t="str">
            <v>Absorbance reflectance</v>
          </cell>
        </row>
        <row r="5">
          <cell r="G5" t="str">
            <v>Absorbance unit/gram/liter</v>
          </cell>
        </row>
        <row r="6">
          <cell r="G6" t="str">
            <v>Absorbance units</v>
          </cell>
        </row>
        <row r="7">
          <cell r="G7" t="str">
            <v>Activity Unit</v>
          </cell>
        </row>
        <row r="8">
          <cell r="G8" t="str">
            <v>Actual/Physical Case</v>
          </cell>
        </row>
        <row r="9">
          <cell r="G9" t="str">
            <v>Alkaline Protease Units</v>
          </cell>
        </row>
        <row r="10">
          <cell r="G10" t="str">
            <v>Ampere</v>
          </cell>
        </row>
        <row r="11">
          <cell r="G11" t="str">
            <v>Amylase Units</v>
          </cell>
        </row>
        <row r="12">
          <cell r="G12" t="str">
            <v>Angstrom</v>
          </cell>
        </row>
        <row r="13">
          <cell r="G13" t="str">
            <v>Anson Units</v>
          </cell>
        </row>
        <row r="14">
          <cell r="G14" t="str">
            <v>APHA</v>
          </cell>
        </row>
        <row r="15">
          <cell r="G15" t="str">
            <v>Area %</v>
          </cell>
        </row>
        <row r="16">
          <cell r="G16" t="str">
            <v>BAR (pressure)</v>
          </cell>
        </row>
        <row r="17">
          <cell r="G17" t="str">
            <v>Baume</v>
          </cell>
        </row>
        <row r="18">
          <cell r="G18" t="str">
            <v>BraBender Units</v>
          </cell>
        </row>
        <row r="19">
          <cell r="G19" t="str">
            <v>Brabender Units</v>
          </cell>
        </row>
        <row r="20">
          <cell r="G20" t="str">
            <v>Brightness units</v>
          </cell>
        </row>
        <row r="21">
          <cell r="G21" t="str">
            <v>Brookfield Units</v>
          </cell>
        </row>
        <row r="22">
          <cell r="G22" t="str">
            <v>Bundle Pack</v>
          </cell>
        </row>
        <row r="23">
          <cell r="G23" t="str">
            <v>Calorie</v>
          </cell>
        </row>
        <row r="24">
          <cell r="G24" t="str">
            <v>Candela</v>
          </cell>
        </row>
        <row r="25">
          <cell r="G25" t="str">
            <v>Candelas per square meter</v>
          </cell>
        </row>
        <row r="26">
          <cell r="G26" t="str">
            <v>Carezyme equiv viscosity unit</v>
          </cell>
        </row>
        <row r="27">
          <cell r="G27" t="str">
            <v>Celsius per hour</v>
          </cell>
        </row>
        <row r="28">
          <cell r="G28" t="str">
            <v>Centigram per gram</v>
          </cell>
        </row>
        <row r="29">
          <cell r="G29" t="str">
            <v>Centimeter</v>
          </cell>
        </row>
        <row r="30">
          <cell r="G30" t="str">
            <v>centiNewton</v>
          </cell>
        </row>
        <row r="31">
          <cell r="G31" t="str">
            <v>centiNewton per 25.4 millimtrs</v>
          </cell>
        </row>
        <row r="32">
          <cell r="G32" t="str">
            <v>Centinewton per centimeter</v>
          </cell>
        </row>
        <row r="33">
          <cell r="G33" t="str">
            <v>Centinewton per tex</v>
          </cell>
        </row>
        <row r="34">
          <cell r="G34" t="str">
            <v>centiNewton/decitex</v>
          </cell>
        </row>
        <row r="35">
          <cell r="G35" t="str">
            <v>Centipoise</v>
          </cell>
        </row>
        <row r="36">
          <cell r="G36" t="str">
            <v>Centistokes</v>
          </cell>
        </row>
        <row r="37">
          <cell r="G37" t="str">
            <v>cm3 per 100 in2 per day</v>
          </cell>
        </row>
        <row r="38">
          <cell r="G38" t="str">
            <v>cm3 per square meter per day</v>
          </cell>
        </row>
        <row r="39">
          <cell r="G39" t="str">
            <v>Colony Forming Unit per 100 ml</v>
          </cell>
        </row>
        <row r="40">
          <cell r="G40" t="str">
            <v>Colony Forming Units</v>
          </cell>
        </row>
        <row r="41">
          <cell r="G41" t="str">
            <v>Colony Forming Units per gram</v>
          </cell>
        </row>
        <row r="42">
          <cell r="G42" t="str">
            <v>Colony Forming Units per ml</v>
          </cell>
        </row>
        <row r="43">
          <cell r="G43" t="str">
            <v>Color units - A</v>
          </cell>
        </row>
        <row r="44">
          <cell r="G44" t="str">
            <v>Color units - B</v>
          </cell>
        </row>
        <row r="45">
          <cell r="G45" t="str">
            <v>Color units - C</v>
          </cell>
        </row>
        <row r="46">
          <cell r="G46" t="str">
            <v>Color units - D</v>
          </cell>
        </row>
        <row r="47">
          <cell r="G47" t="str">
            <v>Color Units - Delta A</v>
          </cell>
        </row>
        <row r="48">
          <cell r="G48" t="str">
            <v>Color Units - Delta B</v>
          </cell>
        </row>
        <row r="49">
          <cell r="G49" t="str">
            <v>Color units - Delta E</v>
          </cell>
        </row>
        <row r="50">
          <cell r="G50" t="str">
            <v>Color units - Delta H</v>
          </cell>
        </row>
        <row r="51">
          <cell r="G51" t="str">
            <v>Color Units - Delta L</v>
          </cell>
        </row>
        <row r="52">
          <cell r="G52" t="str">
            <v>Color units - Gardner</v>
          </cell>
        </row>
        <row r="53">
          <cell r="G53" t="str">
            <v>Color units - H</v>
          </cell>
        </row>
        <row r="54">
          <cell r="G54" t="str">
            <v>Color units - Hunter</v>
          </cell>
        </row>
        <row r="55">
          <cell r="G55" t="str">
            <v>Color units - L</v>
          </cell>
        </row>
        <row r="56">
          <cell r="G56" t="str">
            <v>Color units - Lovibond-B</v>
          </cell>
        </row>
        <row r="57">
          <cell r="G57" t="str">
            <v>Color units - Lovibond-N</v>
          </cell>
        </row>
        <row r="58">
          <cell r="G58" t="str">
            <v>Color units - Lovibond-R</v>
          </cell>
        </row>
        <row r="59">
          <cell r="G59" t="str">
            <v>Color units - Lovibond-Y</v>
          </cell>
        </row>
        <row r="60">
          <cell r="G60" t="str">
            <v>crimps/cm</v>
          </cell>
        </row>
        <row r="61">
          <cell r="G61" t="str">
            <v>crimps/inch</v>
          </cell>
        </row>
        <row r="62">
          <cell r="G62" t="str">
            <v>Cubic Centimeter</v>
          </cell>
        </row>
        <row r="63">
          <cell r="G63" t="str">
            <v>Cubic centimeter per 10 min</v>
          </cell>
        </row>
        <row r="64">
          <cell r="G64" t="str">
            <v>cubic centimeter seconds/gram</v>
          </cell>
        </row>
        <row r="65">
          <cell r="G65" t="str">
            <v>Cubic cm/100 in2/day</v>
          </cell>
        </row>
        <row r="66">
          <cell r="G66" t="str">
            <v>Cubic Decimeter</v>
          </cell>
        </row>
        <row r="67">
          <cell r="G67" t="str">
            <v>cubic feet/minute/square foot</v>
          </cell>
        </row>
        <row r="68">
          <cell r="G68" t="str">
            <v>Cubic Foot</v>
          </cell>
        </row>
        <row r="69">
          <cell r="G69" t="str">
            <v>Cubic foot per minute</v>
          </cell>
        </row>
        <row r="70">
          <cell r="G70" t="str">
            <v>Cubic Inch</v>
          </cell>
        </row>
        <row r="71">
          <cell r="G71" t="str">
            <v>Cubic Meter</v>
          </cell>
        </row>
        <row r="72">
          <cell r="G72" t="str">
            <v>Cubic meter / sq meter / min</v>
          </cell>
        </row>
        <row r="73">
          <cell r="G73" t="str">
            <v>Cubic meter/square meter/sec</v>
          </cell>
        </row>
        <row r="74">
          <cell r="G74" t="str">
            <v>Cubic millimeter/g</v>
          </cell>
        </row>
        <row r="75">
          <cell r="G75" t="str">
            <v>Cycles</v>
          </cell>
        </row>
        <row r="76">
          <cell r="G76" t="str">
            <v>Cycles per second</v>
          </cell>
        </row>
        <row r="77">
          <cell r="G77" t="str">
            <v>DAP Softness grade</v>
          </cell>
        </row>
        <row r="78">
          <cell r="G78" t="str">
            <v>Day</v>
          </cell>
        </row>
        <row r="79">
          <cell r="G79" t="str">
            <v>decibel</v>
          </cell>
        </row>
        <row r="80">
          <cell r="G80" t="str">
            <v>Deciliter per gram</v>
          </cell>
        </row>
        <row r="81">
          <cell r="G81" t="str">
            <v>Decimillimeter</v>
          </cell>
        </row>
        <row r="82">
          <cell r="G82" t="str">
            <v>Decitex</v>
          </cell>
        </row>
        <row r="83">
          <cell r="G83" t="str">
            <v>Degree (Angle)</v>
          </cell>
        </row>
        <row r="84">
          <cell r="G84" t="str">
            <v>Degree Celsius</v>
          </cell>
        </row>
        <row r="85">
          <cell r="G85" t="str">
            <v>Degree Fahrenheit</v>
          </cell>
        </row>
        <row r="86">
          <cell r="G86" t="str">
            <v>Degree Schopper-Riegler</v>
          </cell>
        </row>
        <row r="87">
          <cell r="G87" t="str">
            <v>Denier</v>
          </cell>
        </row>
        <row r="88">
          <cell r="G88" t="str">
            <v>Dyne</v>
          </cell>
        </row>
        <row r="89">
          <cell r="G89" t="str">
            <v>Dyne / sq centimeter</v>
          </cell>
        </row>
        <row r="90">
          <cell r="G90" t="str">
            <v>dynes/cm</v>
          </cell>
        </row>
        <row r="91">
          <cell r="G91" t="str">
            <v>Dynes/cm</v>
          </cell>
        </row>
        <row r="92">
          <cell r="G92" t="str">
            <v>Each</v>
          </cell>
        </row>
        <row r="93">
          <cell r="G93" t="str">
            <v>Endotoxin Units per mg</v>
          </cell>
        </row>
        <row r="94">
          <cell r="G94" t="str">
            <v>Equivalents per gram</v>
          </cell>
        </row>
        <row r="95">
          <cell r="G95" t="str">
            <v>Equivalents per liter</v>
          </cell>
        </row>
        <row r="96">
          <cell r="G96" t="str">
            <v>Feet per minute</v>
          </cell>
        </row>
        <row r="97">
          <cell r="G97" t="str">
            <v>Fisher sub sieve microns</v>
          </cell>
        </row>
        <row r="98">
          <cell r="G98" t="str">
            <v>Fluid Ounce UK</v>
          </cell>
        </row>
        <row r="99">
          <cell r="G99" t="str">
            <v>Fluid Ounce US</v>
          </cell>
        </row>
        <row r="100">
          <cell r="G100" t="str">
            <v>Fluting</v>
          </cell>
        </row>
        <row r="101">
          <cell r="G101" t="str">
            <v>Foot/Feet</v>
          </cell>
        </row>
        <row r="102">
          <cell r="G102" t="str">
            <v>Foot/Feet per minute</v>
          </cell>
        </row>
        <row r="103">
          <cell r="G103" t="str">
            <v>Foot-pound/inch</v>
          </cell>
        </row>
        <row r="104">
          <cell r="G104" t="str">
            <v>Gallons per minute</v>
          </cell>
        </row>
        <row r="105">
          <cell r="G105" t="str">
            <v>Gauge</v>
          </cell>
        </row>
        <row r="106">
          <cell r="G106" t="str">
            <v>Gauge-Length</v>
          </cell>
        </row>
        <row r="107">
          <cell r="G107" t="str">
            <v>gigapascal</v>
          </cell>
        </row>
        <row r="108">
          <cell r="G108" t="str">
            <v>Gloss unit</v>
          </cell>
        </row>
        <row r="109">
          <cell r="G109" t="str">
            <v>Gram</v>
          </cell>
        </row>
        <row r="110">
          <cell r="G110" t="str">
            <v>gram / Component</v>
          </cell>
        </row>
        <row r="111">
          <cell r="G111" t="str">
            <v>gram / gram / second</v>
          </cell>
        </row>
        <row r="112">
          <cell r="G112" t="str">
            <v>gram / sq centimeter</v>
          </cell>
        </row>
        <row r="113">
          <cell r="G113" t="str">
            <v>Gram force</v>
          </cell>
        </row>
        <row r="114">
          <cell r="G114" t="str">
            <v>Gram Force</v>
          </cell>
        </row>
        <row r="115">
          <cell r="G115" t="str">
            <v>Gram Force per Inch</v>
          </cell>
        </row>
        <row r="116">
          <cell r="G116" t="str">
            <v>Gram per 10 minutes</v>
          </cell>
        </row>
        <row r="117">
          <cell r="G117" t="str">
            <v>gram per 100 mL</v>
          </cell>
        </row>
        <row r="118">
          <cell r="G118" t="str">
            <v>Gram per 25 micron</v>
          </cell>
        </row>
        <row r="119">
          <cell r="G119" t="str">
            <v>gram per 25 millimeter</v>
          </cell>
        </row>
        <row r="120">
          <cell r="G120" t="str">
            <v>Gram per Gram</v>
          </cell>
        </row>
        <row r="121">
          <cell r="G121" t="str">
            <v>Gram/centimeter</v>
          </cell>
        </row>
        <row r="122">
          <cell r="G122" t="str">
            <v>gram/meter</v>
          </cell>
        </row>
        <row r="123">
          <cell r="G123" t="str">
            <v>Gram/Mol</v>
          </cell>
        </row>
        <row r="124">
          <cell r="G124" t="str">
            <v>Grams of active ingredient</v>
          </cell>
        </row>
        <row r="125">
          <cell r="G125" t="str">
            <v>grams per 10 kilometer</v>
          </cell>
        </row>
        <row r="126">
          <cell r="G126" t="str">
            <v>Grams per 10 seconds</v>
          </cell>
        </row>
        <row r="127">
          <cell r="G127" t="str">
            <v>Grams per 10 strokes</v>
          </cell>
        </row>
        <row r="128">
          <cell r="G128" t="str">
            <v>Grams per 100 grams</v>
          </cell>
        </row>
        <row r="129">
          <cell r="G129" t="str">
            <v>Grams per 100 in2 per day</v>
          </cell>
        </row>
        <row r="130">
          <cell r="G130" t="str">
            <v>Grams per 100 sq in per 24 hrs</v>
          </cell>
        </row>
        <row r="131">
          <cell r="G131" t="str">
            <v>Grams per 10000 meter</v>
          </cell>
        </row>
        <row r="132">
          <cell r="G132" t="str">
            <v>Grams per 30 millimeters</v>
          </cell>
        </row>
        <row r="133">
          <cell r="G133" t="str">
            <v>Grams per 9000 meters</v>
          </cell>
        </row>
        <row r="134">
          <cell r="G134" t="str">
            <v>Grams per Carton</v>
          </cell>
        </row>
        <row r="135">
          <cell r="G135" t="str">
            <v>Grams per cubic centimeter</v>
          </cell>
        </row>
        <row r="136">
          <cell r="G136" t="str">
            <v>Grams per cubic decimeter</v>
          </cell>
        </row>
        <row r="137">
          <cell r="G137" t="str">
            <v>Grams per Cubic Inch</v>
          </cell>
        </row>
        <row r="138">
          <cell r="G138" t="str">
            <v>Grams per dose</v>
          </cell>
        </row>
        <row r="139">
          <cell r="G139" t="str">
            <v>Grams per Equivalent</v>
          </cell>
        </row>
        <row r="140">
          <cell r="G140" t="str">
            <v>Grams per hour</v>
          </cell>
        </row>
        <row r="141">
          <cell r="G141" t="str">
            <v>Grams per inch</v>
          </cell>
        </row>
        <row r="142">
          <cell r="G142" t="str">
            <v>Grams per inch of width</v>
          </cell>
        </row>
        <row r="143">
          <cell r="G143" t="str">
            <v>Grams per Kilometer</v>
          </cell>
        </row>
        <row r="144">
          <cell r="G144" t="str">
            <v>Grams per liter</v>
          </cell>
        </row>
        <row r="145">
          <cell r="G145" t="str">
            <v>Grams per micron</v>
          </cell>
        </row>
        <row r="146">
          <cell r="G146" t="str">
            <v>Grams per Micron</v>
          </cell>
        </row>
        <row r="147">
          <cell r="G147" t="str">
            <v>Grams per milliliter</v>
          </cell>
        </row>
        <row r="148">
          <cell r="G148" t="str">
            <v>Grams per package per day</v>
          </cell>
        </row>
        <row r="149">
          <cell r="G149" t="str">
            <v>Grams per pad</v>
          </cell>
        </row>
        <row r="150">
          <cell r="G150" t="str">
            <v>Grams per ply</v>
          </cell>
        </row>
        <row r="151">
          <cell r="G151" t="str">
            <v>Grams per roll</v>
          </cell>
        </row>
        <row r="152">
          <cell r="G152" t="str">
            <v>Grams per second</v>
          </cell>
        </row>
        <row r="153">
          <cell r="G153" t="str">
            <v>Grams per sheet</v>
          </cell>
        </row>
        <row r="154">
          <cell r="G154" t="str">
            <v>Grams per sq meter per 24 hrs</v>
          </cell>
        </row>
        <row r="155">
          <cell r="G155" t="str">
            <v>Grams per square inch</v>
          </cell>
        </row>
        <row r="156">
          <cell r="G156" t="str">
            <v>Grams per square meter</v>
          </cell>
        </row>
        <row r="157">
          <cell r="G157" t="str">
            <v>Grams per square meter per day</v>
          </cell>
        </row>
        <row r="158">
          <cell r="G158" t="str">
            <v>grams per stack</v>
          </cell>
        </row>
        <row r="159">
          <cell r="G159" t="str">
            <v>Grams/100 pellets</v>
          </cell>
        </row>
        <row r="160">
          <cell r="G160" t="str">
            <v>grams/hectoltr of pure alcohol</v>
          </cell>
        </row>
        <row r="161">
          <cell r="G161" t="str">
            <v>Grams/lane/feet</v>
          </cell>
        </row>
        <row r="162">
          <cell r="G162" t="str">
            <v>Hertz</v>
          </cell>
        </row>
        <row r="163">
          <cell r="G163" t="str">
            <v>Hour</v>
          </cell>
        </row>
        <row r="164">
          <cell r="G164" t="str">
            <v>HR30T</v>
          </cell>
        </row>
        <row r="165">
          <cell r="G165" t="str">
            <v>Inch</v>
          </cell>
        </row>
        <row r="166">
          <cell r="G166" t="str">
            <v>Inch per Foot (warp)</v>
          </cell>
        </row>
        <row r="167">
          <cell r="G167" t="str">
            <v>Inches of Mercury</v>
          </cell>
        </row>
        <row r="168">
          <cell r="G168" t="str">
            <v>Inch-pound</v>
          </cell>
        </row>
        <row r="169">
          <cell r="G169" t="str">
            <v>International Unit/gram</v>
          </cell>
        </row>
        <row r="170">
          <cell r="G170" t="str">
            <v>International Units</v>
          </cell>
        </row>
        <row r="171">
          <cell r="G171" t="str">
            <v>International Units per KG</v>
          </cell>
        </row>
        <row r="172">
          <cell r="G172" t="str">
            <v>International Units per sachet</v>
          </cell>
        </row>
        <row r="173">
          <cell r="G173" t="str">
            <v>International Units per tablet</v>
          </cell>
        </row>
        <row r="174">
          <cell r="G174" t="str">
            <v>Item</v>
          </cell>
        </row>
        <row r="175">
          <cell r="G175" t="str">
            <v>Item per minute</v>
          </cell>
        </row>
        <row r="176">
          <cell r="G176" t="str">
            <v>Joule</v>
          </cell>
        </row>
        <row r="177">
          <cell r="G177" t="str">
            <v>Joules per gram</v>
          </cell>
        </row>
        <row r="178">
          <cell r="G178" t="str">
            <v>Joules/meter</v>
          </cell>
        </row>
        <row r="179">
          <cell r="G179" t="str">
            <v>Kelvin</v>
          </cell>
        </row>
        <row r="180">
          <cell r="G180" t="str">
            <v>Kilo International Unit</v>
          </cell>
        </row>
        <row r="181">
          <cell r="G181" t="str">
            <v>Kilo International Unit per KG</v>
          </cell>
        </row>
        <row r="182">
          <cell r="G182" t="str">
            <v>Kilogram</v>
          </cell>
        </row>
        <row r="183">
          <cell r="G183" t="str">
            <v>Kilogram / Liter</v>
          </cell>
        </row>
        <row r="184">
          <cell r="G184" t="str">
            <v>KiloGram Force</v>
          </cell>
        </row>
        <row r="185">
          <cell r="G185" t="str">
            <v>Kilogram Force Centimeter</v>
          </cell>
        </row>
        <row r="186">
          <cell r="G186" t="str">
            <v>Kilogram force per centimeter</v>
          </cell>
        </row>
        <row r="187">
          <cell r="G187" t="str">
            <v>Kilogram Force per Inch</v>
          </cell>
        </row>
        <row r="188">
          <cell r="G188" t="str">
            <v>Kilogram per 1000</v>
          </cell>
        </row>
        <row r="189">
          <cell r="G189" t="str">
            <v>Kilogram per 10000</v>
          </cell>
        </row>
        <row r="190">
          <cell r="G190" t="str">
            <v>Kilogram per centimeter</v>
          </cell>
        </row>
        <row r="191">
          <cell r="G191" t="str">
            <v>Kilogram per hour</v>
          </cell>
        </row>
        <row r="192">
          <cell r="G192" t="str">
            <v>Kilogram per millimeter</v>
          </cell>
        </row>
        <row r="193">
          <cell r="G193" t="str">
            <v>Kilogram per minute</v>
          </cell>
        </row>
        <row r="194">
          <cell r="G194" t="str">
            <v>Kilogram per square centimeter</v>
          </cell>
        </row>
        <row r="195">
          <cell r="G195" t="str">
            <v>Kilogram second per square met</v>
          </cell>
        </row>
        <row r="196">
          <cell r="G196" t="str">
            <v>Kilogram/cubic meter</v>
          </cell>
        </row>
        <row r="197">
          <cell r="G197" t="str">
            <v>Kilogram/sq meter</v>
          </cell>
        </row>
        <row r="198">
          <cell r="G198" t="str">
            <v>Kilograms of active ingredient</v>
          </cell>
        </row>
        <row r="199">
          <cell r="G199" t="str">
            <v>Kilograms per metric ton</v>
          </cell>
        </row>
        <row r="200">
          <cell r="G200" t="str">
            <v>Kilograms per Ton</v>
          </cell>
        </row>
        <row r="201">
          <cell r="G201" t="str">
            <v>Kilograms/feet</v>
          </cell>
        </row>
        <row r="202">
          <cell r="G202" t="str">
            <v>kiloGray</v>
          </cell>
        </row>
        <row r="203">
          <cell r="G203" t="str">
            <v>Kilojoule / square meter</v>
          </cell>
        </row>
        <row r="204">
          <cell r="G204" t="str">
            <v>Kilometer</v>
          </cell>
        </row>
        <row r="205">
          <cell r="G205" t="str">
            <v>Kilonewton</v>
          </cell>
        </row>
        <row r="206">
          <cell r="G206" t="str">
            <v>KiloNewton / meter</v>
          </cell>
        </row>
        <row r="207">
          <cell r="G207" t="str">
            <v>Kilo-ohms</v>
          </cell>
        </row>
        <row r="208">
          <cell r="G208" t="str">
            <v>Kilopascal</v>
          </cell>
        </row>
        <row r="209">
          <cell r="G209" t="str">
            <v>Kilopascal sq meter/gram</v>
          </cell>
        </row>
        <row r="210">
          <cell r="G210" t="str">
            <v>Kilopond</v>
          </cell>
        </row>
        <row r="211">
          <cell r="G211" t="str">
            <v>Kilovolt</v>
          </cell>
        </row>
        <row r="212">
          <cell r="G212" t="str">
            <v>Kilovolts per meter</v>
          </cell>
        </row>
        <row r="213">
          <cell r="G213" t="str">
            <v>Kilowatt</v>
          </cell>
        </row>
        <row r="214">
          <cell r="G214" t="str">
            <v>Kilowatt Hour</v>
          </cell>
        </row>
        <row r="215">
          <cell r="G215" t="str">
            <v>lbs/msqft</v>
          </cell>
        </row>
        <row r="216">
          <cell r="G216" t="str">
            <v>Lipolase Units</v>
          </cell>
        </row>
        <row r="217">
          <cell r="G217" t="str">
            <v>Liter</v>
          </cell>
        </row>
        <row r="218">
          <cell r="G218" t="str">
            <v>Liter per minute</v>
          </cell>
        </row>
        <row r="219">
          <cell r="G219" t="str">
            <v>Liter/m2/sec</v>
          </cell>
        </row>
        <row r="220">
          <cell r="G220" t="str">
            <v>Liters per second per square m</v>
          </cell>
        </row>
        <row r="221">
          <cell r="G221" t="str">
            <v>Megapascals</v>
          </cell>
        </row>
        <row r="222">
          <cell r="G222" t="str">
            <v>MegaPascals</v>
          </cell>
        </row>
        <row r="223">
          <cell r="G223" t="str">
            <v>Megohm centimeter</v>
          </cell>
        </row>
        <row r="224">
          <cell r="G224" t="str">
            <v>Meter</v>
          </cell>
        </row>
        <row r="225">
          <cell r="G225" t="str">
            <v>Meter / gram</v>
          </cell>
        </row>
        <row r="226">
          <cell r="G226" t="str">
            <v>Meter / kilogram</v>
          </cell>
        </row>
        <row r="227">
          <cell r="G227" t="str">
            <v>Meter / roll</v>
          </cell>
        </row>
        <row r="228">
          <cell r="G228" t="str">
            <v>Meter per minute</v>
          </cell>
        </row>
        <row r="229">
          <cell r="G229" t="str">
            <v>Meter per stack</v>
          </cell>
        </row>
        <row r="230">
          <cell r="G230" t="str">
            <v>Meter/second</v>
          </cell>
        </row>
        <row r="231">
          <cell r="G231" t="str">
            <v>Meters per bale</v>
          </cell>
        </row>
        <row r="232">
          <cell r="G232" t="str">
            <v>Micro watt per gram</v>
          </cell>
        </row>
        <row r="233">
          <cell r="G233" t="str">
            <v>Microgram</v>
          </cell>
        </row>
        <row r="234">
          <cell r="G234" t="str">
            <v>Microgram per gram</v>
          </cell>
        </row>
        <row r="235">
          <cell r="G235" t="str">
            <v>Microgram per inch</v>
          </cell>
        </row>
        <row r="236">
          <cell r="G236" t="str">
            <v>Microgram per Kilogram</v>
          </cell>
        </row>
        <row r="237">
          <cell r="G237" t="str">
            <v>Microgram per milliliter</v>
          </cell>
        </row>
        <row r="238">
          <cell r="G238" t="str">
            <v>Microgram per millimeter</v>
          </cell>
        </row>
        <row r="239">
          <cell r="G239" t="str">
            <v>Microhm/Centimeter</v>
          </cell>
        </row>
        <row r="240">
          <cell r="G240" t="str">
            <v>Microliter</v>
          </cell>
        </row>
        <row r="241">
          <cell r="G241" t="str">
            <v>Microliter per min</v>
          </cell>
        </row>
        <row r="242">
          <cell r="G242" t="str">
            <v>Microliters per gram per day</v>
          </cell>
        </row>
        <row r="243">
          <cell r="G243" t="str">
            <v>Micrometer(micron)</v>
          </cell>
        </row>
        <row r="244">
          <cell r="G244" t="str">
            <v>Micromho per centimeter</v>
          </cell>
        </row>
        <row r="245">
          <cell r="G245" t="str">
            <v>Microsecond</v>
          </cell>
        </row>
        <row r="246">
          <cell r="G246" t="str">
            <v>Micro-siemen per centimeter</v>
          </cell>
        </row>
        <row r="247">
          <cell r="G247" t="str">
            <v>Mil</v>
          </cell>
        </row>
        <row r="248">
          <cell r="G248" t="str">
            <v>Mile (Statute)</v>
          </cell>
        </row>
        <row r="249">
          <cell r="G249" t="str">
            <v>MilliAmpere</v>
          </cell>
        </row>
        <row r="250">
          <cell r="G250" t="str">
            <v>MilliAmpere hour</v>
          </cell>
        </row>
        <row r="251">
          <cell r="G251" t="str">
            <v>Millibar</v>
          </cell>
        </row>
        <row r="252">
          <cell r="G252" t="str">
            <v>Milliequivalent per gram</v>
          </cell>
        </row>
        <row r="253">
          <cell r="G253" t="str">
            <v>Milliequivalent per Kilogram</v>
          </cell>
        </row>
        <row r="254">
          <cell r="G254" t="str">
            <v>Milliequivalent per Liter</v>
          </cell>
        </row>
        <row r="255">
          <cell r="G255" t="str">
            <v>Milligram</v>
          </cell>
        </row>
        <row r="256">
          <cell r="G256" t="str">
            <v>Milligram / sq meter</v>
          </cell>
        </row>
        <row r="257">
          <cell r="G257" t="str">
            <v>Milligram KOH per gram</v>
          </cell>
        </row>
        <row r="258">
          <cell r="G258" t="str">
            <v>Milligram of active/100 gram</v>
          </cell>
        </row>
        <row r="259">
          <cell r="G259" t="str">
            <v>Milligram per 100 gram</v>
          </cell>
        </row>
        <row r="260">
          <cell r="G260" t="str">
            <v>Milligram per gram</v>
          </cell>
        </row>
        <row r="261">
          <cell r="G261" t="str">
            <v>Milligram per inhaler</v>
          </cell>
        </row>
        <row r="262">
          <cell r="G262" t="str">
            <v>Milligram per Kilogram</v>
          </cell>
        </row>
        <row r="263">
          <cell r="G263" t="str">
            <v>Milligram/Component</v>
          </cell>
        </row>
        <row r="264">
          <cell r="G264" t="str">
            <v>Milligram/Sq Centimeter</v>
          </cell>
        </row>
        <row r="265">
          <cell r="G265" t="str">
            <v>Milligrams active per gram</v>
          </cell>
        </row>
        <row r="266">
          <cell r="G266" t="str">
            <v>milligrams active per gram</v>
          </cell>
        </row>
        <row r="267">
          <cell r="G267" t="str">
            <v>Milligrams per caplet</v>
          </cell>
        </row>
        <row r="268">
          <cell r="G268" t="str">
            <v>Milligrams per capsule</v>
          </cell>
        </row>
        <row r="269">
          <cell r="G269" t="str">
            <v>Milligrams per hour</v>
          </cell>
        </row>
        <row r="270">
          <cell r="G270" t="str">
            <v>Milligrams per liter</v>
          </cell>
        </row>
        <row r="271">
          <cell r="G271" t="str">
            <v>Milligrams per meter</v>
          </cell>
        </row>
        <row r="272">
          <cell r="G272" t="str">
            <v>milligrams per meter per roll</v>
          </cell>
        </row>
        <row r="273">
          <cell r="G273" t="str">
            <v>Milligrams per milliliter</v>
          </cell>
        </row>
        <row r="274">
          <cell r="G274" t="str">
            <v>milligrams per sachet</v>
          </cell>
        </row>
        <row r="275">
          <cell r="G275" t="str">
            <v>Milligrams per square foot</v>
          </cell>
        </row>
        <row r="276">
          <cell r="G276" t="str">
            <v>Milligrams per tablet</v>
          </cell>
        </row>
        <row r="277">
          <cell r="G277" t="str">
            <v>Milligrams per vial</v>
          </cell>
        </row>
        <row r="278">
          <cell r="G278" t="str">
            <v>Milliliter</v>
          </cell>
        </row>
        <row r="279">
          <cell r="G279" t="str">
            <v>Milliliter per 100 gram</v>
          </cell>
        </row>
        <row r="280">
          <cell r="G280" t="str">
            <v>Milliliter per gram</v>
          </cell>
        </row>
        <row r="281">
          <cell r="G281" t="str">
            <v>Milliliter per minute</v>
          </cell>
        </row>
        <row r="282">
          <cell r="G282" t="str">
            <v>Milliliter per second</v>
          </cell>
        </row>
        <row r="283">
          <cell r="G283" t="str">
            <v>Millimeter</v>
          </cell>
        </row>
        <row r="284">
          <cell r="G284" t="str">
            <v>Millimeter Mercury</v>
          </cell>
        </row>
        <row r="285">
          <cell r="G285" t="str">
            <v>Millimeter/hour</v>
          </cell>
        </row>
        <row r="286">
          <cell r="G286" t="str">
            <v>Millimeter/second</v>
          </cell>
        </row>
        <row r="287">
          <cell r="G287" t="str">
            <v>Millimole</v>
          </cell>
        </row>
        <row r="288">
          <cell r="G288" t="str">
            <v>millimole per kilogram</v>
          </cell>
        </row>
        <row r="289">
          <cell r="G289" t="str">
            <v>MilliNewton</v>
          </cell>
        </row>
        <row r="290">
          <cell r="G290" t="str">
            <v>MilliNewton centimeter</v>
          </cell>
        </row>
        <row r="291">
          <cell r="G291" t="str">
            <v>MilliNewton per centimeter</v>
          </cell>
        </row>
        <row r="292">
          <cell r="G292" t="str">
            <v>MilliNewton/Meter</v>
          </cell>
        </row>
        <row r="293">
          <cell r="G293" t="str">
            <v>MilliNewtonmeter N-mm</v>
          </cell>
        </row>
        <row r="294">
          <cell r="G294" t="str">
            <v>MilliNewtons per square meter</v>
          </cell>
        </row>
        <row r="295">
          <cell r="G295" t="str">
            <v>Milliohm</v>
          </cell>
        </row>
        <row r="296">
          <cell r="G296" t="str">
            <v>Million per gram</v>
          </cell>
        </row>
        <row r="297">
          <cell r="G297" t="str">
            <v>Millipascal</v>
          </cell>
        </row>
        <row r="298">
          <cell r="G298" t="str">
            <v>Millipascalseconds</v>
          </cell>
        </row>
        <row r="299">
          <cell r="G299" t="str">
            <v>Millisecond</v>
          </cell>
        </row>
        <row r="300">
          <cell r="G300" t="str">
            <v>Millivolt</v>
          </cell>
        </row>
        <row r="301">
          <cell r="G301" t="str">
            <v>Mils</v>
          </cell>
        </row>
        <row r="302">
          <cell r="G302" t="str">
            <v>Minute</v>
          </cell>
        </row>
        <row r="303">
          <cell r="G303" t="str">
            <v>mm per 10</v>
          </cell>
        </row>
        <row r="304">
          <cell r="G304" t="str">
            <v>Molarity</v>
          </cell>
        </row>
        <row r="305">
          <cell r="G305" t="str">
            <v>Mole</v>
          </cell>
        </row>
        <row r="306">
          <cell r="G306" t="str">
            <v>Month</v>
          </cell>
        </row>
        <row r="307">
          <cell r="G307" t="str">
            <v>Nanogram</v>
          </cell>
        </row>
        <row r="308">
          <cell r="G308" t="str">
            <v>Nanogram per cubic meter</v>
          </cell>
        </row>
        <row r="309">
          <cell r="G309" t="str">
            <v>Nanogram per gram</v>
          </cell>
        </row>
        <row r="310">
          <cell r="G310" t="str">
            <v>Nanogram per liter</v>
          </cell>
        </row>
        <row r="311">
          <cell r="G311" t="str">
            <v>Nanometer</v>
          </cell>
        </row>
        <row r="312">
          <cell r="G312" t="str">
            <v>Nephelometric Turbidity Unit</v>
          </cell>
        </row>
        <row r="313">
          <cell r="G313" t="str">
            <v>Newton</v>
          </cell>
        </row>
        <row r="314">
          <cell r="G314" t="str">
            <v>Newton / 10 millimeters</v>
          </cell>
        </row>
        <row r="315">
          <cell r="G315" t="str">
            <v>Newton / 15 millimeters</v>
          </cell>
        </row>
        <row r="316">
          <cell r="G316" t="str">
            <v>Newton / 25 millimeters</v>
          </cell>
        </row>
        <row r="317">
          <cell r="G317" t="str">
            <v>Newton / 5 Centimeter</v>
          </cell>
        </row>
        <row r="318">
          <cell r="G318" t="str">
            <v>Newton / 50 millimeters</v>
          </cell>
        </row>
        <row r="319">
          <cell r="G319" t="str">
            <v>Newton / centimeter</v>
          </cell>
        </row>
        <row r="320">
          <cell r="G320" t="str">
            <v>Newton / Inch</v>
          </cell>
        </row>
        <row r="321">
          <cell r="G321" t="str">
            <v>Newton / meter</v>
          </cell>
        </row>
        <row r="322">
          <cell r="G322" t="str">
            <v>Newton / square meter</v>
          </cell>
        </row>
        <row r="323">
          <cell r="G323" t="str">
            <v>Newton / square millimeter</v>
          </cell>
        </row>
        <row r="324">
          <cell r="G324" t="str">
            <v>Newton centimeter</v>
          </cell>
        </row>
        <row r="325">
          <cell r="G325" t="str">
            <v>Newton meter</v>
          </cell>
        </row>
        <row r="326">
          <cell r="G326" t="str">
            <v>Newton millimeter</v>
          </cell>
        </row>
        <row r="327">
          <cell r="G327" t="str">
            <v>Newton per 25.4 millimeter</v>
          </cell>
        </row>
        <row r="328">
          <cell r="G328" t="str">
            <v>Newton per square centimeter</v>
          </cell>
        </row>
        <row r="329">
          <cell r="G329" t="str">
            <v>newtonmeter per kilogram</v>
          </cell>
        </row>
        <row r="330">
          <cell r="G330" t="str">
            <v>Newtons per millimeters</v>
          </cell>
        </row>
        <row r="331">
          <cell r="G331" t="str">
            <v>Number / Square meter</v>
          </cell>
        </row>
        <row r="332">
          <cell r="G332" t="str">
            <v>Number per 10 Meters Squared</v>
          </cell>
        </row>
        <row r="333">
          <cell r="G333" t="str">
            <v>Number per 100 Meters Squared</v>
          </cell>
        </row>
        <row r="334">
          <cell r="G334" t="str">
            <v>Number per 25000 meters</v>
          </cell>
        </row>
        <row r="335">
          <cell r="G335" t="str">
            <v>Number per hour</v>
          </cell>
        </row>
        <row r="336">
          <cell r="G336" t="str">
            <v>Number per meter</v>
          </cell>
        </row>
        <row r="337">
          <cell r="G337" t="str">
            <v>Number per million square mtrs</v>
          </cell>
        </row>
        <row r="338">
          <cell r="G338" t="str">
            <v>Number per roll</v>
          </cell>
        </row>
        <row r="339">
          <cell r="G339" t="str">
            <v>number per shipment</v>
          </cell>
        </row>
        <row r="340">
          <cell r="G340" t="str">
            <v>Ohm</v>
          </cell>
        </row>
        <row r="341">
          <cell r="G341" t="str">
            <v>Ohms per square</v>
          </cell>
        </row>
        <row r="342">
          <cell r="G342" t="str">
            <v>Opacity units</v>
          </cell>
        </row>
        <row r="343">
          <cell r="G343" t="str">
            <v>Ounce (28,349 grams)</v>
          </cell>
        </row>
        <row r="344">
          <cell r="G344" t="str">
            <v>Ounce per inch</v>
          </cell>
        </row>
        <row r="345">
          <cell r="G345" t="str">
            <v>Ounce per inch width</v>
          </cell>
        </row>
        <row r="346">
          <cell r="G346" t="str">
            <v>ounces per square foot</v>
          </cell>
        </row>
        <row r="347">
          <cell r="G347" t="str">
            <v>ounces per square yard</v>
          </cell>
        </row>
        <row r="348">
          <cell r="G348" t="str">
            <v>Pallet/Unit Load</v>
          </cell>
        </row>
        <row r="349">
          <cell r="G349" t="str">
            <v>panel score unit</v>
          </cell>
        </row>
        <row r="350">
          <cell r="G350" t="str">
            <v>Part</v>
          </cell>
        </row>
        <row r="351">
          <cell r="G351" t="str">
            <v>Parts per billion</v>
          </cell>
        </row>
        <row r="352">
          <cell r="G352" t="str">
            <v>Parts per million</v>
          </cell>
        </row>
        <row r="353">
          <cell r="G353" t="str">
            <v>Pascal</v>
          </cell>
        </row>
        <row r="354">
          <cell r="G354" t="str">
            <v>Pascal second</v>
          </cell>
        </row>
        <row r="355">
          <cell r="G355" t="str">
            <v>Pellets Per Gram</v>
          </cell>
        </row>
        <row r="356">
          <cell r="G356" t="str">
            <v>Percent of Label</v>
          </cell>
        </row>
        <row r="357">
          <cell r="G357" t="str">
            <v>Percent of label</v>
          </cell>
        </row>
        <row r="358">
          <cell r="G358" t="str">
            <v>Percent of Standard</v>
          </cell>
        </row>
        <row r="359">
          <cell r="G359" t="str">
            <v>Percent of standard</v>
          </cell>
        </row>
        <row r="360">
          <cell r="G360" t="str">
            <v>Percent Weight / Volume</v>
          </cell>
        </row>
        <row r="361">
          <cell r="G361" t="str">
            <v>Percent weight by weight</v>
          </cell>
        </row>
        <row r="362">
          <cell r="G362" t="str">
            <v>Percentage</v>
          </cell>
        </row>
        <row r="363">
          <cell r="G363" t="str">
            <v>Points</v>
          </cell>
        </row>
        <row r="364">
          <cell r="G364" t="str">
            <v>Points/square meter</v>
          </cell>
        </row>
        <row r="365">
          <cell r="G365" t="str">
            <v>Poise</v>
          </cell>
        </row>
        <row r="366">
          <cell r="G366" t="str">
            <v>Pound (US)</v>
          </cell>
        </row>
        <row r="367">
          <cell r="G367" t="str">
            <v>Pound per cubic Feet</v>
          </cell>
        </row>
        <row r="368">
          <cell r="G368" t="str">
            <v>Pound per Cubic Feet</v>
          </cell>
        </row>
        <row r="369">
          <cell r="G369" t="str">
            <v>Pounds force</v>
          </cell>
        </row>
        <row r="370">
          <cell r="G370" t="str">
            <v>Pounds per 1000 sq feet</v>
          </cell>
        </row>
        <row r="371">
          <cell r="G371" t="str">
            <v>Pounds per 3000 sq feet</v>
          </cell>
        </row>
        <row r="372">
          <cell r="G372" t="str">
            <v>Pounds per Bushel</v>
          </cell>
        </row>
        <row r="373">
          <cell r="G373" t="str">
            <v>Pounds per gallon</v>
          </cell>
        </row>
        <row r="374">
          <cell r="G374" t="str">
            <v>Pounds per hour</v>
          </cell>
        </row>
        <row r="375">
          <cell r="G375" t="str">
            <v>Pounds per Hour</v>
          </cell>
        </row>
        <row r="376">
          <cell r="G376" t="str">
            <v>Pounds per inch</v>
          </cell>
        </row>
        <row r="377">
          <cell r="G377" t="str">
            <v>Pounds per inch of width</v>
          </cell>
        </row>
        <row r="378">
          <cell r="G378" t="str">
            <v>Pounds per ream</v>
          </cell>
        </row>
        <row r="379">
          <cell r="G379" t="str">
            <v>Pounds per roll</v>
          </cell>
        </row>
        <row r="380">
          <cell r="G380" t="str">
            <v>Pounds per six inches</v>
          </cell>
        </row>
        <row r="381">
          <cell r="G381" t="str">
            <v>Pounds per square feet</v>
          </cell>
        </row>
        <row r="382">
          <cell r="G382" t="str">
            <v>Pounds per square inch</v>
          </cell>
        </row>
        <row r="383">
          <cell r="G383" t="str">
            <v>Pounds per square inch gauge</v>
          </cell>
        </row>
        <row r="384">
          <cell r="G384" t="str">
            <v>pounds per ton</v>
          </cell>
        </row>
        <row r="385">
          <cell r="G385" t="str">
            <v>Revolutions per minute</v>
          </cell>
        </row>
        <row r="386">
          <cell r="G386" t="str">
            <v>Roll</v>
          </cell>
        </row>
        <row r="387">
          <cell r="G387" t="str">
            <v>Second</v>
          </cell>
        </row>
        <row r="388">
          <cell r="G388" t="str">
            <v>Seconds per 10cc per sq in</v>
          </cell>
        </row>
        <row r="389">
          <cell r="G389" t="str">
            <v>SFC-Units</v>
          </cell>
        </row>
        <row r="390">
          <cell r="G390" t="str">
            <v>Shear force in ScottBond units</v>
          </cell>
        </row>
        <row r="391">
          <cell r="G391" t="str">
            <v>Sheffield units</v>
          </cell>
        </row>
        <row r="392">
          <cell r="G392" t="str">
            <v>Sheffield Units</v>
          </cell>
        </row>
        <row r="393">
          <cell r="G393" t="str">
            <v>Shore A</v>
          </cell>
        </row>
        <row r="394">
          <cell r="G394" t="str">
            <v>Shore C</v>
          </cell>
        </row>
        <row r="395">
          <cell r="G395" t="str">
            <v>Shore D</v>
          </cell>
        </row>
        <row r="396">
          <cell r="G396" t="str">
            <v>Shore M</v>
          </cell>
        </row>
        <row r="397">
          <cell r="G397" t="str">
            <v>Siemens per centimeter</v>
          </cell>
        </row>
        <row r="398">
          <cell r="G398" t="str">
            <v>Sq millimeter/kilogram</v>
          </cell>
        </row>
        <row r="399">
          <cell r="G399" t="str">
            <v>Sq millimeter/sq meter</v>
          </cell>
        </row>
        <row r="400">
          <cell r="G400" t="str">
            <v>Square Centimeter</v>
          </cell>
        </row>
        <row r="401">
          <cell r="G401" t="str">
            <v>Square centimeter</v>
          </cell>
        </row>
        <row r="402">
          <cell r="G402" t="str">
            <v>Square centimeters per gram</v>
          </cell>
        </row>
        <row r="403">
          <cell r="G403" t="str">
            <v>Square centimeters per kg</v>
          </cell>
        </row>
        <row r="404">
          <cell r="G404" t="str">
            <v>Square feet per pound</v>
          </cell>
        </row>
        <row r="405">
          <cell r="G405" t="str">
            <v>Square Foot</v>
          </cell>
        </row>
        <row r="406">
          <cell r="G406" t="str">
            <v>Square Inch</v>
          </cell>
        </row>
        <row r="407">
          <cell r="G407" t="str">
            <v>Square inches per pound</v>
          </cell>
        </row>
        <row r="408">
          <cell r="G408" t="str">
            <v>Square meter</v>
          </cell>
        </row>
        <row r="409">
          <cell r="G409" t="str">
            <v>Square meter per product</v>
          </cell>
        </row>
        <row r="410">
          <cell r="G410" t="str">
            <v>Square meters per gram</v>
          </cell>
        </row>
        <row r="411">
          <cell r="G411" t="str">
            <v>Square meters per kilogram</v>
          </cell>
        </row>
        <row r="412">
          <cell r="G412" t="str">
            <v>Square Millimeter</v>
          </cell>
        </row>
        <row r="413">
          <cell r="G413" t="str">
            <v>Square millimeters per second</v>
          </cell>
        </row>
        <row r="414">
          <cell r="G414" t="str">
            <v>standard deviation/mm</v>
          </cell>
        </row>
        <row r="415">
          <cell r="G415" t="str">
            <v>stitches per inch</v>
          </cell>
        </row>
        <row r="416">
          <cell r="G416" t="str">
            <v>Strong-Cobb Units</v>
          </cell>
        </row>
        <row r="417">
          <cell r="G417" t="str">
            <v>Taber unit</v>
          </cell>
        </row>
        <row r="418">
          <cell r="G418" t="str">
            <v>Total viable organisms</v>
          </cell>
        </row>
        <row r="419">
          <cell r="G419" t="str">
            <v>Twists per Centimeter</v>
          </cell>
        </row>
        <row r="420">
          <cell r="G420" t="str">
            <v>UK Gallon</v>
          </cell>
        </row>
        <row r="421">
          <cell r="G421" t="str">
            <v>unitless measure(dash)</v>
          </cell>
        </row>
        <row r="422">
          <cell r="G422" t="str">
            <v>US Gallon</v>
          </cell>
        </row>
        <row r="423">
          <cell r="G423" t="str">
            <v>Uses</v>
          </cell>
        </row>
        <row r="424">
          <cell r="G424" t="str">
            <v>Volts</v>
          </cell>
        </row>
        <row r="425">
          <cell r="G425" t="str">
            <v>Volts per minute</v>
          </cell>
        </row>
        <row r="426">
          <cell r="G426" t="str">
            <v>Volts per second</v>
          </cell>
        </row>
        <row r="427">
          <cell r="G427" t="str">
            <v>Watt</v>
          </cell>
        </row>
        <row r="428">
          <cell r="G428" t="str">
            <v>Wavenumber per centimeter</v>
          </cell>
        </row>
        <row r="429">
          <cell r="G429" t="str">
            <v>Week</v>
          </cell>
        </row>
        <row r="430">
          <cell r="G430" t="str">
            <v>Whiteness units</v>
          </cell>
        </row>
        <row r="431">
          <cell r="G431" t="str">
            <v>Yard</v>
          </cell>
        </row>
        <row r="432">
          <cell r="G432" t="str">
            <v>yards per lb</v>
          </cell>
        </row>
        <row r="433">
          <cell r="G433" t="str">
            <v>Year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-UBS Random Printing"/>
      <sheetName val="Report-UBS Random "/>
      <sheetName val="Control-168mm UBS Random "/>
      <sheetName val="Report-UBS Micro"/>
      <sheetName val="Report-UWF Micro"/>
      <sheetName val="Control-214mm UWF Micro "/>
      <sheetName val="Control-234mm UWF Micro MC#2"/>
      <sheetName val="Control-102mm UBS Micro"/>
    </sheetNames>
    <sheetDataSet>
      <sheetData sheetId="0"/>
      <sheetData sheetId="1">
        <row r="3">
          <cell r="H3" t="str">
            <v>Target</v>
          </cell>
          <cell r="J3" t="str">
            <v>USL</v>
          </cell>
        </row>
      </sheetData>
      <sheetData sheetId="2">
        <row r="3">
          <cell r="H3" t="str">
            <v>Target</v>
          </cell>
          <cell r="I3" t="str">
            <v>LSL</v>
          </cell>
          <cell r="J3" t="str">
            <v>USL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-UBS Random "/>
      <sheetName val="Control-168mm UBS Random "/>
      <sheetName val="Report-214mm UWF Micro"/>
      <sheetName val="Control-214mm UWF Micro "/>
      <sheetName val="Report-234mm UWF Micro "/>
      <sheetName val="Control-234mm UWF Micro MC#2"/>
    </sheetNames>
    <sheetDataSet>
      <sheetData sheetId="0"/>
      <sheetData sheetId="1"/>
      <sheetData sheetId="2">
        <row r="3">
          <cell r="H3" t="str">
            <v>Target</v>
          </cell>
        </row>
      </sheetData>
      <sheetData sheetId="3">
        <row r="3">
          <cell r="H3" t="str">
            <v>TGT</v>
          </cell>
          <cell r="I3" t="str">
            <v>LSL</v>
          </cell>
          <cell r="J3" t="str">
            <v>USL</v>
          </cell>
        </row>
        <row r="7">
          <cell r="H7">
            <v>214</v>
          </cell>
          <cell r="I7">
            <v>212</v>
          </cell>
          <cell r="J7">
            <v>216</v>
          </cell>
        </row>
        <row r="8">
          <cell r="H8">
            <v>510</v>
          </cell>
          <cell r="I8">
            <v>490</v>
          </cell>
          <cell r="J8">
            <v>530</v>
          </cell>
        </row>
        <row r="9">
          <cell r="H9">
            <v>77</v>
          </cell>
          <cell r="I9">
            <v>74</v>
          </cell>
          <cell r="J9">
            <v>80</v>
          </cell>
        </row>
        <row r="10">
          <cell r="H10">
            <v>0</v>
          </cell>
          <cell r="J10">
            <v>5</v>
          </cell>
        </row>
        <row r="11">
          <cell r="H11">
            <v>60</v>
          </cell>
          <cell r="I11">
            <v>57</v>
          </cell>
          <cell r="J11">
            <v>63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-168mm UBS Random MC#1"/>
      <sheetName val="Control-168mm UBS Random MC#1"/>
      <sheetName val="Report-102mm micro Mc#02"/>
      <sheetName val="Control-102mm micro Mc#02 "/>
      <sheetName val="Report-214 MM -UWF-MC#02"/>
      <sheetName val="Control-214 MM -UWF- MC#02"/>
    </sheetNames>
    <sheetDataSet>
      <sheetData sheetId="0" refreshError="1"/>
      <sheetData sheetId="1" refreshError="1"/>
      <sheetData sheetId="2">
        <row r="2">
          <cell r="L2">
            <v>1</v>
          </cell>
          <cell r="M2">
            <v>2</v>
          </cell>
          <cell r="N2">
            <v>3</v>
          </cell>
          <cell r="O2">
            <v>4</v>
          </cell>
          <cell r="P2">
            <v>5</v>
          </cell>
          <cell r="Q2">
            <v>6</v>
          </cell>
          <cell r="R2">
            <v>7</v>
          </cell>
          <cell r="S2">
            <v>8</v>
          </cell>
          <cell r="T2">
            <v>9</v>
          </cell>
          <cell r="U2">
            <v>10</v>
          </cell>
          <cell r="V2">
            <v>11</v>
          </cell>
          <cell r="W2">
            <v>12</v>
          </cell>
          <cell r="X2">
            <v>13</v>
          </cell>
          <cell r="Y2">
            <v>14</v>
          </cell>
          <cell r="Z2">
            <v>15</v>
          </cell>
          <cell r="AA2">
            <v>16</v>
          </cell>
          <cell r="AB2">
            <v>17</v>
          </cell>
          <cell r="AC2">
            <v>18</v>
          </cell>
          <cell r="AD2">
            <v>19</v>
          </cell>
          <cell r="AE2">
            <v>20</v>
          </cell>
          <cell r="AF2">
            <v>21</v>
          </cell>
          <cell r="AG2">
            <v>22</v>
          </cell>
          <cell r="AH2">
            <v>23</v>
          </cell>
          <cell r="AI2">
            <v>24</v>
          </cell>
          <cell r="AJ2">
            <v>25</v>
          </cell>
          <cell r="AK2">
            <v>26</v>
          </cell>
          <cell r="AL2">
            <v>27</v>
          </cell>
          <cell r="AM2">
            <v>28</v>
          </cell>
          <cell r="AN2">
            <v>29</v>
          </cell>
          <cell r="AO2">
            <v>30</v>
          </cell>
          <cell r="AP2">
            <v>31</v>
          </cell>
          <cell r="AQ2">
            <v>32</v>
          </cell>
          <cell r="AR2">
            <v>33</v>
          </cell>
          <cell r="AS2">
            <v>34</v>
          </cell>
          <cell r="AT2">
            <v>35</v>
          </cell>
          <cell r="AU2">
            <v>36</v>
          </cell>
          <cell r="AV2">
            <v>37</v>
          </cell>
          <cell r="AW2">
            <v>38</v>
          </cell>
        </row>
      </sheetData>
      <sheetData sheetId="3">
        <row r="3">
          <cell r="L3">
            <v>1</v>
          </cell>
        </row>
      </sheetData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-UBS Random MC#1"/>
      <sheetName val="Report-UBS Micro MC#2"/>
      <sheetName val="Report-UWF Micro MC#2"/>
      <sheetName val="Control-168mm UBS Random MC#1"/>
      <sheetName val="Control-102mm UBS Micro MC#2 "/>
      <sheetName val="Control-234mm UWF Micro MC#2"/>
    </sheetNames>
    <sheetDataSet>
      <sheetData sheetId="0"/>
      <sheetData sheetId="1"/>
      <sheetData sheetId="2"/>
      <sheetData sheetId="3"/>
      <sheetData sheetId="4">
        <row r="3">
          <cell r="H3" t="str">
            <v>Target</v>
          </cell>
          <cell r="I3" t="str">
            <v>LSL</v>
          </cell>
          <cell r="J3" t="str">
            <v>USL</v>
          </cell>
        </row>
        <row r="9">
          <cell r="H9">
            <v>102</v>
          </cell>
          <cell r="I9">
            <v>100</v>
          </cell>
          <cell r="J9">
            <v>104</v>
          </cell>
        </row>
        <row r="10">
          <cell r="H10">
            <v>455</v>
          </cell>
          <cell r="I10">
            <v>440</v>
          </cell>
          <cell r="J10">
            <v>480</v>
          </cell>
        </row>
        <row r="11">
          <cell r="H11">
            <v>77</v>
          </cell>
          <cell r="I11">
            <v>74</v>
          </cell>
          <cell r="J11">
            <v>80</v>
          </cell>
        </row>
        <row r="12">
          <cell r="H12">
            <v>97</v>
          </cell>
          <cell r="I12">
            <v>94</v>
          </cell>
          <cell r="J12">
            <v>100</v>
          </cell>
        </row>
        <row r="13">
          <cell r="H13">
            <v>7</v>
          </cell>
          <cell r="J13">
            <v>11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9264-CA9D-401E-A917-B27749EBE263}">
  <dimension ref="B1:OU404"/>
  <sheetViews>
    <sheetView tabSelected="1" zoomScale="70" zoomScaleNormal="70" workbookViewId="0">
      <selection activeCell="W14" sqref="W14"/>
    </sheetView>
  </sheetViews>
  <sheetFormatPr defaultRowHeight="18.75"/>
  <cols>
    <col min="1" max="1" width="2" style="12" customWidth="1"/>
    <col min="2" max="2" width="5.375" style="12" customWidth="1"/>
    <col min="3" max="3" width="20" style="13" customWidth="1"/>
    <col min="4" max="403" width="6" style="12" customWidth="1"/>
    <col min="404" max="405" width="9.875" style="14" customWidth="1"/>
    <col min="406" max="406" width="8.875" style="12" bestFit="1" customWidth="1"/>
    <col min="407" max="407" width="6.5" style="7" customWidth="1"/>
    <col min="408" max="408" width="6" style="7" customWidth="1"/>
    <col min="409" max="409" width="10.375" style="7" customWidth="1"/>
    <col min="410" max="410" width="10.125" style="7" customWidth="1"/>
    <col min="411" max="411" width="34.375" style="12" customWidth="1"/>
    <col min="412" max="528" width="4.625" style="12" customWidth="1"/>
    <col min="529" max="590" width="9" style="12"/>
    <col min="591" max="591" width="2" style="12" customWidth="1"/>
    <col min="592" max="592" width="14.875" style="12" customWidth="1"/>
    <col min="593" max="593" width="9" style="12"/>
    <col min="594" max="594" width="12" style="12" customWidth="1"/>
    <col min="595" max="595" width="4.375" style="12" bestFit="1" customWidth="1"/>
    <col min="596" max="596" width="4.75" style="12" customWidth="1"/>
    <col min="597" max="598" width="4.75" style="12" bestFit="1" customWidth="1"/>
    <col min="599" max="629" width="4.75" style="12" customWidth="1"/>
    <col min="630" max="630" width="5.875" style="12" customWidth="1"/>
    <col min="631" max="631" width="5.125" style="12" bestFit="1" customWidth="1"/>
    <col min="632" max="632" width="5.125" style="12" customWidth="1"/>
    <col min="633" max="633" width="4.625" style="12" customWidth="1"/>
    <col min="634" max="635" width="4.75" style="12" customWidth="1"/>
    <col min="636" max="636" width="12.125" style="12" bestFit="1" customWidth="1"/>
    <col min="637" max="637" width="4.875" style="12" bestFit="1" customWidth="1"/>
    <col min="638" max="639" width="4.25" style="12" customWidth="1"/>
    <col min="640" max="846" width="9" style="12"/>
    <col min="847" max="847" width="2" style="12" customWidth="1"/>
    <col min="848" max="848" width="14.875" style="12" customWidth="1"/>
    <col min="849" max="849" width="9" style="12"/>
    <col min="850" max="850" width="12" style="12" customWidth="1"/>
    <col min="851" max="851" width="4.375" style="12" bestFit="1" customWidth="1"/>
    <col min="852" max="852" width="4.75" style="12" customWidth="1"/>
    <col min="853" max="854" width="4.75" style="12" bestFit="1" customWidth="1"/>
    <col min="855" max="885" width="4.75" style="12" customWidth="1"/>
    <col min="886" max="886" width="5.875" style="12" customWidth="1"/>
    <col min="887" max="887" width="5.125" style="12" bestFit="1" customWidth="1"/>
    <col min="888" max="888" width="5.125" style="12" customWidth="1"/>
    <col min="889" max="889" width="4.625" style="12" customWidth="1"/>
    <col min="890" max="891" width="4.75" style="12" customWidth="1"/>
    <col min="892" max="892" width="12.125" style="12" bestFit="1" customWidth="1"/>
    <col min="893" max="893" width="4.875" style="12" bestFit="1" customWidth="1"/>
    <col min="894" max="895" width="4.25" style="12" customWidth="1"/>
    <col min="896" max="1102" width="9" style="12"/>
    <col min="1103" max="1103" width="2" style="12" customWidth="1"/>
    <col min="1104" max="1104" width="14.875" style="12" customWidth="1"/>
    <col min="1105" max="1105" width="9" style="12"/>
    <col min="1106" max="1106" width="12" style="12" customWidth="1"/>
    <col min="1107" max="1107" width="4.375" style="12" bestFit="1" customWidth="1"/>
    <col min="1108" max="1108" width="4.75" style="12" customWidth="1"/>
    <col min="1109" max="1110" width="4.75" style="12" bestFit="1" customWidth="1"/>
    <col min="1111" max="1141" width="4.75" style="12" customWidth="1"/>
    <col min="1142" max="1142" width="5.875" style="12" customWidth="1"/>
    <col min="1143" max="1143" width="5.125" style="12" bestFit="1" customWidth="1"/>
    <col min="1144" max="1144" width="5.125" style="12" customWidth="1"/>
    <col min="1145" max="1145" width="4.625" style="12" customWidth="1"/>
    <col min="1146" max="1147" width="4.75" style="12" customWidth="1"/>
    <col min="1148" max="1148" width="12.125" style="12" bestFit="1" customWidth="1"/>
    <col min="1149" max="1149" width="4.875" style="12" bestFit="1" customWidth="1"/>
    <col min="1150" max="1151" width="4.25" style="12" customWidth="1"/>
    <col min="1152" max="1358" width="9" style="12"/>
    <col min="1359" max="1359" width="2" style="12" customWidth="1"/>
    <col min="1360" max="1360" width="14.875" style="12" customWidth="1"/>
    <col min="1361" max="1361" width="9" style="12"/>
    <col min="1362" max="1362" width="12" style="12" customWidth="1"/>
    <col min="1363" max="1363" width="4.375" style="12" bestFit="1" customWidth="1"/>
    <col min="1364" max="1364" width="4.75" style="12" customWidth="1"/>
    <col min="1365" max="1366" width="4.75" style="12" bestFit="1" customWidth="1"/>
    <col min="1367" max="1397" width="4.75" style="12" customWidth="1"/>
    <col min="1398" max="1398" width="5.875" style="12" customWidth="1"/>
    <col min="1399" max="1399" width="5.125" style="12" bestFit="1" customWidth="1"/>
    <col min="1400" max="1400" width="5.125" style="12" customWidth="1"/>
    <col min="1401" max="1401" width="4.625" style="12" customWidth="1"/>
    <col min="1402" max="1403" width="4.75" style="12" customWidth="1"/>
    <col min="1404" max="1404" width="12.125" style="12" bestFit="1" customWidth="1"/>
    <col min="1405" max="1405" width="4.875" style="12" bestFit="1" customWidth="1"/>
    <col min="1406" max="1407" width="4.25" style="12" customWidth="1"/>
    <col min="1408" max="1614" width="9" style="12"/>
    <col min="1615" max="1615" width="2" style="12" customWidth="1"/>
    <col min="1616" max="1616" width="14.875" style="12" customWidth="1"/>
    <col min="1617" max="1617" width="9" style="12"/>
    <col min="1618" max="1618" width="12" style="12" customWidth="1"/>
    <col min="1619" max="1619" width="4.375" style="12" bestFit="1" customWidth="1"/>
    <col min="1620" max="1620" width="4.75" style="12" customWidth="1"/>
    <col min="1621" max="1622" width="4.75" style="12" bestFit="1" customWidth="1"/>
    <col min="1623" max="1653" width="4.75" style="12" customWidth="1"/>
    <col min="1654" max="1654" width="5.875" style="12" customWidth="1"/>
    <col min="1655" max="1655" width="5.125" style="12" bestFit="1" customWidth="1"/>
    <col min="1656" max="1656" width="5.125" style="12" customWidth="1"/>
    <col min="1657" max="1657" width="4.625" style="12" customWidth="1"/>
    <col min="1658" max="1659" width="4.75" style="12" customWidth="1"/>
    <col min="1660" max="1660" width="12.125" style="12" bestFit="1" customWidth="1"/>
    <col min="1661" max="1661" width="4.875" style="12" bestFit="1" customWidth="1"/>
    <col min="1662" max="1663" width="4.25" style="12" customWidth="1"/>
    <col min="1664" max="1870" width="9" style="12"/>
    <col min="1871" max="1871" width="2" style="12" customWidth="1"/>
    <col min="1872" max="1872" width="14.875" style="12" customWidth="1"/>
    <col min="1873" max="1873" width="9" style="12"/>
    <col min="1874" max="1874" width="12" style="12" customWidth="1"/>
    <col min="1875" max="1875" width="4.375" style="12" bestFit="1" customWidth="1"/>
    <col min="1876" max="1876" width="4.75" style="12" customWidth="1"/>
    <col min="1877" max="1878" width="4.75" style="12" bestFit="1" customWidth="1"/>
    <col min="1879" max="1909" width="4.75" style="12" customWidth="1"/>
    <col min="1910" max="1910" width="5.875" style="12" customWidth="1"/>
    <col min="1911" max="1911" width="5.125" style="12" bestFit="1" customWidth="1"/>
    <col min="1912" max="1912" width="5.125" style="12" customWidth="1"/>
    <col min="1913" max="1913" width="4.625" style="12" customWidth="1"/>
    <col min="1914" max="1915" width="4.75" style="12" customWidth="1"/>
    <col min="1916" max="1916" width="12.125" style="12" bestFit="1" customWidth="1"/>
    <col min="1917" max="1917" width="4.875" style="12" bestFit="1" customWidth="1"/>
    <col min="1918" max="1919" width="4.25" style="12" customWidth="1"/>
    <col min="1920" max="2126" width="9" style="12"/>
    <col min="2127" max="2127" width="2" style="12" customWidth="1"/>
    <col min="2128" max="2128" width="14.875" style="12" customWidth="1"/>
    <col min="2129" max="2129" width="9" style="12"/>
    <col min="2130" max="2130" width="12" style="12" customWidth="1"/>
    <col min="2131" max="2131" width="4.375" style="12" bestFit="1" customWidth="1"/>
    <col min="2132" max="2132" width="4.75" style="12" customWidth="1"/>
    <col min="2133" max="2134" width="4.75" style="12" bestFit="1" customWidth="1"/>
    <col min="2135" max="2165" width="4.75" style="12" customWidth="1"/>
    <col min="2166" max="2166" width="5.875" style="12" customWidth="1"/>
    <col min="2167" max="2167" width="5.125" style="12" bestFit="1" customWidth="1"/>
    <col min="2168" max="2168" width="5.125" style="12" customWidth="1"/>
    <col min="2169" max="2169" width="4.625" style="12" customWidth="1"/>
    <col min="2170" max="2171" width="4.75" style="12" customWidth="1"/>
    <col min="2172" max="2172" width="12.125" style="12" bestFit="1" customWidth="1"/>
    <col min="2173" max="2173" width="4.875" style="12" bestFit="1" customWidth="1"/>
    <col min="2174" max="2175" width="4.25" style="12" customWidth="1"/>
    <col min="2176" max="2382" width="9" style="12"/>
    <col min="2383" max="2383" width="2" style="12" customWidth="1"/>
    <col min="2384" max="2384" width="14.875" style="12" customWidth="1"/>
    <col min="2385" max="2385" width="9" style="12"/>
    <col min="2386" max="2386" width="12" style="12" customWidth="1"/>
    <col min="2387" max="2387" width="4.375" style="12" bestFit="1" customWidth="1"/>
    <col min="2388" max="2388" width="4.75" style="12" customWidth="1"/>
    <col min="2389" max="2390" width="4.75" style="12" bestFit="1" customWidth="1"/>
    <col min="2391" max="2421" width="4.75" style="12" customWidth="1"/>
    <col min="2422" max="2422" width="5.875" style="12" customWidth="1"/>
    <col min="2423" max="2423" width="5.125" style="12" bestFit="1" customWidth="1"/>
    <col min="2424" max="2424" width="5.125" style="12" customWidth="1"/>
    <col min="2425" max="2425" width="4.625" style="12" customWidth="1"/>
    <col min="2426" max="2427" width="4.75" style="12" customWidth="1"/>
    <col min="2428" max="2428" width="12.125" style="12" bestFit="1" customWidth="1"/>
    <col min="2429" max="2429" width="4.875" style="12" bestFit="1" customWidth="1"/>
    <col min="2430" max="2431" width="4.25" style="12" customWidth="1"/>
    <col min="2432" max="2638" width="9" style="12"/>
    <col min="2639" max="2639" width="2" style="12" customWidth="1"/>
    <col min="2640" max="2640" width="14.875" style="12" customWidth="1"/>
    <col min="2641" max="2641" width="9" style="12"/>
    <col min="2642" max="2642" width="12" style="12" customWidth="1"/>
    <col min="2643" max="2643" width="4.375" style="12" bestFit="1" customWidth="1"/>
    <col min="2644" max="2644" width="4.75" style="12" customWidth="1"/>
    <col min="2645" max="2646" width="4.75" style="12" bestFit="1" customWidth="1"/>
    <col min="2647" max="2677" width="4.75" style="12" customWidth="1"/>
    <col min="2678" max="2678" width="5.875" style="12" customWidth="1"/>
    <col min="2679" max="2679" width="5.125" style="12" bestFit="1" customWidth="1"/>
    <col min="2680" max="2680" width="5.125" style="12" customWidth="1"/>
    <col min="2681" max="2681" width="4.625" style="12" customWidth="1"/>
    <col min="2682" max="2683" width="4.75" style="12" customWidth="1"/>
    <col min="2684" max="2684" width="12.125" style="12" bestFit="1" customWidth="1"/>
    <col min="2685" max="2685" width="4.875" style="12" bestFit="1" customWidth="1"/>
    <col min="2686" max="2687" width="4.25" style="12" customWidth="1"/>
    <col min="2688" max="2894" width="9" style="12"/>
    <col min="2895" max="2895" width="2" style="12" customWidth="1"/>
    <col min="2896" max="2896" width="14.875" style="12" customWidth="1"/>
    <col min="2897" max="2897" width="9" style="12"/>
    <col min="2898" max="2898" width="12" style="12" customWidth="1"/>
    <col min="2899" max="2899" width="4.375" style="12" bestFit="1" customWidth="1"/>
    <col min="2900" max="2900" width="4.75" style="12" customWidth="1"/>
    <col min="2901" max="2902" width="4.75" style="12" bestFit="1" customWidth="1"/>
    <col min="2903" max="2933" width="4.75" style="12" customWidth="1"/>
    <col min="2934" max="2934" width="5.875" style="12" customWidth="1"/>
    <col min="2935" max="2935" width="5.125" style="12" bestFit="1" customWidth="1"/>
    <col min="2936" max="2936" width="5.125" style="12" customWidth="1"/>
    <col min="2937" max="2937" width="4.625" style="12" customWidth="1"/>
    <col min="2938" max="2939" width="4.75" style="12" customWidth="1"/>
    <col min="2940" max="2940" width="12.125" style="12" bestFit="1" customWidth="1"/>
    <col min="2941" max="2941" width="4.875" style="12" bestFit="1" customWidth="1"/>
    <col min="2942" max="2943" width="4.25" style="12" customWidth="1"/>
    <col min="2944" max="3150" width="9" style="12"/>
    <col min="3151" max="3151" width="2" style="12" customWidth="1"/>
    <col min="3152" max="3152" width="14.875" style="12" customWidth="1"/>
    <col min="3153" max="3153" width="9" style="12"/>
    <col min="3154" max="3154" width="12" style="12" customWidth="1"/>
    <col min="3155" max="3155" width="4.375" style="12" bestFit="1" customWidth="1"/>
    <col min="3156" max="3156" width="4.75" style="12" customWidth="1"/>
    <col min="3157" max="3158" width="4.75" style="12" bestFit="1" customWidth="1"/>
    <col min="3159" max="3189" width="4.75" style="12" customWidth="1"/>
    <col min="3190" max="3190" width="5.875" style="12" customWidth="1"/>
    <col min="3191" max="3191" width="5.125" style="12" bestFit="1" customWidth="1"/>
    <col min="3192" max="3192" width="5.125" style="12" customWidth="1"/>
    <col min="3193" max="3193" width="4.625" style="12" customWidth="1"/>
    <col min="3194" max="3195" width="4.75" style="12" customWidth="1"/>
    <col min="3196" max="3196" width="12.125" style="12" bestFit="1" customWidth="1"/>
    <col min="3197" max="3197" width="4.875" style="12" bestFit="1" customWidth="1"/>
    <col min="3198" max="3199" width="4.25" style="12" customWidth="1"/>
    <col min="3200" max="3406" width="9" style="12"/>
    <col min="3407" max="3407" width="2" style="12" customWidth="1"/>
    <col min="3408" max="3408" width="14.875" style="12" customWidth="1"/>
    <col min="3409" max="3409" width="9" style="12"/>
    <col min="3410" max="3410" width="12" style="12" customWidth="1"/>
    <col min="3411" max="3411" width="4.375" style="12" bestFit="1" customWidth="1"/>
    <col min="3412" max="3412" width="4.75" style="12" customWidth="1"/>
    <col min="3413" max="3414" width="4.75" style="12" bestFit="1" customWidth="1"/>
    <col min="3415" max="3445" width="4.75" style="12" customWidth="1"/>
    <col min="3446" max="3446" width="5.875" style="12" customWidth="1"/>
    <col min="3447" max="3447" width="5.125" style="12" bestFit="1" customWidth="1"/>
    <col min="3448" max="3448" width="5.125" style="12" customWidth="1"/>
    <col min="3449" max="3449" width="4.625" style="12" customWidth="1"/>
    <col min="3450" max="3451" width="4.75" style="12" customWidth="1"/>
    <col min="3452" max="3452" width="12.125" style="12" bestFit="1" customWidth="1"/>
    <col min="3453" max="3453" width="4.875" style="12" bestFit="1" customWidth="1"/>
    <col min="3454" max="3455" width="4.25" style="12" customWidth="1"/>
    <col min="3456" max="3662" width="9" style="12"/>
    <col min="3663" max="3663" width="2" style="12" customWidth="1"/>
    <col min="3664" max="3664" width="14.875" style="12" customWidth="1"/>
    <col min="3665" max="3665" width="9" style="12"/>
    <col min="3666" max="3666" width="12" style="12" customWidth="1"/>
    <col min="3667" max="3667" width="4.375" style="12" bestFit="1" customWidth="1"/>
    <col min="3668" max="3668" width="4.75" style="12" customWidth="1"/>
    <col min="3669" max="3670" width="4.75" style="12" bestFit="1" customWidth="1"/>
    <col min="3671" max="3701" width="4.75" style="12" customWidth="1"/>
    <col min="3702" max="3702" width="5.875" style="12" customWidth="1"/>
    <col min="3703" max="3703" width="5.125" style="12" bestFit="1" customWidth="1"/>
    <col min="3704" max="3704" width="5.125" style="12" customWidth="1"/>
    <col min="3705" max="3705" width="4.625" style="12" customWidth="1"/>
    <col min="3706" max="3707" width="4.75" style="12" customWidth="1"/>
    <col min="3708" max="3708" width="12.125" style="12" bestFit="1" customWidth="1"/>
    <col min="3709" max="3709" width="4.875" style="12" bestFit="1" customWidth="1"/>
    <col min="3710" max="3711" width="4.25" style="12" customWidth="1"/>
    <col min="3712" max="3918" width="9" style="12"/>
    <col min="3919" max="3919" width="2" style="12" customWidth="1"/>
    <col min="3920" max="3920" width="14.875" style="12" customWidth="1"/>
    <col min="3921" max="3921" width="9" style="12"/>
    <col min="3922" max="3922" width="12" style="12" customWidth="1"/>
    <col min="3923" max="3923" width="4.375" style="12" bestFit="1" customWidth="1"/>
    <col min="3924" max="3924" width="4.75" style="12" customWidth="1"/>
    <col min="3925" max="3926" width="4.75" style="12" bestFit="1" customWidth="1"/>
    <col min="3927" max="3957" width="4.75" style="12" customWidth="1"/>
    <col min="3958" max="3958" width="5.875" style="12" customWidth="1"/>
    <col min="3959" max="3959" width="5.125" style="12" bestFit="1" customWidth="1"/>
    <col min="3960" max="3960" width="5.125" style="12" customWidth="1"/>
    <col min="3961" max="3961" width="4.625" style="12" customWidth="1"/>
    <col min="3962" max="3963" width="4.75" style="12" customWidth="1"/>
    <col min="3964" max="3964" width="12.125" style="12" bestFit="1" customWidth="1"/>
    <col min="3965" max="3965" width="4.875" style="12" bestFit="1" customWidth="1"/>
    <col min="3966" max="3967" width="4.25" style="12" customWidth="1"/>
    <col min="3968" max="4174" width="9" style="12"/>
    <col min="4175" max="4175" width="2" style="12" customWidth="1"/>
    <col min="4176" max="4176" width="14.875" style="12" customWidth="1"/>
    <col min="4177" max="4177" width="9" style="12"/>
    <col min="4178" max="4178" width="12" style="12" customWidth="1"/>
    <col min="4179" max="4179" width="4.375" style="12" bestFit="1" customWidth="1"/>
    <col min="4180" max="4180" width="4.75" style="12" customWidth="1"/>
    <col min="4181" max="4182" width="4.75" style="12" bestFit="1" customWidth="1"/>
    <col min="4183" max="4213" width="4.75" style="12" customWidth="1"/>
    <col min="4214" max="4214" width="5.875" style="12" customWidth="1"/>
    <col min="4215" max="4215" width="5.125" style="12" bestFit="1" customWidth="1"/>
    <col min="4216" max="4216" width="5.125" style="12" customWidth="1"/>
    <col min="4217" max="4217" width="4.625" style="12" customWidth="1"/>
    <col min="4218" max="4219" width="4.75" style="12" customWidth="1"/>
    <col min="4220" max="4220" width="12.125" style="12" bestFit="1" customWidth="1"/>
    <col min="4221" max="4221" width="4.875" style="12" bestFit="1" customWidth="1"/>
    <col min="4222" max="4223" width="4.25" style="12" customWidth="1"/>
    <col min="4224" max="4430" width="9" style="12"/>
    <col min="4431" max="4431" width="2" style="12" customWidth="1"/>
    <col min="4432" max="4432" width="14.875" style="12" customWidth="1"/>
    <col min="4433" max="4433" width="9" style="12"/>
    <col min="4434" max="4434" width="12" style="12" customWidth="1"/>
    <col min="4435" max="4435" width="4.375" style="12" bestFit="1" customWidth="1"/>
    <col min="4436" max="4436" width="4.75" style="12" customWidth="1"/>
    <col min="4437" max="4438" width="4.75" style="12" bestFit="1" customWidth="1"/>
    <col min="4439" max="4469" width="4.75" style="12" customWidth="1"/>
    <col min="4470" max="4470" width="5.875" style="12" customWidth="1"/>
    <col min="4471" max="4471" width="5.125" style="12" bestFit="1" customWidth="1"/>
    <col min="4472" max="4472" width="5.125" style="12" customWidth="1"/>
    <col min="4473" max="4473" width="4.625" style="12" customWidth="1"/>
    <col min="4474" max="4475" width="4.75" style="12" customWidth="1"/>
    <col min="4476" max="4476" width="12.125" style="12" bestFit="1" customWidth="1"/>
    <col min="4477" max="4477" width="4.875" style="12" bestFit="1" customWidth="1"/>
    <col min="4478" max="4479" width="4.25" style="12" customWidth="1"/>
    <col min="4480" max="4686" width="9" style="12"/>
    <col min="4687" max="4687" width="2" style="12" customWidth="1"/>
    <col min="4688" max="4688" width="14.875" style="12" customWidth="1"/>
    <col min="4689" max="4689" width="9" style="12"/>
    <col min="4690" max="4690" width="12" style="12" customWidth="1"/>
    <col min="4691" max="4691" width="4.375" style="12" bestFit="1" customWidth="1"/>
    <col min="4692" max="4692" width="4.75" style="12" customWidth="1"/>
    <col min="4693" max="4694" width="4.75" style="12" bestFit="1" customWidth="1"/>
    <col min="4695" max="4725" width="4.75" style="12" customWidth="1"/>
    <col min="4726" max="4726" width="5.875" style="12" customWidth="1"/>
    <col min="4727" max="4727" width="5.125" style="12" bestFit="1" customWidth="1"/>
    <col min="4728" max="4728" width="5.125" style="12" customWidth="1"/>
    <col min="4729" max="4729" width="4.625" style="12" customWidth="1"/>
    <col min="4730" max="4731" width="4.75" style="12" customWidth="1"/>
    <col min="4732" max="4732" width="12.125" style="12" bestFit="1" customWidth="1"/>
    <col min="4733" max="4733" width="4.875" style="12" bestFit="1" customWidth="1"/>
    <col min="4734" max="4735" width="4.25" style="12" customWidth="1"/>
    <col min="4736" max="4942" width="9" style="12"/>
    <col min="4943" max="4943" width="2" style="12" customWidth="1"/>
    <col min="4944" max="4944" width="14.875" style="12" customWidth="1"/>
    <col min="4945" max="4945" width="9" style="12"/>
    <col min="4946" max="4946" width="12" style="12" customWidth="1"/>
    <col min="4947" max="4947" width="4.375" style="12" bestFit="1" customWidth="1"/>
    <col min="4948" max="4948" width="4.75" style="12" customWidth="1"/>
    <col min="4949" max="4950" width="4.75" style="12" bestFit="1" customWidth="1"/>
    <col min="4951" max="4981" width="4.75" style="12" customWidth="1"/>
    <col min="4982" max="4982" width="5.875" style="12" customWidth="1"/>
    <col min="4983" max="4983" width="5.125" style="12" bestFit="1" customWidth="1"/>
    <col min="4984" max="4984" width="5.125" style="12" customWidth="1"/>
    <col min="4985" max="4985" width="4.625" style="12" customWidth="1"/>
    <col min="4986" max="4987" width="4.75" style="12" customWidth="1"/>
    <col min="4988" max="4988" width="12.125" style="12" bestFit="1" customWidth="1"/>
    <col min="4989" max="4989" width="4.875" style="12" bestFit="1" customWidth="1"/>
    <col min="4990" max="4991" width="4.25" style="12" customWidth="1"/>
    <col min="4992" max="5198" width="9" style="12"/>
    <col min="5199" max="5199" width="2" style="12" customWidth="1"/>
    <col min="5200" max="5200" width="14.875" style="12" customWidth="1"/>
    <col min="5201" max="5201" width="9" style="12"/>
    <col min="5202" max="5202" width="12" style="12" customWidth="1"/>
    <col min="5203" max="5203" width="4.375" style="12" bestFit="1" customWidth="1"/>
    <col min="5204" max="5204" width="4.75" style="12" customWidth="1"/>
    <col min="5205" max="5206" width="4.75" style="12" bestFit="1" customWidth="1"/>
    <col min="5207" max="5237" width="4.75" style="12" customWidth="1"/>
    <col min="5238" max="5238" width="5.875" style="12" customWidth="1"/>
    <col min="5239" max="5239" width="5.125" style="12" bestFit="1" customWidth="1"/>
    <col min="5240" max="5240" width="5.125" style="12" customWidth="1"/>
    <col min="5241" max="5241" width="4.625" style="12" customWidth="1"/>
    <col min="5242" max="5243" width="4.75" style="12" customWidth="1"/>
    <col min="5244" max="5244" width="12.125" style="12" bestFit="1" customWidth="1"/>
    <col min="5245" max="5245" width="4.875" style="12" bestFit="1" customWidth="1"/>
    <col min="5246" max="5247" width="4.25" style="12" customWidth="1"/>
    <col min="5248" max="5454" width="9" style="12"/>
    <col min="5455" max="5455" width="2" style="12" customWidth="1"/>
    <col min="5456" max="5456" width="14.875" style="12" customWidth="1"/>
    <col min="5457" max="5457" width="9" style="12"/>
    <col min="5458" max="5458" width="12" style="12" customWidth="1"/>
    <col min="5459" max="5459" width="4.375" style="12" bestFit="1" customWidth="1"/>
    <col min="5460" max="5460" width="4.75" style="12" customWidth="1"/>
    <col min="5461" max="5462" width="4.75" style="12" bestFit="1" customWidth="1"/>
    <col min="5463" max="5493" width="4.75" style="12" customWidth="1"/>
    <col min="5494" max="5494" width="5.875" style="12" customWidth="1"/>
    <col min="5495" max="5495" width="5.125" style="12" bestFit="1" customWidth="1"/>
    <col min="5496" max="5496" width="5.125" style="12" customWidth="1"/>
    <col min="5497" max="5497" width="4.625" style="12" customWidth="1"/>
    <col min="5498" max="5499" width="4.75" style="12" customWidth="1"/>
    <col min="5500" max="5500" width="12.125" style="12" bestFit="1" customWidth="1"/>
    <col min="5501" max="5501" width="4.875" style="12" bestFit="1" customWidth="1"/>
    <col min="5502" max="5503" width="4.25" style="12" customWidth="1"/>
    <col min="5504" max="5710" width="9" style="12"/>
    <col min="5711" max="5711" width="2" style="12" customWidth="1"/>
    <col min="5712" max="5712" width="14.875" style="12" customWidth="1"/>
    <col min="5713" max="5713" width="9" style="12"/>
    <col min="5714" max="5714" width="12" style="12" customWidth="1"/>
    <col min="5715" max="5715" width="4.375" style="12" bestFit="1" customWidth="1"/>
    <col min="5716" max="5716" width="4.75" style="12" customWidth="1"/>
    <col min="5717" max="5718" width="4.75" style="12" bestFit="1" customWidth="1"/>
    <col min="5719" max="5749" width="4.75" style="12" customWidth="1"/>
    <col min="5750" max="5750" width="5.875" style="12" customWidth="1"/>
    <col min="5751" max="5751" width="5.125" style="12" bestFit="1" customWidth="1"/>
    <col min="5752" max="5752" width="5.125" style="12" customWidth="1"/>
    <col min="5753" max="5753" width="4.625" style="12" customWidth="1"/>
    <col min="5754" max="5755" width="4.75" style="12" customWidth="1"/>
    <col min="5756" max="5756" width="12.125" style="12" bestFit="1" customWidth="1"/>
    <col min="5757" max="5757" width="4.875" style="12" bestFit="1" customWidth="1"/>
    <col min="5758" max="5759" width="4.25" style="12" customWidth="1"/>
    <col min="5760" max="5966" width="9" style="12"/>
    <col min="5967" max="5967" width="2" style="12" customWidth="1"/>
    <col min="5968" max="5968" width="14.875" style="12" customWidth="1"/>
    <col min="5969" max="5969" width="9" style="12"/>
    <col min="5970" max="5970" width="12" style="12" customWidth="1"/>
    <col min="5971" max="5971" width="4.375" style="12" bestFit="1" customWidth="1"/>
    <col min="5972" max="5972" width="4.75" style="12" customWidth="1"/>
    <col min="5973" max="5974" width="4.75" style="12" bestFit="1" customWidth="1"/>
    <col min="5975" max="6005" width="4.75" style="12" customWidth="1"/>
    <col min="6006" max="6006" width="5.875" style="12" customWidth="1"/>
    <col min="6007" max="6007" width="5.125" style="12" bestFit="1" customWidth="1"/>
    <col min="6008" max="6008" width="5.125" style="12" customWidth="1"/>
    <col min="6009" max="6009" width="4.625" style="12" customWidth="1"/>
    <col min="6010" max="6011" width="4.75" style="12" customWidth="1"/>
    <col min="6012" max="6012" width="12.125" style="12" bestFit="1" customWidth="1"/>
    <col min="6013" max="6013" width="4.875" style="12" bestFit="1" customWidth="1"/>
    <col min="6014" max="6015" width="4.25" style="12" customWidth="1"/>
    <col min="6016" max="6222" width="9" style="12"/>
    <col min="6223" max="6223" width="2" style="12" customWidth="1"/>
    <col min="6224" max="6224" width="14.875" style="12" customWidth="1"/>
    <col min="6225" max="6225" width="9" style="12"/>
    <col min="6226" max="6226" width="12" style="12" customWidth="1"/>
    <col min="6227" max="6227" width="4.375" style="12" bestFit="1" customWidth="1"/>
    <col min="6228" max="6228" width="4.75" style="12" customWidth="1"/>
    <col min="6229" max="6230" width="4.75" style="12" bestFit="1" customWidth="1"/>
    <col min="6231" max="6261" width="4.75" style="12" customWidth="1"/>
    <col min="6262" max="6262" width="5.875" style="12" customWidth="1"/>
    <col min="6263" max="6263" width="5.125" style="12" bestFit="1" customWidth="1"/>
    <col min="6264" max="6264" width="5.125" style="12" customWidth="1"/>
    <col min="6265" max="6265" width="4.625" style="12" customWidth="1"/>
    <col min="6266" max="6267" width="4.75" style="12" customWidth="1"/>
    <col min="6268" max="6268" width="12.125" style="12" bestFit="1" customWidth="1"/>
    <col min="6269" max="6269" width="4.875" style="12" bestFit="1" customWidth="1"/>
    <col min="6270" max="6271" width="4.25" style="12" customWidth="1"/>
    <col min="6272" max="6478" width="9" style="12"/>
    <col min="6479" max="6479" width="2" style="12" customWidth="1"/>
    <col min="6480" max="6480" width="14.875" style="12" customWidth="1"/>
    <col min="6481" max="6481" width="9" style="12"/>
    <col min="6482" max="6482" width="12" style="12" customWidth="1"/>
    <col min="6483" max="6483" width="4.375" style="12" bestFit="1" customWidth="1"/>
    <col min="6484" max="6484" width="4.75" style="12" customWidth="1"/>
    <col min="6485" max="6486" width="4.75" style="12" bestFit="1" customWidth="1"/>
    <col min="6487" max="6517" width="4.75" style="12" customWidth="1"/>
    <col min="6518" max="6518" width="5.875" style="12" customWidth="1"/>
    <col min="6519" max="6519" width="5.125" style="12" bestFit="1" customWidth="1"/>
    <col min="6520" max="6520" width="5.125" style="12" customWidth="1"/>
    <col min="6521" max="6521" width="4.625" style="12" customWidth="1"/>
    <col min="6522" max="6523" width="4.75" style="12" customWidth="1"/>
    <col min="6524" max="6524" width="12.125" style="12" bestFit="1" customWidth="1"/>
    <col min="6525" max="6525" width="4.875" style="12" bestFit="1" customWidth="1"/>
    <col min="6526" max="6527" width="4.25" style="12" customWidth="1"/>
    <col min="6528" max="6734" width="9" style="12"/>
    <col min="6735" max="6735" width="2" style="12" customWidth="1"/>
    <col min="6736" max="6736" width="14.875" style="12" customWidth="1"/>
    <col min="6737" max="6737" width="9" style="12"/>
    <col min="6738" max="6738" width="12" style="12" customWidth="1"/>
    <col min="6739" max="6739" width="4.375" style="12" bestFit="1" customWidth="1"/>
    <col min="6740" max="6740" width="4.75" style="12" customWidth="1"/>
    <col min="6741" max="6742" width="4.75" style="12" bestFit="1" customWidth="1"/>
    <col min="6743" max="6773" width="4.75" style="12" customWidth="1"/>
    <col min="6774" max="6774" width="5.875" style="12" customWidth="1"/>
    <col min="6775" max="6775" width="5.125" style="12" bestFit="1" customWidth="1"/>
    <col min="6776" max="6776" width="5.125" style="12" customWidth="1"/>
    <col min="6777" max="6777" width="4.625" style="12" customWidth="1"/>
    <col min="6778" max="6779" width="4.75" style="12" customWidth="1"/>
    <col min="6780" max="6780" width="12.125" style="12" bestFit="1" customWidth="1"/>
    <col min="6781" max="6781" width="4.875" style="12" bestFit="1" customWidth="1"/>
    <col min="6782" max="6783" width="4.25" style="12" customWidth="1"/>
    <col min="6784" max="6990" width="9" style="12"/>
    <col min="6991" max="6991" width="2" style="12" customWidth="1"/>
    <col min="6992" max="6992" width="14.875" style="12" customWidth="1"/>
    <col min="6993" max="6993" width="9" style="12"/>
    <col min="6994" max="6994" width="12" style="12" customWidth="1"/>
    <col min="6995" max="6995" width="4.375" style="12" bestFit="1" customWidth="1"/>
    <col min="6996" max="6996" width="4.75" style="12" customWidth="1"/>
    <col min="6997" max="6998" width="4.75" style="12" bestFit="1" customWidth="1"/>
    <col min="6999" max="7029" width="4.75" style="12" customWidth="1"/>
    <col min="7030" max="7030" width="5.875" style="12" customWidth="1"/>
    <col min="7031" max="7031" width="5.125" style="12" bestFit="1" customWidth="1"/>
    <col min="7032" max="7032" width="5.125" style="12" customWidth="1"/>
    <col min="7033" max="7033" width="4.625" style="12" customWidth="1"/>
    <col min="7034" max="7035" width="4.75" style="12" customWidth="1"/>
    <col min="7036" max="7036" width="12.125" style="12" bestFit="1" customWidth="1"/>
    <col min="7037" max="7037" width="4.875" style="12" bestFit="1" customWidth="1"/>
    <col min="7038" max="7039" width="4.25" style="12" customWidth="1"/>
    <col min="7040" max="7246" width="9" style="12"/>
    <col min="7247" max="7247" width="2" style="12" customWidth="1"/>
    <col min="7248" max="7248" width="14.875" style="12" customWidth="1"/>
    <col min="7249" max="7249" width="9" style="12"/>
    <col min="7250" max="7250" width="12" style="12" customWidth="1"/>
    <col min="7251" max="7251" width="4.375" style="12" bestFit="1" customWidth="1"/>
    <col min="7252" max="7252" width="4.75" style="12" customWidth="1"/>
    <col min="7253" max="7254" width="4.75" style="12" bestFit="1" customWidth="1"/>
    <col min="7255" max="7285" width="4.75" style="12" customWidth="1"/>
    <col min="7286" max="7286" width="5.875" style="12" customWidth="1"/>
    <col min="7287" max="7287" width="5.125" style="12" bestFit="1" customWidth="1"/>
    <col min="7288" max="7288" width="5.125" style="12" customWidth="1"/>
    <col min="7289" max="7289" width="4.625" style="12" customWidth="1"/>
    <col min="7290" max="7291" width="4.75" style="12" customWidth="1"/>
    <col min="7292" max="7292" width="12.125" style="12" bestFit="1" customWidth="1"/>
    <col min="7293" max="7293" width="4.875" style="12" bestFit="1" customWidth="1"/>
    <col min="7294" max="7295" width="4.25" style="12" customWidth="1"/>
    <col min="7296" max="7502" width="9" style="12"/>
    <col min="7503" max="7503" width="2" style="12" customWidth="1"/>
    <col min="7504" max="7504" width="14.875" style="12" customWidth="1"/>
    <col min="7505" max="7505" width="9" style="12"/>
    <col min="7506" max="7506" width="12" style="12" customWidth="1"/>
    <col min="7507" max="7507" width="4.375" style="12" bestFit="1" customWidth="1"/>
    <col min="7508" max="7508" width="4.75" style="12" customWidth="1"/>
    <col min="7509" max="7510" width="4.75" style="12" bestFit="1" customWidth="1"/>
    <col min="7511" max="7541" width="4.75" style="12" customWidth="1"/>
    <col min="7542" max="7542" width="5.875" style="12" customWidth="1"/>
    <col min="7543" max="7543" width="5.125" style="12" bestFit="1" customWidth="1"/>
    <col min="7544" max="7544" width="5.125" style="12" customWidth="1"/>
    <col min="7545" max="7545" width="4.625" style="12" customWidth="1"/>
    <col min="7546" max="7547" width="4.75" style="12" customWidth="1"/>
    <col min="7548" max="7548" width="12.125" style="12" bestFit="1" customWidth="1"/>
    <col min="7549" max="7549" width="4.875" style="12" bestFit="1" customWidth="1"/>
    <col min="7550" max="7551" width="4.25" style="12" customWidth="1"/>
    <col min="7552" max="7758" width="9" style="12"/>
    <col min="7759" max="7759" width="2" style="12" customWidth="1"/>
    <col min="7760" max="7760" width="14.875" style="12" customWidth="1"/>
    <col min="7761" max="7761" width="9" style="12"/>
    <col min="7762" max="7762" width="12" style="12" customWidth="1"/>
    <col min="7763" max="7763" width="4.375" style="12" bestFit="1" customWidth="1"/>
    <col min="7764" max="7764" width="4.75" style="12" customWidth="1"/>
    <col min="7765" max="7766" width="4.75" style="12" bestFit="1" customWidth="1"/>
    <col min="7767" max="7797" width="4.75" style="12" customWidth="1"/>
    <col min="7798" max="7798" width="5.875" style="12" customWidth="1"/>
    <col min="7799" max="7799" width="5.125" style="12" bestFit="1" customWidth="1"/>
    <col min="7800" max="7800" width="5.125" style="12" customWidth="1"/>
    <col min="7801" max="7801" width="4.625" style="12" customWidth="1"/>
    <col min="7802" max="7803" width="4.75" style="12" customWidth="1"/>
    <col min="7804" max="7804" width="12.125" style="12" bestFit="1" customWidth="1"/>
    <col min="7805" max="7805" width="4.875" style="12" bestFit="1" customWidth="1"/>
    <col min="7806" max="7807" width="4.25" style="12" customWidth="1"/>
    <col min="7808" max="8014" width="9" style="12"/>
    <col min="8015" max="8015" width="2" style="12" customWidth="1"/>
    <col min="8016" max="8016" width="14.875" style="12" customWidth="1"/>
    <col min="8017" max="8017" width="9" style="12"/>
    <col min="8018" max="8018" width="12" style="12" customWidth="1"/>
    <col min="8019" max="8019" width="4.375" style="12" bestFit="1" customWidth="1"/>
    <col min="8020" max="8020" width="4.75" style="12" customWidth="1"/>
    <col min="8021" max="8022" width="4.75" style="12" bestFit="1" customWidth="1"/>
    <col min="8023" max="8053" width="4.75" style="12" customWidth="1"/>
    <col min="8054" max="8054" width="5.875" style="12" customWidth="1"/>
    <col min="8055" max="8055" width="5.125" style="12" bestFit="1" customWidth="1"/>
    <col min="8056" max="8056" width="5.125" style="12" customWidth="1"/>
    <col min="8057" max="8057" width="4.625" style="12" customWidth="1"/>
    <col min="8058" max="8059" width="4.75" style="12" customWidth="1"/>
    <col min="8060" max="8060" width="12.125" style="12" bestFit="1" customWidth="1"/>
    <col min="8061" max="8061" width="4.875" style="12" bestFit="1" customWidth="1"/>
    <col min="8062" max="8063" width="4.25" style="12" customWidth="1"/>
    <col min="8064" max="8270" width="9" style="12"/>
    <col min="8271" max="8271" width="2" style="12" customWidth="1"/>
    <col min="8272" max="8272" width="14.875" style="12" customWidth="1"/>
    <col min="8273" max="8273" width="9" style="12"/>
    <col min="8274" max="8274" width="12" style="12" customWidth="1"/>
    <col min="8275" max="8275" width="4.375" style="12" bestFit="1" customWidth="1"/>
    <col min="8276" max="8276" width="4.75" style="12" customWidth="1"/>
    <col min="8277" max="8278" width="4.75" style="12" bestFit="1" customWidth="1"/>
    <col min="8279" max="8309" width="4.75" style="12" customWidth="1"/>
    <col min="8310" max="8310" width="5.875" style="12" customWidth="1"/>
    <col min="8311" max="8311" width="5.125" style="12" bestFit="1" customWidth="1"/>
    <col min="8312" max="8312" width="5.125" style="12" customWidth="1"/>
    <col min="8313" max="8313" width="4.625" style="12" customWidth="1"/>
    <col min="8314" max="8315" width="4.75" style="12" customWidth="1"/>
    <col min="8316" max="8316" width="12.125" style="12" bestFit="1" customWidth="1"/>
    <col min="8317" max="8317" width="4.875" style="12" bestFit="1" customWidth="1"/>
    <col min="8318" max="8319" width="4.25" style="12" customWidth="1"/>
    <col min="8320" max="8526" width="9" style="12"/>
    <col min="8527" max="8527" width="2" style="12" customWidth="1"/>
    <col min="8528" max="8528" width="14.875" style="12" customWidth="1"/>
    <col min="8529" max="8529" width="9" style="12"/>
    <col min="8530" max="8530" width="12" style="12" customWidth="1"/>
    <col min="8531" max="8531" width="4.375" style="12" bestFit="1" customWidth="1"/>
    <col min="8532" max="8532" width="4.75" style="12" customWidth="1"/>
    <col min="8533" max="8534" width="4.75" style="12" bestFit="1" customWidth="1"/>
    <col min="8535" max="8565" width="4.75" style="12" customWidth="1"/>
    <col min="8566" max="8566" width="5.875" style="12" customWidth="1"/>
    <col min="8567" max="8567" width="5.125" style="12" bestFit="1" customWidth="1"/>
    <col min="8568" max="8568" width="5.125" style="12" customWidth="1"/>
    <col min="8569" max="8569" width="4.625" style="12" customWidth="1"/>
    <col min="8570" max="8571" width="4.75" style="12" customWidth="1"/>
    <col min="8572" max="8572" width="12.125" style="12" bestFit="1" customWidth="1"/>
    <col min="8573" max="8573" width="4.875" style="12" bestFit="1" customWidth="1"/>
    <col min="8574" max="8575" width="4.25" style="12" customWidth="1"/>
    <col min="8576" max="8782" width="9" style="12"/>
    <col min="8783" max="8783" width="2" style="12" customWidth="1"/>
    <col min="8784" max="8784" width="14.875" style="12" customWidth="1"/>
    <col min="8785" max="8785" width="9" style="12"/>
    <col min="8786" max="8786" width="12" style="12" customWidth="1"/>
    <col min="8787" max="8787" width="4.375" style="12" bestFit="1" customWidth="1"/>
    <col min="8788" max="8788" width="4.75" style="12" customWidth="1"/>
    <col min="8789" max="8790" width="4.75" style="12" bestFit="1" customWidth="1"/>
    <col min="8791" max="8821" width="4.75" style="12" customWidth="1"/>
    <col min="8822" max="8822" width="5.875" style="12" customWidth="1"/>
    <col min="8823" max="8823" width="5.125" style="12" bestFit="1" customWidth="1"/>
    <col min="8824" max="8824" width="5.125" style="12" customWidth="1"/>
    <col min="8825" max="8825" width="4.625" style="12" customWidth="1"/>
    <col min="8826" max="8827" width="4.75" style="12" customWidth="1"/>
    <col min="8828" max="8828" width="12.125" style="12" bestFit="1" customWidth="1"/>
    <col min="8829" max="8829" width="4.875" style="12" bestFit="1" customWidth="1"/>
    <col min="8830" max="8831" width="4.25" style="12" customWidth="1"/>
    <col min="8832" max="9038" width="9" style="12"/>
    <col min="9039" max="9039" width="2" style="12" customWidth="1"/>
    <col min="9040" max="9040" width="14.875" style="12" customWidth="1"/>
    <col min="9041" max="9041" width="9" style="12"/>
    <col min="9042" max="9042" width="12" style="12" customWidth="1"/>
    <col min="9043" max="9043" width="4.375" style="12" bestFit="1" customWidth="1"/>
    <col min="9044" max="9044" width="4.75" style="12" customWidth="1"/>
    <col min="9045" max="9046" width="4.75" style="12" bestFit="1" customWidth="1"/>
    <col min="9047" max="9077" width="4.75" style="12" customWidth="1"/>
    <col min="9078" max="9078" width="5.875" style="12" customWidth="1"/>
    <col min="9079" max="9079" width="5.125" style="12" bestFit="1" customWidth="1"/>
    <col min="9080" max="9080" width="5.125" style="12" customWidth="1"/>
    <col min="9081" max="9081" width="4.625" style="12" customWidth="1"/>
    <col min="9082" max="9083" width="4.75" style="12" customWidth="1"/>
    <col min="9084" max="9084" width="12.125" style="12" bestFit="1" customWidth="1"/>
    <col min="9085" max="9085" width="4.875" style="12" bestFit="1" customWidth="1"/>
    <col min="9086" max="9087" width="4.25" style="12" customWidth="1"/>
    <col min="9088" max="9294" width="9" style="12"/>
    <col min="9295" max="9295" width="2" style="12" customWidth="1"/>
    <col min="9296" max="9296" width="14.875" style="12" customWidth="1"/>
    <col min="9297" max="9297" width="9" style="12"/>
    <col min="9298" max="9298" width="12" style="12" customWidth="1"/>
    <col min="9299" max="9299" width="4.375" style="12" bestFit="1" customWidth="1"/>
    <col min="9300" max="9300" width="4.75" style="12" customWidth="1"/>
    <col min="9301" max="9302" width="4.75" style="12" bestFit="1" customWidth="1"/>
    <col min="9303" max="9333" width="4.75" style="12" customWidth="1"/>
    <col min="9334" max="9334" width="5.875" style="12" customWidth="1"/>
    <col min="9335" max="9335" width="5.125" style="12" bestFit="1" customWidth="1"/>
    <col min="9336" max="9336" width="5.125" style="12" customWidth="1"/>
    <col min="9337" max="9337" width="4.625" style="12" customWidth="1"/>
    <col min="9338" max="9339" width="4.75" style="12" customWidth="1"/>
    <col min="9340" max="9340" width="12.125" style="12" bestFit="1" customWidth="1"/>
    <col min="9341" max="9341" width="4.875" style="12" bestFit="1" customWidth="1"/>
    <col min="9342" max="9343" width="4.25" style="12" customWidth="1"/>
    <col min="9344" max="9550" width="9" style="12"/>
    <col min="9551" max="9551" width="2" style="12" customWidth="1"/>
    <col min="9552" max="9552" width="14.875" style="12" customWidth="1"/>
    <col min="9553" max="9553" width="9" style="12"/>
    <col min="9554" max="9554" width="12" style="12" customWidth="1"/>
    <col min="9555" max="9555" width="4.375" style="12" bestFit="1" customWidth="1"/>
    <col min="9556" max="9556" width="4.75" style="12" customWidth="1"/>
    <col min="9557" max="9558" width="4.75" style="12" bestFit="1" customWidth="1"/>
    <col min="9559" max="9589" width="4.75" style="12" customWidth="1"/>
    <col min="9590" max="9590" width="5.875" style="12" customWidth="1"/>
    <col min="9591" max="9591" width="5.125" style="12" bestFit="1" customWidth="1"/>
    <col min="9592" max="9592" width="5.125" style="12" customWidth="1"/>
    <col min="9593" max="9593" width="4.625" style="12" customWidth="1"/>
    <col min="9594" max="9595" width="4.75" style="12" customWidth="1"/>
    <col min="9596" max="9596" width="12.125" style="12" bestFit="1" customWidth="1"/>
    <col min="9597" max="9597" width="4.875" style="12" bestFit="1" customWidth="1"/>
    <col min="9598" max="9599" width="4.25" style="12" customWidth="1"/>
    <col min="9600" max="9806" width="9" style="12"/>
    <col min="9807" max="9807" width="2" style="12" customWidth="1"/>
    <col min="9808" max="9808" width="14.875" style="12" customWidth="1"/>
    <col min="9809" max="9809" width="9" style="12"/>
    <col min="9810" max="9810" width="12" style="12" customWidth="1"/>
    <col min="9811" max="9811" width="4.375" style="12" bestFit="1" customWidth="1"/>
    <col min="9812" max="9812" width="4.75" style="12" customWidth="1"/>
    <col min="9813" max="9814" width="4.75" style="12" bestFit="1" customWidth="1"/>
    <col min="9815" max="9845" width="4.75" style="12" customWidth="1"/>
    <col min="9846" max="9846" width="5.875" style="12" customWidth="1"/>
    <col min="9847" max="9847" width="5.125" style="12" bestFit="1" customWidth="1"/>
    <col min="9848" max="9848" width="5.125" style="12" customWidth="1"/>
    <col min="9849" max="9849" width="4.625" style="12" customWidth="1"/>
    <col min="9850" max="9851" width="4.75" style="12" customWidth="1"/>
    <col min="9852" max="9852" width="12.125" style="12" bestFit="1" customWidth="1"/>
    <col min="9853" max="9853" width="4.875" style="12" bestFit="1" customWidth="1"/>
    <col min="9854" max="9855" width="4.25" style="12" customWidth="1"/>
    <col min="9856" max="10062" width="9" style="12"/>
    <col min="10063" max="10063" width="2" style="12" customWidth="1"/>
    <col min="10064" max="10064" width="14.875" style="12" customWidth="1"/>
    <col min="10065" max="10065" width="9" style="12"/>
    <col min="10066" max="10066" width="12" style="12" customWidth="1"/>
    <col min="10067" max="10067" width="4.375" style="12" bestFit="1" customWidth="1"/>
    <col min="10068" max="10068" width="4.75" style="12" customWidth="1"/>
    <col min="10069" max="10070" width="4.75" style="12" bestFit="1" customWidth="1"/>
    <col min="10071" max="10101" width="4.75" style="12" customWidth="1"/>
    <col min="10102" max="10102" width="5.875" style="12" customWidth="1"/>
    <col min="10103" max="10103" width="5.125" style="12" bestFit="1" customWidth="1"/>
    <col min="10104" max="10104" width="5.125" style="12" customWidth="1"/>
    <col min="10105" max="10105" width="4.625" style="12" customWidth="1"/>
    <col min="10106" max="10107" width="4.75" style="12" customWidth="1"/>
    <col min="10108" max="10108" width="12.125" style="12" bestFit="1" customWidth="1"/>
    <col min="10109" max="10109" width="4.875" style="12" bestFit="1" customWidth="1"/>
    <col min="10110" max="10111" width="4.25" style="12" customWidth="1"/>
    <col min="10112" max="10318" width="9" style="12"/>
    <col min="10319" max="10319" width="2" style="12" customWidth="1"/>
    <col min="10320" max="10320" width="14.875" style="12" customWidth="1"/>
    <col min="10321" max="10321" width="9" style="12"/>
    <col min="10322" max="10322" width="12" style="12" customWidth="1"/>
    <col min="10323" max="10323" width="4.375" style="12" bestFit="1" customWidth="1"/>
    <col min="10324" max="10324" width="4.75" style="12" customWidth="1"/>
    <col min="10325" max="10326" width="4.75" style="12" bestFit="1" customWidth="1"/>
    <col min="10327" max="10357" width="4.75" style="12" customWidth="1"/>
    <col min="10358" max="10358" width="5.875" style="12" customWidth="1"/>
    <col min="10359" max="10359" width="5.125" style="12" bestFit="1" customWidth="1"/>
    <col min="10360" max="10360" width="5.125" style="12" customWidth="1"/>
    <col min="10361" max="10361" width="4.625" style="12" customWidth="1"/>
    <col min="10362" max="10363" width="4.75" style="12" customWidth="1"/>
    <col min="10364" max="10364" width="12.125" style="12" bestFit="1" customWidth="1"/>
    <col min="10365" max="10365" width="4.875" style="12" bestFit="1" customWidth="1"/>
    <col min="10366" max="10367" width="4.25" style="12" customWidth="1"/>
    <col min="10368" max="10574" width="9" style="12"/>
    <col min="10575" max="10575" width="2" style="12" customWidth="1"/>
    <col min="10576" max="10576" width="14.875" style="12" customWidth="1"/>
    <col min="10577" max="10577" width="9" style="12"/>
    <col min="10578" max="10578" width="12" style="12" customWidth="1"/>
    <col min="10579" max="10579" width="4.375" style="12" bestFit="1" customWidth="1"/>
    <col min="10580" max="10580" width="4.75" style="12" customWidth="1"/>
    <col min="10581" max="10582" width="4.75" style="12" bestFit="1" customWidth="1"/>
    <col min="10583" max="10613" width="4.75" style="12" customWidth="1"/>
    <col min="10614" max="10614" width="5.875" style="12" customWidth="1"/>
    <col min="10615" max="10615" width="5.125" style="12" bestFit="1" customWidth="1"/>
    <col min="10616" max="10616" width="5.125" style="12" customWidth="1"/>
    <col min="10617" max="10617" width="4.625" style="12" customWidth="1"/>
    <col min="10618" max="10619" width="4.75" style="12" customWidth="1"/>
    <col min="10620" max="10620" width="12.125" style="12" bestFit="1" customWidth="1"/>
    <col min="10621" max="10621" width="4.875" style="12" bestFit="1" customWidth="1"/>
    <col min="10622" max="10623" width="4.25" style="12" customWidth="1"/>
    <col min="10624" max="10830" width="9" style="12"/>
    <col min="10831" max="10831" width="2" style="12" customWidth="1"/>
    <col min="10832" max="10832" width="14.875" style="12" customWidth="1"/>
    <col min="10833" max="10833" width="9" style="12"/>
    <col min="10834" max="10834" width="12" style="12" customWidth="1"/>
    <col min="10835" max="10835" width="4.375" style="12" bestFit="1" customWidth="1"/>
    <col min="10836" max="10836" width="4.75" style="12" customWidth="1"/>
    <col min="10837" max="10838" width="4.75" style="12" bestFit="1" customWidth="1"/>
    <col min="10839" max="10869" width="4.75" style="12" customWidth="1"/>
    <col min="10870" max="10870" width="5.875" style="12" customWidth="1"/>
    <col min="10871" max="10871" width="5.125" style="12" bestFit="1" customWidth="1"/>
    <col min="10872" max="10872" width="5.125" style="12" customWidth="1"/>
    <col min="10873" max="10873" width="4.625" style="12" customWidth="1"/>
    <col min="10874" max="10875" width="4.75" style="12" customWidth="1"/>
    <col min="10876" max="10876" width="12.125" style="12" bestFit="1" customWidth="1"/>
    <col min="10877" max="10877" width="4.875" style="12" bestFit="1" customWidth="1"/>
    <col min="10878" max="10879" width="4.25" style="12" customWidth="1"/>
    <col min="10880" max="11086" width="9" style="12"/>
    <col min="11087" max="11087" width="2" style="12" customWidth="1"/>
    <col min="11088" max="11088" width="14.875" style="12" customWidth="1"/>
    <col min="11089" max="11089" width="9" style="12"/>
    <col min="11090" max="11090" width="12" style="12" customWidth="1"/>
    <col min="11091" max="11091" width="4.375" style="12" bestFit="1" customWidth="1"/>
    <col min="11092" max="11092" width="4.75" style="12" customWidth="1"/>
    <col min="11093" max="11094" width="4.75" style="12" bestFit="1" customWidth="1"/>
    <col min="11095" max="11125" width="4.75" style="12" customWidth="1"/>
    <col min="11126" max="11126" width="5.875" style="12" customWidth="1"/>
    <col min="11127" max="11127" width="5.125" style="12" bestFit="1" customWidth="1"/>
    <col min="11128" max="11128" width="5.125" style="12" customWidth="1"/>
    <col min="11129" max="11129" width="4.625" style="12" customWidth="1"/>
    <col min="11130" max="11131" width="4.75" style="12" customWidth="1"/>
    <col min="11132" max="11132" width="12.125" style="12" bestFit="1" customWidth="1"/>
    <col min="11133" max="11133" width="4.875" style="12" bestFit="1" customWidth="1"/>
    <col min="11134" max="11135" width="4.25" style="12" customWidth="1"/>
    <col min="11136" max="11342" width="9" style="12"/>
    <col min="11343" max="11343" width="2" style="12" customWidth="1"/>
    <col min="11344" max="11344" width="14.875" style="12" customWidth="1"/>
    <col min="11345" max="11345" width="9" style="12"/>
    <col min="11346" max="11346" width="12" style="12" customWidth="1"/>
    <col min="11347" max="11347" width="4.375" style="12" bestFit="1" customWidth="1"/>
    <col min="11348" max="11348" width="4.75" style="12" customWidth="1"/>
    <col min="11349" max="11350" width="4.75" style="12" bestFit="1" customWidth="1"/>
    <col min="11351" max="11381" width="4.75" style="12" customWidth="1"/>
    <col min="11382" max="11382" width="5.875" style="12" customWidth="1"/>
    <col min="11383" max="11383" width="5.125" style="12" bestFit="1" customWidth="1"/>
    <col min="11384" max="11384" width="5.125" style="12" customWidth="1"/>
    <col min="11385" max="11385" width="4.625" style="12" customWidth="1"/>
    <col min="11386" max="11387" width="4.75" style="12" customWidth="1"/>
    <col min="11388" max="11388" width="12.125" style="12" bestFit="1" customWidth="1"/>
    <col min="11389" max="11389" width="4.875" style="12" bestFit="1" customWidth="1"/>
    <col min="11390" max="11391" width="4.25" style="12" customWidth="1"/>
    <col min="11392" max="11598" width="9" style="12"/>
    <col min="11599" max="11599" width="2" style="12" customWidth="1"/>
    <col min="11600" max="11600" width="14.875" style="12" customWidth="1"/>
    <col min="11601" max="11601" width="9" style="12"/>
    <col min="11602" max="11602" width="12" style="12" customWidth="1"/>
    <col min="11603" max="11603" width="4.375" style="12" bestFit="1" customWidth="1"/>
    <col min="11604" max="11604" width="4.75" style="12" customWidth="1"/>
    <col min="11605" max="11606" width="4.75" style="12" bestFit="1" customWidth="1"/>
    <col min="11607" max="11637" width="4.75" style="12" customWidth="1"/>
    <col min="11638" max="11638" width="5.875" style="12" customWidth="1"/>
    <col min="11639" max="11639" width="5.125" style="12" bestFit="1" customWidth="1"/>
    <col min="11640" max="11640" width="5.125" style="12" customWidth="1"/>
    <col min="11641" max="11641" width="4.625" style="12" customWidth="1"/>
    <col min="11642" max="11643" width="4.75" style="12" customWidth="1"/>
    <col min="11644" max="11644" width="12.125" style="12" bestFit="1" customWidth="1"/>
    <col min="11645" max="11645" width="4.875" style="12" bestFit="1" customWidth="1"/>
    <col min="11646" max="11647" width="4.25" style="12" customWidth="1"/>
    <col min="11648" max="11854" width="9" style="12"/>
    <col min="11855" max="11855" width="2" style="12" customWidth="1"/>
    <col min="11856" max="11856" width="14.875" style="12" customWidth="1"/>
    <col min="11857" max="11857" width="9" style="12"/>
    <col min="11858" max="11858" width="12" style="12" customWidth="1"/>
    <col min="11859" max="11859" width="4.375" style="12" bestFit="1" customWidth="1"/>
    <col min="11860" max="11860" width="4.75" style="12" customWidth="1"/>
    <col min="11861" max="11862" width="4.75" style="12" bestFit="1" customWidth="1"/>
    <col min="11863" max="11893" width="4.75" style="12" customWidth="1"/>
    <col min="11894" max="11894" width="5.875" style="12" customWidth="1"/>
    <col min="11895" max="11895" width="5.125" style="12" bestFit="1" customWidth="1"/>
    <col min="11896" max="11896" width="5.125" style="12" customWidth="1"/>
    <col min="11897" max="11897" width="4.625" style="12" customWidth="1"/>
    <col min="11898" max="11899" width="4.75" style="12" customWidth="1"/>
    <col min="11900" max="11900" width="12.125" style="12" bestFit="1" customWidth="1"/>
    <col min="11901" max="11901" width="4.875" style="12" bestFit="1" customWidth="1"/>
    <col min="11902" max="11903" width="4.25" style="12" customWidth="1"/>
    <col min="11904" max="12110" width="9" style="12"/>
    <col min="12111" max="12111" width="2" style="12" customWidth="1"/>
    <col min="12112" max="12112" width="14.875" style="12" customWidth="1"/>
    <col min="12113" max="12113" width="9" style="12"/>
    <col min="12114" max="12114" width="12" style="12" customWidth="1"/>
    <col min="12115" max="12115" width="4.375" style="12" bestFit="1" customWidth="1"/>
    <col min="12116" max="12116" width="4.75" style="12" customWidth="1"/>
    <col min="12117" max="12118" width="4.75" style="12" bestFit="1" customWidth="1"/>
    <col min="12119" max="12149" width="4.75" style="12" customWidth="1"/>
    <col min="12150" max="12150" width="5.875" style="12" customWidth="1"/>
    <col min="12151" max="12151" width="5.125" style="12" bestFit="1" customWidth="1"/>
    <col min="12152" max="12152" width="5.125" style="12" customWidth="1"/>
    <col min="12153" max="12153" width="4.625" style="12" customWidth="1"/>
    <col min="12154" max="12155" width="4.75" style="12" customWidth="1"/>
    <col min="12156" max="12156" width="12.125" style="12" bestFit="1" customWidth="1"/>
    <col min="12157" max="12157" width="4.875" style="12" bestFit="1" customWidth="1"/>
    <col min="12158" max="12159" width="4.25" style="12" customWidth="1"/>
    <col min="12160" max="12366" width="9" style="12"/>
    <col min="12367" max="12367" width="2" style="12" customWidth="1"/>
    <col min="12368" max="12368" width="14.875" style="12" customWidth="1"/>
    <col min="12369" max="12369" width="9" style="12"/>
    <col min="12370" max="12370" width="12" style="12" customWidth="1"/>
    <col min="12371" max="12371" width="4.375" style="12" bestFit="1" customWidth="1"/>
    <col min="12372" max="12372" width="4.75" style="12" customWidth="1"/>
    <col min="12373" max="12374" width="4.75" style="12" bestFit="1" customWidth="1"/>
    <col min="12375" max="12405" width="4.75" style="12" customWidth="1"/>
    <col min="12406" max="12406" width="5.875" style="12" customWidth="1"/>
    <col min="12407" max="12407" width="5.125" style="12" bestFit="1" customWidth="1"/>
    <col min="12408" max="12408" width="5.125" style="12" customWidth="1"/>
    <col min="12409" max="12409" width="4.625" style="12" customWidth="1"/>
    <col min="12410" max="12411" width="4.75" style="12" customWidth="1"/>
    <col min="12412" max="12412" width="12.125" style="12" bestFit="1" customWidth="1"/>
    <col min="12413" max="12413" width="4.875" style="12" bestFit="1" customWidth="1"/>
    <col min="12414" max="12415" width="4.25" style="12" customWidth="1"/>
    <col min="12416" max="12622" width="9" style="12"/>
    <col min="12623" max="12623" width="2" style="12" customWidth="1"/>
    <col min="12624" max="12624" width="14.875" style="12" customWidth="1"/>
    <col min="12625" max="12625" width="9" style="12"/>
    <col min="12626" max="12626" width="12" style="12" customWidth="1"/>
    <col min="12627" max="12627" width="4.375" style="12" bestFit="1" customWidth="1"/>
    <col min="12628" max="12628" width="4.75" style="12" customWidth="1"/>
    <col min="12629" max="12630" width="4.75" style="12" bestFit="1" customWidth="1"/>
    <col min="12631" max="12661" width="4.75" style="12" customWidth="1"/>
    <col min="12662" max="12662" width="5.875" style="12" customWidth="1"/>
    <col min="12663" max="12663" width="5.125" style="12" bestFit="1" customWidth="1"/>
    <col min="12664" max="12664" width="5.125" style="12" customWidth="1"/>
    <col min="12665" max="12665" width="4.625" style="12" customWidth="1"/>
    <col min="12666" max="12667" width="4.75" style="12" customWidth="1"/>
    <col min="12668" max="12668" width="12.125" style="12" bestFit="1" customWidth="1"/>
    <col min="12669" max="12669" width="4.875" style="12" bestFit="1" customWidth="1"/>
    <col min="12670" max="12671" width="4.25" style="12" customWidth="1"/>
    <col min="12672" max="12878" width="9" style="12"/>
    <col min="12879" max="12879" width="2" style="12" customWidth="1"/>
    <col min="12880" max="12880" width="14.875" style="12" customWidth="1"/>
    <col min="12881" max="12881" width="9" style="12"/>
    <col min="12882" max="12882" width="12" style="12" customWidth="1"/>
    <col min="12883" max="12883" width="4.375" style="12" bestFit="1" customWidth="1"/>
    <col min="12884" max="12884" width="4.75" style="12" customWidth="1"/>
    <col min="12885" max="12886" width="4.75" style="12" bestFit="1" customWidth="1"/>
    <col min="12887" max="12917" width="4.75" style="12" customWidth="1"/>
    <col min="12918" max="12918" width="5.875" style="12" customWidth="1"/>
    <col min="12919" max="12919" width="5.125" style="12" bestFit="1" customWidth="1"/>
    <col min="12920" max="12920" width="5.125" style="12" customWidth="1"/>
    <col min="12921" max="12921" width="4.625" style="12" customWidth="1"/>
    <col min="12922" max="12923" width="4.75" style="12" customWidth="1"/>
    <col min="12924" max="12924" width="12.125" style="12" bestFit="1" customWidth="1"/>
    <col min="12925" max="12925" width="4.875" style="12" bestFit="1" customWidth="1"/>
    <col min="12926" max="12927" width="4.25" style="12" customWidth="1"/>
    <col min="12928" max="13134" width="9" style="12"/>
    <col min="13135" max="13135" width="2" style="12" customWidth="1"/>
    <col min="13136" max="13136" width="14.875" style="12" customWidth="1"/>
    <col min="13137" max="13137" width="9" style="12"/>
    <col min="13138" max="13138" width="12" style="12" customWidth="1"/>
    <col min="13139" max="13139" width="4.375" style="12" bestFit="1" customWidth="1"/>
    <col min="13140" max="13140" width="4.75" style="12" customWidth="1"/>
    <col min="13141" max="13142" width="4.75" style="12" bestFit="1" customWidth="1"/>
    <col min="13143" max="13173" width="4.75" style="12" customWidth="1"/>
    <col min="13174" max="13174" width="5.875" style="12" customWidth="1"/>
    <col min="13175" max="13175" width="5.125" style="12" bestFit="1" customWidth="1"/>
    <col min="13176" max="13176" width="5.125" style="12" customWidth="1"/>
    <col min="13177" max="13177" width="4.625" style="12" customWidth="1"/>
    <col min="13178" max="13179" width="4.75" style="12" customWidth="1"/>
    <col min="13180" max="13180" width="12.125" style="12" bestFit="1" customWidth="1"/>
    <col min="13181" max="13181" width="4.875" style="12" bestFit="1" customWidth="1"/>
    <col min="13182" max="13183" width="4.25" style="12" customWidth="1"/>
    <col min="13184" max="13390" width="9" style="12"/>
    <col min="13391" max="13391" width="2" style="12" customWidth="1"/>
    <col min="13392" max="13392" width="14.875" style="12" customWidth="1"/>
    <col min="13393" max="13393" width="9" style="12"/>
    <col min="13394" max="13394" width="12" style="12" customWidth="1"/>
    <col min="13395" max="13395" width="4.375" style="12" bestFit="1" customWidth="1"/>
    <col min="13396" max="13396" width="4.75" style="12" customWidth="1"/>
    <col min="13397" max="13398" width="4.75" style="12" bestFit="1" customWidth="1"/>
    <col min="13399" max="13429" width="4.75" style="12" customWidth="1"/>
    <col min="13430" max="13430" width="5.875" style="12" customWidth="1"/>
    <col min="13431" max="13431" width="5.125" style="12" bestFit="1" customWidth="1"/>
    <col min="13432" max="13432" width="5.125" style="12" customWidth="1"/>
    <col min="13433" max="13433" width="4.625" style="12" customWidth="1"/>
    <col min="13434" max="13435" width="4.75" style="12" customWidth="1"/>
    <col min="13436" max="13436" width="12.125" style="12" bestFit="1" customWidth="1"/>
    <col min="13437" max="13437" width="4.875" style="12" bestFit="1" customWidth="1"/>
    <col min="13438" max="13439" width="4.25" style="12" customWidth="1"/>
    <col min="13440" max="13646" width="9" style="12"/>
    <col min="13647" max="13647" width="2" style="12" customWidth="1"/>
    <col min="13648" max="13648" width="14.875" style="12" customWidth="1"/>
    <col min="13649" max="13649" width="9" style="12"/>
    <col min="13650" max="13650" width="12" style="12" customWidth="1"/>
    <col min="13651" max="13651" width="4.375" style="12" bestFit="1" customWidth="1"/>
    <col min="13652" max="13652" width="4.75" style="12" customWidth="1"/>
    <col min="13653" max="13654" width="4.75" style="12" bestFit="1" customWidth="1"/>
    <col min="13655" max="13685" width="4.75" style="12" customWidth="1"/>
    <col min="13686" max="13686" width="5.875" style="12" customWidth="1"/>
    <col min="13687" max="13687" width="5.125" style="12" bestFit="1" customWidth="1"/>
    <col min="13688" max="13688" width="5.125" style="12" customWidth="1"/>
    <col min="13689" max="13689" width="4.625" style="12" customWidth="1"/>
    <col min="13690" max="13691" width="4.75" style="12" customWidth="1"/>
    <col min="13692" max="13692" width="12.125" style="12" bestFit="1" customWidth="1"/>
    <col min="13693" max="13693" width="4.875" style="12" bestFit="1" customWidth="1"/>
    <col min="13694" max="13695" width="4.25" style="12" customWidth="1"/>
    <col min="13696" max="13902" width="9" style="12"/>
    <col min="13903" max="13903" width="2" style="12" customWidth="1"/>
    <col min="13904" max="13904" width="14.875" style="12" customWidth="1"/>
    <col min="13905" max="13905" width="9" style="12"/>
    <col min="13906" max="13906" width="12" style="12" customWidth="1"/>
    <col min="13907" max="13907" width="4.375" style="12" bestFit="1" customWidth="1"/>
    <col min="13908" max="13908" width="4.75" style="12" customWidth="1"/>
    <col min="13909" max="13910" width="4.75" style="12" bestFit="1" customWidth="1"/>
    <col min="13911" max="13941" width="4.75" style="12" customWidth="1"/>
    <col min="13942" max="13942" width="5.875" style="12" customWidth="1"/>
    <col min="13943" max="13943" width="5.125" style="12" bestFit="1" customWidth="1"/>
    <col min="13944" max="13944" width="5.125" style="12" customWidth="1"/>
    <col min="13945" max="13945" width="4.625" style="12" customWidth="1"/>
    <col min="13946" max="13947" width="4.75" style="12" customWidth="1"/>
    <col min="13948" max="13948" width="12.125" style="12" bestFit="1" customWidth="1"/>
    <col min="13949" max="13949" width="4.875" style="12" bestFit="1" customWidth="1"/>
    <col min="13950" max="13951" width="4.25" style="12" customWidth="1"/>
    <col min="13952" max="14158" width="9" style="12"/>
    <col min="14159" max="14159" width="2" style="12" customWidth="1"/>
    <col min="14160" max="14160" width="14.875" style="12" customWidth="1"/>
    <col min="14161" max="14161" width="9" style="12"/>
    <col min="14162" max="14162" width="12" style="12" customWidth="1"/>
    <col min="14163" max="14163" width="4.375" style="12" bestFit="1" customWidth="1"/>
    <col min="14164" max="14164" width="4.75" style="12" customWidth="1"/>
    <col min="14165" max="14166" width="4.75" style="12" bestFit="1" customWidth="1"/>
    <col min="14167" max="14197" width="4.75" style="12" customWidth="1"/>
    <col min="14198" max="14198" width="5.875" style="12" customWidth="1"/>
    <col min="14199" max="14199" width="5.125" style="12" bestFit="1" customWidth="1"/>
    <col min="14200" max="14200" width="5.125" style="12" customWidth="1"/>
    <col min="14201" max="14201" width="4.625" style="12" customWidth="1"/>
    <col min="14202" max="14203" width="4.75" style="12" customWidth="1"/>
    <col min="14204" max="14204" width="12.125" style="12" bestFit="1" customWidth="1"/>
    <col min="14205" max="14205" width="4.875" style="12" bestFit="1" customWidth="1"/>
    <col min="14206" max="14207" width="4.25" style="12" customWidth="1"/>
    <col min="14208" max="14414" width="9" style="12"/>
    <col min="14415" max="14415" width="2" style="12" customWidth="1"/>
    <col min="14416" max="14416" width="14.875" style="12" customWidth="1"/>
    <col min="14417" max="14417" width="9" style="12"/>
    <col min="14418" max="14418" width="12" style="12" customWidth="1"/>
    <col min="14419" max="14419" width="4.375" style="12" bestFit="1" customWidth="1"/>
    <col min="14420" max="14420" width="4.75" style="12" customWidth="1"/>
    <col min="14421" max="14422" width="4.75" style="12" bestFit="1" customWidth="1"/>
    <col min="14423" max="14453" width="4.75" style="12" customWidth="1"/>
    <col min="14454" max="14454" width="5.875" style="12" customWidth="1"/>
    <col min="14455" max="14455" width="5.125" style="12" bestFit="1" customWidth="1"/>
    <col min="14456" max="14456" width="5.125" style="12" customWidth="1"/>
    <col min="14457" max="14457" width="4.625" style="12" customWidth="1"/>
    <col min="14458" max="14459" width="4.75" style="12" customWidth="1"/>
    <col min="14460" max="14460" width="12.125" style="12" bestFit="1" customWidth="1"/>
    <col min="14461" max="14461" width="4.875" style="12" bestFit="1" customWidth="1"/>
    <col min="14462" max="14463" width="4.25" style="12" customWidth="1"/>
    <col min="14464" max="14670" width="9" style="12"/>
    <col min="14671" max="14671" width="2" style="12" customWidth="1"/>
    <col min="14672" max="14672" width="14.875" style="12" customWidth="1"/>
    <col min="14673" max="14673" width="9" style="12"/>
    <col min="14674" max="14674" width="12" style="12" customWidth="1"/>
    <col min="14675" max="14675" width="4.375" style="12" bestFit="1" customWidth="1"/>
    <col min="14676" max="14676" width="4.75" style="12" customWidth="1"/>
    <col min="14677" max="14678" width="4.75" style="12" bestFit="1" customWidth="1"/>
    <col min="14679" max="14709" width="4.75" style="12" customWidth="1"/>
    <col min="14710" max="14710" width="5.875" style="12" customWidth="1"/>
    <col min="14711" max="14711" width="5.125" style="12" bestFit="1" customWidth="1"/>
    <col min="14712" max="14712" width="5.125" style="12" customWidth="1"/>
    <col min="14713" max="14713" width="4.625" style="12" customWidth="1"/>
    <col min="14714" max="14715" width="4.75" style="12" customWidth="1"/>
    <col min="14716" max="14716" width="12.125" style="12" bestFit="1" customWidth="1"/>
    <col min="14717" max="14717" width="4.875" style="12" bestFit="1" customWidth="1"/>
    <col min="14718" max="14719" width="4.25" style="12" customWidth="1"/>
    <col min="14720" max="16384" width="9" style="12"/>
  </cols>
  <sheetData>
    <row r="1" spans="2:411" s="4" customFormat="1" ht="110.25" customHeight="1">
      <c r="B1" s="21"/>
      <c r="C1" s="22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23"/>
      <c r="OO1" s="23"/>
      <c r="OP1" s="23"/>
      <c r="OQ1" s="23"/>
      <c r="OR1" s="23"/>
      <c r="OS1" s="23"/>
      <c r="OT1" s="23"/>
    </row>
    <row r="2" spans="2:411" s="4" customFormat="1" ht="37.5">
      <c r="B2" s="3" t="s">
        <v>11</v>
      </c>
      <c r="C2" s="3" t="s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20">
        <v>15</v>
      </c>
      <c r="S2" s="20">
        <v>16</v>
      </c>
      <c r="T2" s="20">
        <v>17</v>
      </c>
      <c r="U2" s="20">
        <v>18</v>
      </c>
      <c r="V2" s="20">
        <v>19</v>
      </c>
      <c r="W2" s="20">
        <v>20</v>
      </c>
      <c r="X2" s="20">
        <v>21</v>
      </c>
      <c r="Y2" s="20">
        <v>22</v>
      </c>
      <c r="Z2" s="20">
        <v>23</v>
      </c>
      <c r="AA2" s="20">
        <v>24</v>
      </c>
      <c r="AB2" s="20">
        <v>25</v>
      </c>
      <c r="AC2" s="20">
        <v>26</v>
      </c>
      <c r="AD2" s="20">
        <v>27</v>
      </c>
      <c r="AE2" s="20">
        <v>28</v>
      </c>
      <c r="AF2" s="20">
        <v>29</v>
      </c>
      <c r="AG2" s="20">
        <v>30</v>
      </c>
      <c r="AH2" s="20">
        <v>31</v>
      </c>
      <c r="AI2" s="20">
        <v>32</v>
      </c>
      <c r="AJ2" s="20">
        <v>33</v>
      </c>
      <c r="AK2" s="20">
        <v>34</v>
      </c>
      <c r="AL2" s="20">
        <v>35</v>
      </c>
      <c r="AM2" s="20">
        <v>36</v>
      </c>
      <c r="AN2" s="20">
        <v>37</v>
      </c>
      <c r="AO2" s="20">
        <v>38</v>
      </c>
      <c r="AP2" s="20">
        <v>39</v>
      </c>
      <c r="AQ2" s="20">
        <v>40</v>
      </c>
      <c r="AR2" s="20">
        <v>41</v>
      </c>
      <c r="AS2" s="20">
        <v>42</v>
      </c>
      <c r="AT2" s="20">
        <v>43</v>
      </c>
      <c r="AU2" s="20">
        <v>44</v>
      </c>
      <c r="AV2" s="20">
        <v>45</v>
      </c>
      <c r="AW2" s="20">
        <v>46</v>
      </c>
      <c r="AX2" s="20">
        <v>47</v>
      </c>
      <c r="AY2" s="20">
        <v>48</v>
      </c>
      <c r="AZ2" s="20">
        <v>49</v>
      </c>
      <c r="BA2" s="20">
        <v>50</v>
      </c>
      <c r="BB2" s="20">
        <v>51</v>
      </c>
      <c r="BC2" s="20">
        <v>52</v>
      </c>
      <c r="BD2" s="20">
        <v>53</v>
      </c>
      <c r="BE2" s="20">
        <v>54</v>
      </c>
      <c r="BF2" s="20">
        <v>55</v>
      </c>
      <c r="BG2" s="20">
        <v>56</v>
      </c>
      <c r="BH2" s="20">
        <v>57</v>
      </c>
      <c r="BI2" s="20">
        <v>58</v>
      </c>
      <c r="BJ2" s="20">
        <v>59</v>
      </c>
      <c r="BK2" s="20">
        <v>60</v>
      </c>
      <c r="BL2" s="20">
        <v>61</v>
      </c>
      <c r="BM2" s="20">
        <v>62</v>
      </c>
      <c r="BN2" s="20">
        <v>63</v>
      </c>
      <c r="BO2" s="20">
        <v>64</v>
      </c>
      <c r="BP2" s="20">
        <v>65</v>
      </c>
      <c r="BQ2" s="20">
        <v>66</v>
      </c>
      <c r="BR2" s="20">
        <v>67</v>
      </c>
      <c r="BS2" s="20">
        <v>68</v>
      </c>
      <c r="BT2" s="20">
        <v>69</v>
      </c>
      <c r="BU2" s="20">
        <v>70</v>
      </c>
      <c r="BV2" s="20">
        <v>71</v>
      </c>
      <c r="BW2" s="20">
        <v>72</v>
      </c>
      <c r="BX2" s="20">
        <v>73</v>
      </c>
      <c r="BY2" s="20">
        <v>74</v>
      </c>
      <c r="BZ2" s="20">
        <v>75</v>
      </c>
      <c r="CA2" s="20">
        <v>76</v>
      </c>
      <c r="CB2" s="20">
        <v>77</v>
      </c>
      <c r="CC2" s="20">
        <v>78</v>
      </c>
      <c r="CD2" s="20">
        <v>79</v>
      </c>
      <c r="CE2" s="20">
        <v>80</v>
      </c>
      <c r="CF2" s="20">
        <v>81</v>
      </c>
      <c r="CG2" s="20">
        <v>82</v>
      </c>
      <c r="CH2" s="20">
        <v>83</v>
      </c>
      <c r="CI2" s="20">
        <v>84</v>
      </c>
      <c r="CJ2" s="20">
        <v>85</v>
      </c>
      <c r="CK2" s="20">
        <v>86</v>
      </c>
      <c r="CL2" s="20">
        <v>87</v>
      </c>
      <c r="CM2" s="20">
        <v>88</v>
      </c>
      <c r="CN2" s="20">
        <v>89</v>
      </c>
      <c r="CO2" s="20">
        <v>90</v>
      </c>
      <c r="CP2" s="20">
        <v>91</v>
      </c>
      <c r="CQ2" s="20">
        <v>92</v>
      </c>
      <c r="CR2" s="20">
        <v>93</v>
      </c>
      <c r="CS2" s="20">
        <v>94</v>
      </c>
      <c r="CT2" s="20">
        <v>95</v>
      </c>
      <c r="CU2" s="20">
        <v>96</v>
      </c>
      <c r="CV2" s="20">
        <v>97</v>
      </c>
      <c r="CW2" s="20">
        <v>98</v>
      </c>
      <c r="CX2" s="20">
        <v>99</v>
      </c>
      <c r="CY2" s="20">
        <v>100</v>
      </c>
      <c r="CZ2" s="20">
        <v>101</v>
      </c>
      <c r="DA2" s="20">
        <v>102</v>
      </c>
      <c r="DB2" s="20">
        <v>103</v>
      </c>
      <c r="DC2" s="20">
        <v>104</v>
      </c>
      <c r="DD2" s="20">
        <v>105</v>
      </c>
      <c r="DE2" s="20">
        <v>106</v>
      </c>
      <c r="DF2" s="20">
        <v>107</v>
      </c>
      <c r="DG2" s="20">
        <v>108</v>
      </c>
      <c r="DH2" s="20">
        <v>109</v>
      </c>
      <c r="DI2" s="20">
        <v>110</v>
      </c>
      <c r="DJ2" s="20">
        <v>111</v>
      </c>
      <c r="DK2" s="20">
        <v>112</v>
      </c>
      <c r="DL2" s="20">
        <v>113</v>
      </c>
      <c r="DM2" s="20">
        <v>114</v>
      </c>
      <c r="DN2" s="20">
        <v>115</v>
      </c>
      <c r="DO2" s="20">
        <v>116</v>
      </c>
      <c r="DP2" s="20">
        <v>117</v>
      </c>
      <c r="DQ2" s="20">
        <v>118</v>
      </c>
      <c r="DR2" s="20">
        <v>119</v>
      </c>
      <c r="DS2" s="20">
        <v>120</v>
      </c>
      <c r="DT2" s="20">
        <v>121</v>
      </c>
      <c r="DU2" s="20">
        <v>122</v>
      </c>
      <c r="DV2" s="20">
        <v>123</v>
      </c>
      <c r="DW2" s="20">
        <v>124</v>
      </c>
      <c r="DX2" s="20">
        <v>125</v>
      </c>
      <c r="DY2" s="20">
        <v>126</v>
      </c>
      <c r="DZ2" s="20">
        <v>127</v>
      </c>
      <c r="EA2" s="20">
        <v>128</v>
      </c>
      <c r="EB2" s="20">
        <v>129</v>
      </c>
      <c r="EC2" s="20">
        <v>130</v>
      </c>
      <c r="ED2" s="20">
        <v>131</v>
      </c>
      <c r="EE2" s="20">
        <v>132</v>
      </c>
      <c r="EF2" s="20">
        <v>133</v>
      </c>
      <c r="EG2" s="20">
        <v>134</v>
      </c>
      <c r="EH2" s="20">
        <v>135</v>
      </c>
      <c r="EI2" s="20">
        <v>136</v>
      </c>
      <c r="EJ2" s="20">
        <v>137</v>
      </c>
      <c r="EK2" s="20">
        <v>138</v>
      </c>
      <c r="EL2" s="20">
        <v>139</v>
      </c>
      <c r="EM2" s="20">
        <v>140</v>
      </c>
      <c r="EN2" s="20">
        <v>141</v>
      </c>
      <c r="EO2" s="20">
        <v>142</v>
      </c>
      <c r="EP2" s="20">
        <v>143</v>
      </c>
      <c r="EQ2" s="20">
        <v>144</v>
      </c>
      <c r="ER2" s="20">
        <v>145</v>
      </c>
      <c r="ES2" s="20">
        <v>146</v>
      </c>
      <c r="ET2" s="20">
        <v>147</v>
      </c>
      <c r="EU2" s="20">
        <v>148</v>
      </c>
      <c r="EV2" s="20">
        <v>149</v>
      </c>
      <c r="EW2" s="20">
        <v>150</v>
      </c>
      <c r="EX2" s="20">
        <v>151</v>
      </c>
      <c r="EY2" s="20">
        <v>152</v>
      </c>
      <c r="EZ2" s="20">
        <v>153</v>
      </c>
      <c r="FA2" s="20">
        <v>154</v>
      </c>
      <c r="FB2" s="20">
        <v>155</v>
      </c>
      <c r="FC2" s="20">
        <v>156</v>
      </c>
      <c r="FD2" s="20">
        <v>157</v>
      </c>
      <c r="FE2" s="20">
        <v>158</v>
      </c>
      <c r="FF2" s="20">
        <v>159</v>
      </c>
      <c r="FG2" s="20">
        <v>160</v>
      </c>
      <c r="FH2" s="20">
        <v>161</v>
      </c>
      <c r="FI2" s="20">
        <v>162</v>
      </c>
      <c r="FJ2" s="20">
        <v>163</v>
      </c>
      <c r="FK2" s="20">
        <v>164</v>
      </c>
      <c r="FL2" s="20">
        <v>165</v>
      </c>
      <c r="FM2" s="20">
        <v>166</v>
      </c>
      <c r="FN2" s="20">
        <v>167</v>
      </c>
      <c r="FO2" s="20">
        <v>168</v>
      </c>
      <c r="FP2" s="20">
        <v>169</v>
      </c>
      <c r="FQ2" s="20">
        <v>170</v>
      </c>
      <c r="FR2" s="20">
        <v>171</v>
      </c>
      <c r="FS2" s="20">
        <v>172</v>
      </c>
      <c r="FT2" s="20">
        <v>173</v>
      </c>
      <c r="FU2" s="20">
        <v>174</v>
      </c>
      <c r="FV2" s="20">
        <v>175</v>
      </c>
      <c r="FW2" s="20">
        <v>176</v>
      </c>
      <c r="FX2" s="20">
        <v>177</v>
      </c>
      <c r="FY2" s="20">
        <v>178</v>
      </c>
      <c r="FZ2" s="20">
        <v>179</v>
      </c>
      <c r="GA2" s="20">
        <v>180</v>
      </c>
      <c r="GB2" s="20">
        <v>181</v>
      </c>
      <c r="GC2" s="20">
        <v>182</v>
      </c>
      <c r="GD2" s="20">
        <v>183</v>
      </c>
      <c r="GE2" s="20">
        <v>184</v>
      </c>
      <c r="GF2" s="20">
        <v>185</v>
      </c>
      <c r="GG2" s="20">
        <v>186</v>
      </c>
      <c r="GH2" s="20">
        <v>187</v>
      </c>
      <c r="GI2" s="20">
        <v>188</v>
      </c>
      <c r="GJ2" s="20">
        <v>189</v>
      </c>
      <c r="GK2" s="20">
        <v>190</v>
      </c>
      <c r="GL2" s="20">
        <v>191</v>
      </c>
      <c r="GM2" s="20">
        <v>192</v>
      </c>
      <c r="GN2" s="20">
        <v>193</v>
      </c>
      <c r="GO2" s="20">
        <v>194</v>
      </c>
      <c r="GP2" s="20">
        <v>195</v>
      </c>
      <c r="GQ2" s="20">
        <v>196</v>
      </c>
      <c r="GR2" s="20">
        <v>197</v>
      </c>
      <c r="GS2" s="20">
        <v>198</v>
      </c>
      <c r="GT2" s="20">
        <v>199</v>
      </c>
      <c r="GU2" s="20">
        <v>200</v>
      </c>
      <c r="GV2" s="20">
        <v>201</v>
      </c>
      <c r="GW2" s="20">
        <v>202</v>
      </c>
      <c r="GX2" s="20">
        <v>203</v>
      </c>
      <c r="GY2" s="20">
        <v>204</v>
      </c>
      <c r="GZ2" s="20">
        <v>205</v>
      </c>
      <c r="HA2" s="20">
        <v>206</v>
      </c>
      <c r="HB2" s="20">
        <v>207</v>
      </c>
      <c r="HC2" s="20">
        <v>208</v>
      </c>
      <c r="HD2" s="20">
        <v>209</v>
      </c>
      <c r="HE2" s="20">
        <v>210</v>
      </c>
      <c r="HF2" s="20">
        <v>211</v>
      </c>
      <c r="HG2" s="20">
        <v>212</v>
      </c>
      <c r="HH2" s="20">
        <v>213</v>
      </c>
      <c r="HI2" s="20">
        <v>214</v>
      </c>
      <c r="HJ2" s="20">
        <v>215</v>
      </c>
      <c r="HK2" s="20">
        <v>216</v>
      </c>
      <c r="HL2" s="20">
        <v>217</v>
      </c>
      <c r="HM2" s="20">
        <v>218</v>
      </c>
      <c r="HN2" s="20">
        <v>219</v>
      </c>
      <c r="HO2" s="20">
        <v>220</v>
      </c>
      <c r="HP2" s="20">
        <v>221</v>
      </c>
      <c r="HQ2" s="20">
        <v>222</v>
      </c>
      <c r="HR2" s="20">
        <v>223</v>
      </c>
      <c r="HS2" s="20">
        <v>224</v>
      </c>
      <c r="HT2" s="20">
        <v>225</v>
      </c>
      <c r="HU2" s="20">
        <v>226</v>
      </c>
      <c r="HV2" s="20">
        <v>227</v>
      </c>
      <c r="HW2" s="20">
        <v>228</v>
      </c>
      <c r="HX2" s="20">
        <v>229</v>
      </c>
      <c r="HY2" s="20">
        <v>230</v>
      </c>
      <c r="HZ2" s="20">
        <v>231</v>
      </c>
      <c r="IA2" s="20">
        <v>232</v>
      </c>
      <c r="IB2" s="20">
        <v>233</v>
      </c>
      <c r="IC2" s="20">
        <v>234</v>
      </c>
      <c r="ID2" s="20">
        <v>235</v>
      </c>
      <c r="IE2" s="20">
        <v>236</v>
      </c>
      <c r="IF2" s="20">
        <v>237</v>
      </c>
      <c r="IG2" s="20">
        <v>238</v>
      </c>
      <c r="IH2" s="20">
        <v>239</v>
      </c>
      <c r="II2" s="20">
        <v>240</v>
      </c>
      <c r="IJ2" s="20">
        <v>241</v>
      </c>
      <c r="IK2" s="20">
        <v>242</v>
      </c>
      <c r="IL2" s="20">
        <v>243</v>
      </c>
      <c r="IM2" s="20">
        <v>244</v>
      </c>
      <c r="IN2" s="20">
        <v>245</v>
      </c>
      <c r="IO2" s="20">
        <v>246</v>
      </c>
      <c r="IP2" s="20">
        <v>247</v>
      </c>
      <c r="IQ2" s="20">
        <v>248</v>
      </c>
      <c r="IR2" s="20">
        <v>249</v>
      </c>
      <c r="IS2" s="20">
        <v>250</v>
      </c>
      <c r="IT2" s="20">
        <v>251</v>
      </c>
      <c r="IU2" s="20">
        <v>252</v>
      </c>
      <c r="IV2" s="20">
        <v>253</v>
      </c>
      <c r="IW2" s="20">
        <v>254</v>
      </c>
      <c r="IX2" s="20">
        <v>255</v>
      </c>
      <c r="IY2" s="20">
        <v>256</v>
      </c>
      <c r="IZ2" s="20">
        <v>257</v>
      </c>
      <c r="JA2" s="20">
        <v>258</v>
      </c>
      <c r="JB2" s="20">
        <v>259</v>
      </c>
      <c r="JC2" s="20">
        <v>260</v>
      </c>
      <c r="JD2" s="20">
        <v>261</v>
      </c>
      <c r="JE2" s="20">
        <v>262</v>
      </c>
      <c r="JF2" s="20">
        <v>263</v>
      </c>
      <c r="JG2" s="20">
        <v>264</v>
      </c>
      <c r="JH2" s="20">
        <v>265</v>
      </c>
      <c r="JI2" s="20">
        <v>266</v>
      </c>
      <c r="JJ2" s="20">
        <v>267</v>
      </c>
      <c r="JK2" s="20">
        <v>268</v>
      </c>
      <c r="JL2" s="20">
        <v>269</v>
      </c>
      <c r="JM2" s="20">
        <v>270</v>
      </c>
      <c r="JN2" s="20">
        <v>271</v>
      </c>
      <c r="JO2" s="20">
        <v>272</v>
      </c>
      <c r="JP2" s="20">
        <v>273</v>
      </c>
      <c r="JQ2" s="20">
        <v>274</v>
      </c>
      <c r="JR2" s="20">
        <v>275</v>
      </c>
      <c r="JS2" s="20">
        <v>276</v>
      </c>
      <c r="JT2" s="20">
        <v>277</v>
      </c>
      <c r="JU2" s="20">
        <v>278</v>
      </c>
      <c r="JV2" s="20">
        <v>279</v>
      </c>
      <c r="JW2" s="20">
        <v>280</v>
      </c>
      <c r="JX2" s="20">
        <v>281</v>
      </c>
      <c r="JY2" s="20">
        <v>282</v>
      </c>
      <c r="JZ2" s="20">
        <v>283</v>
      </c>
      <c r="KA2" s="20">
        <v>284</v>
      </c>
      <c r="KB2" s="20">
        <v>285</v>
      </c>
      <c r="KC2" s="20">
        <v>286</v>
      </c>
      <c r="KD2" s="20">
        <v>287</v>
      </c>
      <c r="KE2" s="20">
        <v>288</v>
      </c>
      <c r="KF2" s="20">
        <v>289</v>
      </c>
      <c r="KG2" s="20">
        <v>290</v>
      </c>
      <c r="KH2" s="20">
        <v>291</v>
      </c>
      <c r="KI2" s="20">
        <v>292</v>
      </c>
      <c r="KJ2" s="20">
        <v>293</v>
      </c>
      <c r="KK2" s="20">
        <v>294</v>
      </c>
      <c r="KL2" s="20">
        <v>295</v>
      </c>
      <c r="KM2" s="20">
        <v>296</v>
      </c>
      <c r="KN2" s="20">
        <v>297</v>
      </c>
      <c r="KO2" s="20">
        <v>298</v>
      </c>
      <c r="KP2" s="20">
        <v>299</v>
      </c>
      <c r="KQ2" s="20">
        <v>300</v>
      </c>
      <c r="KR2" s="20">
        <v>301</v>
      </c>
      <c r="KS2" s="20">
        <v>302</v>
      </c>
      <c r="KT2" s="20">
        <v>303</v>
      </c>
      <c r="KU2" s="20">
        <v>304</v>
      </c>
      <c r="KV2" s="20">
        <v>305</v>
      </c>
      <c r="KW2" s="20">
        <v>306</v>
      </c>
      <c r="KX2" s="20">
        <v>307</v>
      </c>
      <c r="KY2" s="20">
        <v>308</v>
      </c>
      <c r="KZ2" s="20">
        <v>309</v>
      </c>
      <c r="LA2" s="20">
        <v>310</v>
      </c>
      <c r="LB2" s="20">
        <v>311</v>
      </c>
      <c r="LC2" s="20">
        <v>312</v>
      </c>
      <c r="LD2" s="20">
        <v>313</v>
      </c>
      <c r="LE2" s="20">
        <v>314</v>
      </c>
      <c r="LF2" s="20">
        <v>315</v>
      </c>
      <c r="LG2" s="20">
        <v>316</v>
      </c>
      <c r="LH2" s="20">
        <v>317</v>
      </c>
      <c r="LI2" s="20">
        <v>318</v>
      </c>
      <c r="LJ2" s="20">
        <v>319</v>
      </c>
      <c r="LK2" s="20">
        <v>320</v>
      </c>
      <c r="LL2" s="20">
        <v>321</v>
      </c>
      <c r="LM2" s="20">
        <v>322</v>
      </c>
      <c r="LN2" s="20">
        <v>323</v>
      </c>
      <c r="LO2" s="20">
        <v>324</v>
      </c>
      <c r="LP2" s="20">
        <v>325</v>
      </c>
      <c r="LQ2" s="20">
        <v>326</v>
      </c>
      <c r="LR2" s="20">
        <v>327</v>
      </c>
      <c r="LS2" s="20">
        <v>328</v>
      </c>
      <c r="LT2" s="20">
        <v>329</v>
      </c>
      <c r="LU2" s="20">
        <v>330</v>
      </c>
      <c r="LV2" s="20">
        <v>331</v>
      </c>
      <c r="LW2" s="20">
        <v>332</v>
      </c>
      <c r="LX2" s="20">
        <v>333</v>
      </c>
      <c r="LY2" s="20">
        <v>334</v>
      </c>
      <c r="LZ2" s="20">
        <v>335</v>
      </c>
      <c r="MA2" s="20">
        <v>336</v>
      </c>
      <c r="MB2" s="20">
        <v>337</v>
      </c>
      <c r="MC2" s="20">
        <v>338</v>
      </c>
      <c r="MD2" s="20">
        <v>339</v>
      </c>
      <c r="ME2" s="20">
        <v>340</v>
      </c>
      <c r="MF2" s="20">
        <v>341</v>
      </c>
      <c r="MG2" s="20">
        <v>342</v>
      </c>
      <c r="MH2" s="20">
        <v>343</v>
      </c>
      <c r="MI2" s="20">
        <v>344</v>
      </c>
      <c r="MJ2" s="20">
        <v>345</v>
      </c>
      <c r="MK2" s="20">
        <v>346</v>
      </c>
      <c r="ML2" s="20">
        <v>347</v>
      </c>
      <c r="MM2" s="20">
        <v>348</v>
      </c>
      <c r="MN2" s="20">
        <v>349</v>
      </c>
      <c r="MO2" s="20">
        <v>350</v>
      </c>
      <c r="MP2" s="20">
        <v>351</v>
      </c>
      <c r="MQ2" s="20">
        <v>352</v>
      </c>
      <c r="MR2" s="20">
        <v>353</v>
      </c>
      <c r="MS2" s="20">
        <v>354</v>
      </c>
      <c r="MT2" s="20">
        <v>355</v>
      </c>
      <c r="MU2" s="20">
        <v>356</v>
      </c>
      <c r="MV2" s="20">
        <v>357</v>
      </c>
      <c r="MW2" s="20">
        <v>358</v>
      </c>
      <c r="MX2" s="20">
        <v>359</v>
      </c>
      <c r="MY2" s="20">
        <v>360</v>
      </c>
      <c r="MZ2" s="20">
        <v>361</v>
      </c>
      <c r="NA2" s="20">
        <v>362</v>
      </c>
      <c r="NB2" s="20">
        <v>363</v>
      </c>
      <c r="NC2" s="20">
        <v>364</v>
      </c>
      <c r="ND2" s="20">
        <v>365</v>
      </c>
      <c r="NE2" s="20">
        <v>366</v>
      </c>
      <c r="NF2" s="20">
        <v>367</v>
      </c>
      <c r="NG2" s="20">
        <v>368</v>
      </c>
      <c r="NH2" s="20">
        <v>369</v>
      </c>
      <c r="NI2" s="20">
        <v>370</v>
      </c>
      <c r="NJ2" s="20">
        <v>371</v>
      </c>
      <c r="NK2" s="20">
        <v>372</v>
      </c>
      <c r="NL2" s="20">
        <v>373</v>
      </c>
      <c r="NM2" s="20">
        <v>374</v>
      </c>
      <c r="NN2" s="20">
        <v>375</v>
      </c>
      <c r="NO2" s="20">
        <v>376</v>
      </c>
      <c r="NP2" s="20">
        <v>377</v>
      </c>
      <c r="NQ2" s="20">
        <v>378</v>
      </c>
      <c r="NR2" s="20">
        <v>379</v>
      </c>
      <c r="NS2" s="20">
        <v>380</v>
      </c>
      <c r="NT2" s="20">
        <v>381</v>
      </c>
      <c r="NU2" s="20">
        <v>382</v>
      </c>
      <c r="NV2" s="20">
        <v>383</v>
      </c>
      <c r="NW2" s="20">
        <v>384</v>
      </c>
      <c r="NX2" s="20">
        <v>385</v>
      </c>
      <c r="NY2" s="20">
        <v>386</v>
      </c>
      <c r="NZ2" s="20">
        <v>387</v>
      </c>
      <c r="OA2" s="20">
        <v>388</v>
      </c>
      <c r="OB2" s="20">
        <v>389</v>
      </c>
      <c r="OC2" s="20">
        <v>390</v>
      </c>
      <c r="OD2" s="20">
        <v>391</v>
      </c>
      <c r="OE2" s="20">
        <v>392</v>
      </c>
      <c r="OF2" s="20">
        <v>393</v>
      </c>
      <c r="OG2" s="20">
        <v>394</v>
      </c>
      <c r="OH2" s="20">
        <v>395</v>
      </c>
      <c r="OI2" s="20">
        <v>396</v>
      </c>
      <c r="OJ2" s="20">
        <v>397</v>
      </c>
      <c r="OK2" s="20">
        <v>398</v>
      </c>
      <c r="OL2" s="20">
        <v>399</v>
      </c>
      <c r="OM2" s="20">
        <v>400</v>
      </c>
      <c r="ON2" s="15" t="s">
        <v>1</v>
      </c>
      <c r="OO2" s="15" t="s">
        <v>2</v>
      </c>
      <c r="OP2" s="15" t="s">
        <v>3</v>
      </c>
      <c r="OQ2" s="15" t="s">
        <v>4</v>
      </c>
      <c r="OR2" s="15" t="s">
        <v>5</v>
      </c>
      <c r="OS2" s="15" t="s">
        <v>10</v>
      </c>
      <c r="OT2" s="15" t="s">
        <v>9</v>
      </c>
      <c r="OU2" s="15" t="s">
        <v>12</v>
      </c>
    </row>
    <row r="3" spans="2:411" s="4" customFormat="1" ht="21.75" customHeight="1">
      <c r="B3" s="10">
        <v>3</v>
      </c>
      <c r="C3" s="11" t="s">
        <v>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16" t="e">
        <f>AVERAGE(D3:OM3)</f>
        <v>#DIV/0!</v>
      </c>
      <c r="OO3" s="15" t="e">
        <f>STDEV(D3:OM3)</f>
        <v>#DIV/0!</v>
      </c>
      <c r="OP3" s="15" t="e">
        <f>MIN((ON3-#REF!)/(3*OO3), (#REF!-ON3)/(3*OO3))</f>
        <v>#DIV/0!</v>
      </c>
      <c r="OQ3" s="16">
        <f>MIN(D3:OM3)</f>
        <v>0</v>
      </c>
      <c r="OR3" s="16">
        <f>MAX(D3:OM3)</f>
        <v>0</v>
      </c>
      <c r="OS3" s="15" t="e">
        <f>(ON3-#REF!)/OO3</f>
        <v>#DIV/0!</v>
      </c>
      <c r="OT3" s="15" t="e">
        <f>(6*OO3)/(#REF!-#REF!)</f>
        <v>#DIV/0!</v>
      </c>
      <c r="OU3" s="17"/>
    </row>
    <row r="4" spans="2:411" s="4" customFormat="1" ht="21.75" customHeight="1">
      <c r="B4" s="10">
        <v>4</v>
      </c>
      <c r="C4" s="6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16" t="e">
        <f>AVERAGE(D4:OM4)</f>
        <v>#DIV/0!</v>
      </c>
      <c r="OO4" s="15" t="e">
        <f>STDEV(D4:OM4)</f>
        <v>#DIV/0!</v>
      </c>
      <c r="OP4" s="15" t="e">
        <f>MIN((ON4-#REF!)/(3*OO4), (#REF!-ON4)/(3*OO4))</f>
        <v>#DIV/0!</v>
      </c>
      <c r="OQ4" s="16">
        <f>MIN(D4:OM4)</f>
        <v>0</v>
      </c>
      <c r="OR4" s="16">
        <f>MAX(D4:OM4)</f>
        <v>0</v>
      </c>
      <c r="OS4" s="15" t="e">
        <f>(ON4-#REF!)/OO4</f>
        <v>#DIV/0!</v>
      </c>
      <c r="OT4" s="15" t="e">
        <f>(6*OO4)/(#REF!-#REF!)</f>
        <v>#DIV/0!</v>
      </c>
      <c r="OU4" s="18"/>
    </row>
    <row r="5" spans="2:411" s="4" customFormat="1" ht="21.75" customHeight="1">
      <c r="B5" s="10">
        <v>5</v>
      </c>
      <c r="C5" s="6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16" t="e">
        <f>AVERAGE(D5:OM5)</f>
        <v>#DIV/0!</v>
      </c>
      <c r="OO5" s="15" t="e">
        <f>STDEV(D5:OM5)</f>
        <v>#DIV/0!</v>
      </c>
      <c r="OP5" s="15" t="e">
        <f>MIN((ON5-#REF!)/(3*OO5), (#REF!-ON5)/(3*OO5))</f>
        <v>#DIV/0!</v>
      </c>
      <c r="OQ5" s="16">
        <f>MIN(D5:OM5)</f>
        <v>0</v>
      </c>
      <c r="OR5" s="16">
        <f>MAX(D5:OM5)</f>
        <v>0</v>
      </c>
      <c r="OS5" s="15" t="e">
        <f>(ON5-#REF!)/OO5</f>
        <v>#DIV/0!</v>
      </c>
      <c r="OT5" s="15" t="e">
        <f>(6*OO5)/(#REF!-#REF!)</f>
        <v>#DIV/0!</v>
      </c>
      <c r="OU5" s="18"/>
    </row>
    <row r="6" spans="2:411" s="2" customFormat="1">
      <c r="LH6" s="9"/>
      <c r="LP6" s="1"/>
    </row>
    <row r="7" spans="2:411" s="2" customFormat="1">
      <c r="LH7" s="9"/>
      <c r="LP7" s="1"/>
    </row>
    <row r="8" spans="2:411" s="2" customFormat="1">
      <c r="LH8" s="9"/>
      <c r="LP8" s="1"/>
    </row>
    <row r="9" spans="2:411" s="2" customFormat="1">
      <c r="LH9" s="9"/>
      <c r="LP9" s="1"/>
    </row>
    <row r="10" spans="2:411" s="2" customFormat="1">
      <c r="LH10" s="9"/>
      <c r="LP10" s="1"/>
    </row>
    <row r="11" spans="2:411" s="2" customFormat="1">
      <c r="LH11" s="9"/>
      <c r="LP11" s="1"/>
    </row>
    <row r="12" spans="2:411" s="2" customFormat="1">
      <c r="LH12" s="9"/>
      <c r="LP12" s="1"/>
    </row>
    <row r="13" spans="2:411" s="2" customFormat="1">
      <c r="LH13" s="9"/>
      <c r="LP13" s="1"/>
    </row>
    <row r="14" spans="2:411" s="2" customFormat="1">
      <c r="LH14" s="9"/>
      <c r="LP14" s="1"/>
    </row>
    <row r="15" spans="2:411" s="2" customFormat="1">
      <c r="LH15" s="9"/>
      <c r="LP15" s="1"/>
    </row>
    <row r="16" spans="2:411" s="2" customFormat="1">
      <c r="LH16" s="9"/>
      <c r="LP16" s="1"/>
      <c r="OP16" s="2" t="s">
        <v>13</v>
      </c>
    </row>
    <row r="17" spans="320:328" s="2" customFormat="1">
      <c r="LH17" s="9"/>
      <c r="LP17" s="1"/>
    </row>
    <row r="18" spans="320:328" s="2" customFormat="1">
      <c r="LH18" s="9"/>
      <c r="LP18" s="1"/>
    </row>
    <row r="19" spans="320:328" s="2" customFormat="1">
      <c r="LH19" s="9"/>
      <c r="LP19" s="1"/>
    </row>
    <row r="20" spans="320:328" s="2" customFormat="1">
      <c r="LH20" s="9"/>
      <c r="LP20" s="1"/>
    </row>
    <row r="21" spans="320:328" s="2" customFormat="1">
      <c r="LH21" s="9"/>
      <c r="LP21" s="1"/>
    </row>
    <row r="22" spans="320:328" s="2" customFormat="1">
      <c r="LH22" s="9"/>
      <c r="LP22" s="1"/>
    </row>
    <row r="23" spans="320:328" s="2" customFormat="1">
      <c r="LH23" s="9"/>
      <c r="LP23" s="1"/>
    </row>
    <row r="24" spans="320:328" s="2" customFormat="1">
      <c r="LH24" s="9"/>
      <c r="LP24" s="1"/>
    </row>
    <row r="25" spans="320:328" s="2" customFormat="1">
      <c r="LH25" s="9"/>
      <c r="LP25" s="1"/>
    </row>
    <row r="26" spans="320:328" s="2" customFormat="1">
      <c r="LH26" s="9"/>
      <c r="LP26" s="1"/>
    </row>
    <row r="27" spans="320:328" s="2" customFormat="1">
      <c r="LH27" s="9"/>
      <c r="LP27" s="1"/>
    </row>
    <row r="28" spans="320:328" s="2" customFormat="1">
      <c r="LH28" s="9"/>
      <c r="LP28" s="1"/>
    </row>
    <row r="29" spans="320:328" s="2" customFormat="1">
      <c r="LH29" s="9"/>
      <c r="LP29" s="1"/>
    </row>
    <row r="30" spans="320:328" s="2" customFormat="1">
      <c r="LH30" s="9"/>
      <c r="LP30" s="1"/>
    </row>
    <row r="31" spans="320:328" s="2" customFormat="1">
      <c r="LH31" s="9"/>
      <c r="LP31" s="1"/>
    </row>
    <row r="32" spans="320:328" s="2" customFormat="1">
      <c r="LH32" s="9"/>
      <c r="LP32" s="1"/>
    </row>
    <row r="33" spans="320:328" s="2" customFormat="1">
      <c r="LH33" s="9"/>
      <c r="LP33" s="1"/>
    </row>
    <row r="34" spans="320:328" s="2" customFormat="1">
      <c r="LH34" s="9"/>
      <c r="LP34" s="1"/>
    </row>
    <row r="35" spans="320:328" s="2" customFormat="1">
      <c r="LH35" s="9"/>
      <c r="LP35" s="1"/>
    </row>
    <row r="36" spans="320:328" s="2" customFormat="1">
      <c r="LH36" s="9"/>
      <c r="LP36" s="1"/>
    </row>
    <row r="37" spans="320:328" s="2" customFormat="1">
      <c r="LH37" s="9"/>
      <c r="LP37" s="1"/>
    </row>
    <row r="38" spans="320:328" s="2" customFormat="1">
      <c r="LH38" s="9"/>
      <c r="LP38" s="1"/>
    </row>
    <row r="39" spans="320:328" s="2" customFormat="1">
      <c r="LH39" s="9"/>
      <c r="LP39" s="1"/>
    </row>
    <row r="40" spans="320:328" s="2" customFormat="1">
      <c r="LH40" s="9"/>
      <c r="LP40" s="1"/>
    </row>
    <row r="41" spans="320:328" s="2" customFormat="1">
      <c r="LH41" s="9"/>
      <c r="LP41" s="1"/>
    </row>
    <row r="42" spans="320:328" s="2" customFormat="1">
      <c r="LH42" s="9"/>
      <c r="LP42" s="1"/>
    </row>
    <row r="43" spans="320:328" s="2" customFormat="1">
      <c r="LH43" s="9"/>
      <c r="LP43" s="1"/>
    </row>
    <row r="44" spans="320:328" s="2" customFormat="1">
      <c r="LH44" s="9"/>
      <c r="LP44" s="1"/>
    </row>
    <row r="45" spans="320:328" s="2" customFormat="1">
      <c r="LH45" s="9"/>
      <c r="LP45" s="1"/>
    </row>
    <row r="46" spans="320:328" s="2" customFormat="1">
      <c r="LH46" s="9"/>
      <c r="LP46" s="1"/>
    </row>
    <row r="47" spans="320:328" s="2" customFormat="1">
      <c r="LH47" s="9"/>
      <c r="LP47" s="1"/>
    </row>
    <row r="48" spans="320:328" s="2" customFormat="1">
      <c r="LH48" s="9"/>
      <c r="LP48" s="1"/>
    </row>
    <row r="49" spans="320:328" s="2" customFormat="1">
      <c r="LH49" s="9"/>
      <c r="LP49" s="1"/>
    </row>
    <row r="50" spans="320:328" s="2" customFormat="1">
      <c r="LH50" s="9"/>
      <c r="LP50" s="1"/>
    </row>
    <row r="51" spans="320:328" s="2" customFormat="1">
      <c r="LH51" s="9"/>
      <c r="LP51" s="1"/>
    </row>
    <row r="52" spans="320:328" s="2" customFormat="1">
      <c r="LH52" s="9"/>
      <c r="LP52" s="1"/>
    </row>
    <row r="53" spans="320:328" s="2" customFormat="1">
      <c r="LH53" s="9"/>
      <c r="LP53" s="1"/>
    </row>
    <row r="54" spans="320:328" s="2" customFormat="1">
      <c r="LH54" s="9"/>
      <c r="LP54" s="1"/>
    </row>
    <row r="55" spans="320:328" s="2" customFormat="1">
      <c r="LH55" s="9"/>
      <c r="LP55" s="1"/>
    </row>
    <row r="56" spans="320:328" s="2" customFormat="1">
      <c r="LH56" s="9"/>
      <c r="LP56" s="1"/>
    </row>
    <row r="57" spans="320:328" s="2" customFormat="1">
      <c r="LH57" s="9"/>
      <c r="LP57" s="1"/>
    </row>
    <row r="58" spans="320:328" s="2" customFormat="1">
      <c r="LH58" s="9"/>
      <c r="LP58" s="1"/>
    </row>
    <row r="59" spans="320:328" s="2" customFormat="1">
      <c r="LH59" s="9"/>
      <c r="LP59" s="1"/>
    </row>
    <row r="60" spans="320:328" s="2" customFormat="1">
      <c r="LH60" s="9"/>
      <c r="LP60" s="1"/>
    </row>
    <row r="61" spans="320:328" s="2" customFormat="1">
      <c r="LH61" s="9"/>
      <c r="LP61" s="1"/>
    </row>
    <row r="62" spans="320:328" s="2" customFormat="1">
      <c r="LH62" s="9"/>
      <c r="LP62" s="1"/>
    </row>
    <row r="63" spans="320:328" s="2" customFormat="1">
      <c r="LH63" s="9"/>
      <c r="LP63" s="1"/>
    </row>
    <row r="64" spans="320:328" s="2" customFormat="1">
      <c r="LH64" s="9"/>
      <c r="LP64" s="1"/>
    </row>
    <row r="65" spans="320:328" s="2" customFormat="1">
      <c r="LH65" s="9"/>
      <c r="LP65" s="1"/>
    </row>
    <row r="66" spans="320:328" s="2" customFormat="1">
      <c r="LH66" s="9"/>
      <c r="LP66" s="1"/>
    </row>
    <row r="67" spans="320:328" s="2" customFormat="1">
      <c r="LH67" s="9"/>
      <c r="LP67" s="1"/>
    </row>
    <row r="68" spans="320:328" s="2" customFormat="1">
      <c r="LH68" s="9"/>
      <c r="LP68" s="1"/>
    </row>
    <row r="69" spans="320:328" s="2" customFormat="1">
      <c r="LH69" s="9"/>
      <c r="LP69" s="1"/>
    </row>
    <row r="70" spans="320:328" s="2" customFormat="1">
      <c r="LH70" s="9"/>
      <c r="LP70" s="1"/>
    </row>
    <row r="71" spans="320:328" s="2" customFormat="1">
      <c r="LH71" s="9"/>
      <c r="LP71" s="1"/>
    </row>
    <row r="72" spans="320:328" s="2" customFormat="1">
      <c r="LH72" s="9"/>
      <c r="LP72" s="1"/>
    </row>
    <row r="73" spans="320:328" s="2" customFormat="1">
      <c r="LH73" s="9"/>
      <c r="LP73" s="1"/>
    </row>
    <row r="74" spans="320:328" s="2" customFormat="1">
      <c r="LH74" s="9"/>
      <c r="LP74" s="1"/>
    </row>
    <row r="75" spans="320:328" s="2" customFormat="1">
      <c r="LH75" s="9"/>
      <c r="LP75" s="1"/>
    </row>
    <row r="76" spans="320:328" s="2" customFormat="1">
      <c r="LH76" s="9"/>
      <c r="LP76" s="1"/>
    </row>
    <row r="77" spans="320:328" s="2" customFormat="1">
      <c r="LH77" s="9"/>
      <c r="LP77" s="1"/>
    </row>
    <row r="78" spans="320:328" s="2" customFormat="1">
      <c r="LH78" s="9"/>
      <c r="LP78" s="1"/>
    </row>
    <row r="79" spans="320:328" s="2" customFormat="1">
      <c r="LH79" s="9"/>
      <c r="LP79" s="1"/>
    </row>
    <row r="80" spans="320:328" s="2" customFormat="1">
      <c r="LH80" s="9"/>
      <c r="LP80" s="1"/>
    </row>
    <row r="81" spans="320:328" s="2" customFormat="1">
      <c r="LH81" s="9"/>
      <c r="LP81" s="1"/>
    </row>
    <row r="82" spans="320:328" s="2" customFormat="1">
      <c r="LH82" s="9"/>
      <c r="LP82" s="1"/>
    </row>
    <row r="83" spans="320:328" s="2" customFormat="1">
      <c r="LH83" s="9"/>
      <c r="LP83" s="1"/>
    </row>
    <row r="84" spans="320:328" s="2" customFormat="1">
      <c r="LH84" s="9"/>
      <c r="LP84" s="1"/>
    </row>
    <row r="85" spans="320:328" s="2" customFormat="1">
      <c r="LH85" s="9"/>
      <c r="LP85" s="1"/>
    </row>
    <row r="86" spans="320:328" s="2" customFormat="1">
      <c r="LH86" s="9"/>
      <c r="LP86" s="1"/>
    </row>
    <row r="87" spans="320:328" s="2" customFormat="1">
      <c r="LH87" s="9"/>
      <c r="LP87" s="1"/>
    </row>
    <row r="88" spans="320:328" s="2" customFormat="1">
      <c r="LH88" s="9"/>
      <c r="LP88" s="1"/>
    </row>
    <row r="89" spans="320:328" s="2" customFormat="1">
      <c r="LH89" s="9"/>
      <c r="LP89" s="1"/>
    </row>
    <row r="90" spans="320:328" s="2" customFormat="1">
      <c r="LH90" s="9"/>
      <c r="LP90" s="1"/>
    </row>
    <row r="91" spans="320:328" s="2" customFormat="1">
      <c r="LH91" s="9"/>
      <c r="LP91" s="1"/>
    </row>
    <row r="92" spans="320:328" s="2" customFormat="1">
      <c r="LH92" s="9"/>
      <c r="LP92" s="1"/>
    </row>
    <row r="93" spans="320:328" s="2" customFormat="1">
      <c r="LH93" s="9"/>
      <c r="LP93" s="1"/>
    </row>
    <row r="94" spans="320:328" s="2" customFormat="1">
      <c r="LH94" s="9"/>
      <c r="LP94" s="1"/>
    </row>
    <row r="95" spans="320:328" s="2" customFormat="1">
      <c r="LH95" s="9"/>
      <c r="LP95" s="1"/>
    </row>
    <row r="96" spans="320:328" s="2" customFormat="1">
      <c r="LH96" s="9"/>
      <c r="LP96" s="1"/>
    </row>
    <row r="97" spans="320:328" s="2" customFormat="1">
      <c r="LH97" s="9"/>
      <c r="LP97" s="1"/>
    </row>
    <row r="98" spans="320:328" s="2" customFormat="1">
      <c r="LH98" s="9"/>
      <c r="LP98" s="1"/>
    </row>
    <row r="99" spans="320:328" s="2" customFormat="1">
      <c r="LH99" s="9"/>
      <c r="LP99" s="1"/>
    </row>
    <row r="100" spans="320:328" s="2" customFormat="1">
      <c r="LH100" s="9"/>
      <c r="LP100" s="1"/>
    </row>
    <row r="101" spans="320:328" s="2" customFormat="1">
      <c r="LH101" s="9"/>
      <c r="LP101" s="1"/>
    </row>
    <row r="102" spans="320:328" s="2" customFormat="1">
      <c r="LH102" s="9"/>
      <c r="LP102" s="1"/>
    </row>
    <row r="103" spans="320:328" s="2" customFormat="1">
      <c r="LH103" s="9"/>
      <c r="LP103" s="1"/>
    </row>
    <row r="104" spans="320:328" s="2" customFormat="1">
      <c r="LH104" s="9"/>
      <c r="LP104" s="1"/>
    </row>
    <row r="105" spans="320:328" s="2" customFormat="1">
      <c r="LH105" s="9"/>
      <c r="LP105" s="1"/>
    </row>
    <row r="106" spans="320:328" s="2" customFormat="1">
      <c r="LH106" s="9"/>
      <c r="LP106" s="1"/>
    </row>
    <row r="107" spans="320:328" s="2" customFormat="1">
      <c r="LH107" s="9"/>
      <c r="LP107" s="1"/>
    </row>
    <row r="108" spans="320:328" s="2" customFormat="1">
      <c r="LH108" s="9"/>
      <c r="LP108" s="1"/>
    </row>
    <row r="109" spans="320:328" s="2" customFormat="1">
      <c r="LH109" s="9"/>
      <c r="LP109" s="1"/>
    </row>
    <row r="110" spans="320:328" s="2" customFormat="1">
      <c r="LH110" s="9"/>
      <c r="LP110" s="1"/>
    </row>
    <row r="111" spans="320:328" s="2" customFormat="1">
      <c r="LH111" s="9"/>
      <c r="LP111" s="1"/>
    </row>
    <row r="112" spans="320:328" s="2" customFormat="1">
      <c r="LH112" s="9"/>
      <c r="LP112" s="1"/>
    </row>
    <row r="113" spans="320:328" s="2" customFormat="1">
      <c r="LH113" s="9"/>
      <c r="LP113" s="1"/>
    </row>
    <row r="114" spans="320:328" s="2" customFormat="1">
      <c r="LH114" s="9"/>
      <c r="LP114" s="1"/>
    </row>
    <row r="115" spans="320:328" s="2" customFormat="1">
      <c r="LH115" s="9"/>
      <c r="LP115" s="1"/>
    </row>
    <row r="116" spans="320:328" s="2" customFormat="1">
      <c r="LH116" s="9"/>
      <c r="LP116" s="1"/>
    </row>
    <row r="117" spans="320:328" s="2" customFormat="1">
      <c r="LH117" s="9"/>
      <c r="LP117" s="1"/>
    </row>
    <row r="118" spans="320:328" s="2" customFormat="1">
      <c r="LH118" s="9"/>
      <c r="LP118" s="1"/>
    </row>
    <row r="119" spans="320:328" s="2" customFormat="1">
      <c r="LH119" s="9"/>
      <c r="LP119" s="1"/>
    </row>
    <row r="120" spans="320:328" s="2" customFormat="1">
      <c r="LH120" s="9"/>
      <c r="LP120" s="1"/>
    </row>
    <row r="121" spans="320:328" s="2" customFormat="1">
      <c r="LH121" s="9"/>
      <c r="LP121" s="1"/>
    </row>
    <row r="122" spans="320:328" s="2" customFormat="1">
      <c r="LH122" s="9"/>
      <c r="LP122" s="1"/>
    </row>
    <row r="123" spans="320:328" s="2" customFormat="1">
      <c r="LH123" s="9"/>
      <c r="LP123" s="1"/>
    </row>
    <row r="124" spans="320:328" s="2" customFormat="1">
      <c r="LH124" s="9"/>
      <c r="LP124" s="1"/>
    </row>
    <row r="125" spans="320:328" s="2" customFormat="1">
      <c r="LH125" s="9"/>
      <c r="LP125" s="1"/>
    </row>
    <row r="126" spans="320:328" s="2" customFormat="1">
      <c r="LH126" s="9"/>
      <c r="LP126" s="1"/>
    </row>
    <row r="127" spans="320:328" s="2" customFormat="1">
      <c r="LH127" s="9"/>
      <c r="LP127" s="1"/>
    </row>
    <row r="128" spans="320:328" s="2" customFormat="1">
      <c r="LH128" s="9"/>
      <c r="LP128" s="1"/>
    </row>
    <row r="129" spans="320:328" s="2" customFormat="1">
      <c r="LH129" s="9"/>
      <c r="LP129" s="1"/>
    </row>
    <row r="130" spans="320:328" s="2" customFormat="1">
      <c r="LH130" s="9"/>
      <c r="LP130" s="1"/>
    </row>
    <row r="131" spans="320:328" s="2" customFormat="1">
      <c r="LH131" s="9"/>
      <c r="LP131" s="1"/>
    </row>
    <row r="132" spans="320:328" s="2" customFormat="1">
      <c r="LH132" s="9"/>
      <c r="LP132" s="1"/>
    </row>
    <row r="133" spans="320:328" s="2" customFormat="1">
      <c r="LH133" s="9"/>
      <c r="LP133" s="1"/>
    </row>
    <row r="134" spans="320:328" s="2" customFormat="1">
      <c r="LH134" s="9"/>
      <c r="LP134" s="1"/>
    </row>
    <row r="135" spans="320:328" s="2" customFormat="1">
      <c r="LH135" s="9"/>
      <c r="LP135" s="1"/>
    </row>
    <row r="136" spans="320:328" s="2" customFormat="1">
      <c r="LH136" s="9"/>
      <c r="LP136" s="1"/>
    </row>
    <row r="137" spans="320:328" s="2" customFormat="1">
      <c r="LH137" s="9"/>
      <c r="LP137" s="1"/>
    </row>
    <row r="138" spans="320:328" s="2" customFormat="1">
      <c r="LH138" s="9"/>
      <c r="LP138" s="1"/>
    </row>
    <row r="139" spans="320:328" s="2" customFormat="1">
      <c r="LH139" s="9"/>
      <c r="LP139" s="1"/>
    </row>
    <row r="140" spans="320:328" s="2" customFormat="1">
      <c r="LH140" s="9"/>
      <c r="LP140" s="1"/>
    </row>
    <row r="141" spans="320:328" s="2" customFormat="1">
      <c r="LH141" s="9"/>
      <c r="LP141" s="1"/>
    </row>
    <row r="142" spans="320:328" s="2" customFormat="1">
      <c r="LH142" s="9"/>
      <c r="LP142" s="1"/>
    </row>
    <row r="143" spans="320:328" s="2" customFormat="1">
      <c r="LH143" s="9"/>
      <c r="LP143" s="1"/>
    </row>
    <row r="144" spans="320:328" s="2" customFormat="1">
      <c r="LH144" s="9"/>
      <c r="LP144" s="1"/>
    </row>
    <row r="145" spans="320:328" s="2" customFormat="1">
      <c r="LH145" s="9"/>
      <c r="LP145" s="1"/>
    </row>
    <row r="146" spans="320:328" s="2" customFormat="1">
      <c r="LH146" s="9"/>
      <c r="LP146" s="1"/>
    </row>
    <row r="147" spans="320:328" s="2" customFormat="1">
      <c r="LH147" s="9"/>
      <c r="LP147" s="1"/>
    </row>
    <row r="148" spans="320:328" s="2" customFormat="1">
      <c r="LH148" s="9"/>
      <c r="LP148" s="1"/>
    </row>
    <row r="149" spans="320:328" s="2" customFormat="1">
      <c r="LH149" s="9"/>
      <c r="LP149" s="1"/>
    </row>
    <row r="150" spans="320:328" s="2" customFormat="1">
      <c r="LH150" s="9"/>
      <c r="LP150" s="1"/>
    </row>
    <row r="151" spans="320:328" s="2" customFormat="1">
      <c r="LH151" s="9"/>
      <c r="LP151" s="1"/>
    </row>
    <row r="152" spans="320:328" s="2" customFormat="1">
      <c r="LH152" s="9"/>
      <c r="LP152" s="1"/>
    </row>
    <row r="153" spans="320:328" s="2" customFormat="1">
      <c r="LH153" s="9"/>
      <c r="LP153" s="1"/>
    </row>
    <row r="154" spans="320:328" s="2" customFormat="1">
      <c r="LH154" s="9"/>
      <c r="LP154" s="1"/>
    </row>
    <row r="155" spans="320:328" s="2" customFormat="1">
      <c r="LH155" s="9"/>
      <c r="LP155" s="1"/>
    </row>
    <row r="156" spans="320:328" s="2" customFormat="1">
      <c r="LH156" s="9"/>
      <c r="LP156" s="1"/>
    </row>
    <row r="157" spans="320:328" s="2" customFormat="1">
      <c r="LH157" s="9"/>
      <c r="LP157" s="1"/>
    </row>
    <row r="158" spans="320:328" s="2" customFormat="1">
      <c r="LH158" s="9"/>
      <c r="LP158" s="1"/>
    </row>
    <row r="159" spans="320:328" s="2" customFormat="1">
      <c r="LH159" s="9"/>
      <c r="LP159" s="1"/>
    </row>
    <row r="160" spans="320:328" s="2" customFormat="1">
      <c r="LH160" s="9"/>
      <c r="LP160" s="1"/>
    </row>
    <row r="161" spans="320:328" s="2" customFormat="1">
      <c r="LH161" s="9"/>
      <c r="LP161" s="1"/>
    </row>
    <row r="162" spans="320:328" s="2" customFormat="1">
      <c r="LH162" s="9"/>
      <c r="LP162" s="1"/>
    </row>
    <row r="163" spans="320:328" s="2" customFormat="1">
      <c r="LH163" s="9"/>
      <c r="LP163" s="1"/>
    </row>
    <row r="164" spans="320:328" s="2" customFormat="1">
      <c r="LH164" s="9"/>
      <c r="LP164" s="1"/>
    </row>
    <row r="165" spans="320:328" s="2" customFormat="1">
      <c r="LH165" s="9"/>
      <c r="LP165" s="1"/>
    </row>
    <row r="166" spans="320:328" s="2" customFormat="1">
      <c r="LH166" s="9"/>
      <c r="LP166" s="1"/>
    </row>
    <row r="167" spans="320:328" s="2" customFormat="1">
      <c r="LH167" s="9"/>
      <c r="LP167" s="1"/>
    </row>
    <row r="168" spans="320:328" s="2" customFormat="1">
      <c r="LH168" s="9"/>
      <c r="LP168" s="1"/>
    </row>
    <row r="169" spans="320:328" s="2" customFormat="1">
      <c r="LH169" s="9"/>
      <c r="LP169" s="1"/>
    </row>
    <row r="170" spans="320:328" s="2" customFormat="1">
      <c r="LH170" s="9"/>
      <c r="LP170" s="1"/>
    </row>
    <row r="171" spans="320:328" s="2" customFormat="1">
      <c r="LH171" s="9"/>
      <c r="LP171" s="1"/>
    </row>
    <row r="172" spans="320:328" s="2" customFormat="1">
      <c r="LH172" s="9"/>
      <c r="LP172" s="1"/>
    </row>
    <row r="173" spans="320:328" s="2" customFormat="1">
      <c r="LH173" s="9"/>
      <c r="LP173" s="1"/>
    </row>
    <row r="174" spans="320:328" s="2" customFormat="1">
      <c r="LH174" s="9"/>
      <c r="LP174" s="1"/>
    </row>
    <row r="175" spans="320:328" s="2" customFormat="1">
      <c r="LH175" s="9"/>
      <c r="LP175" s="1"/>
    </row>
    <row r="176" spans="320:328" s="2" customFormat="1">
      <c r="LH176" s="9"/>
      <c r="LP176" s="1"/>
    </row>
    <row r="177" spans="320:328" s="2" customFormat="1">
      <c r="LH177" s="9"/>
      <c r="LP177" s="1"/>
    </row>
    <row r="178" spans="320:328" s="2" customFormat="1">
      <c r="LH178" s="9"/>
      <c r="LP178" s="1"/>
    </row>
    <row r="179" spans="320:328" s="2" customFormat="1">
      <c r="LH179" s="9"/>
      <c r="LP179" s="1"/>
    </row>
    <row r="180" spans="320:328" s="2" customFormat="1">
      <c r="LH180" s="9"/>
      <c r="LP180" s="1"/>
    </row>
    <row r="181" spans="320:328" s="2" customFormat="1">
      <c r="LH181" s="9"/>
      <c r="LP181" s="1"/>
    </row>
    <row r="182" spans="320:328" s="2" customFormat="1">
      <c r="LH182" s="9"/>
      <c r="LP182" s="1"/>
    </row>
    <row r="183" spans="320:328" s="2" customFormat="1">
      <c r="LH183" s="9"/>
      <c r="LP183" s="1"/>
    </row>
    <row r="184" spans="320:328" s="2" customFormat="1">
      <c r="LH184" s="9"/>
      <c r="LP184" s="1"/>
    </row>
    <row r="185" spans="320:328" s="2" customFormat="1">
      <c r="LH185" s="9"/>
      <c r="LP185" s="1"/>
    </row>
    <row r="186" spans="320:328" s="2" customFormat="1">
      <c r="LH186" s="9"/>
      <c r="LP186" s="1"/>
    </row>
    <row r="187" spans="320:328" s="2" customFormat="1">
      <c r="LH187" s="9"/>
      <c r="LP187" s="1"/>
    </row>
    <row r="188" spans="320:328" s="2" customFormat="1">
      <c r="LH188" s="9"/>
      <c r="LP188" s="1"/>
    </row>
    <row r="189" spans="320:328" s="2" customFormat="1">
      <c r="LH189" s="9"/>
      <c r="LP189" s="1"/>
    </row>
    <row r="190" spans="320:328" s="2" customFormat="1">
      <c r="LH190" s="9"/>
      <c r="LP190" s="1"/>
    </row>
    <row r="191" spans="320:328" s="2" customFormat="1">
      <c r="LH191" s="9"/>
      <c r="LP191" s="1"/>
    </row>
    <row r="192" spans="320:328" s="2" customFormat="1">
      <c r="LH192" s="9"/>
      <c r="LP192" s="1"/>
    </row>
    <row r="193" spans="320:328" s="2" customFormat="1">
      <c r="LH193" s="9"/>
      <c r="LP193" s="1"/>
    </row>
    <row r="194" spans="320:328" s="2" customFormat="1">
      <c r="LH194" s="9"/>
      <c r="LP194" s="1"/>
    </row>
    <row r="195" spans="320:328" s="2" customFormat="1">
      <c r="LH195" s="9"/>
      <c r="LP195" s="1"/>
    </row>
    <row r="196" spans="320:328" s="2" customFormat="1">
      <c r="LH196" s="9"/>
      <c r="LP196" s="1"/>
    </row>
    <row r="197" spans="320:328" s="2" customFormat="1">
      <c r="LH197" s="9"/>
      <c r="LP197" s="1"/>
    </row>
    <row r="198" spans="320:328" s="2" customFormat="1">
      <c r="LH198" s="9"/>
      <c r="LP198" s="1"/>
    </row>
    <row r="199" spans="320:328" s="2" customFormat="1">
      <c r="LH199" s="9"/>
      <c r="LP199" s="1"/>
    </row>
    <row r="200" spans="320:328" s="2" customFormat="1">
      <c r="LH200" s="9"/>
      <c r="LP200" s="1"/>
    </row>
    <row r="201" spans="320:328" s="2" customFormat="1">
      <c r="LH201" s="9"/>
      <c r="LP201" s="1"/>
    </row>
    <row r="202" spans="320:328" s="2" customFormat="1">
      <c r="LH202" s="9"/>
      <c r="LP202" s="1"/>
    </row>
    <row r="203" spans="320:328" s="2" customFormat="1">
      <c r="LH203" s="9"/>
      <c r="LP203" s="1"/>
    </row>
    <row r="204" spans="320:328" s="2" customFormat="1">
      <c r="LH204" s="9"/>
      <c r="LP204" s="1"/>
    </row>
    <row r="205" spans="320:328" s="2" customFormat="1">
      <c r="LH205" s="9"/>
      <c r="LP205" s="1"/>
    </row>
    <row r="206" spans="320:328" s="2" customFormat="1">
      <c r="LH206" s="9"/>
      <c r="LP206" s="1"/>
    </row>
    <row r="207" spans="320:328" s="2" customFormat="1">
      <c r="LH207" s="9"/>
      <c r="LP207" s="1"/>
    </row>
    <row r="208" spans="320:328" s="2" customFormat="1">
      <c r="LH208" s="9"/>
      <c r="LP208" s="1"/>
    </row>
    <row r="209" spans="320:328" s="2" customFormat="1">
      <c r="LH209" s="9"/>
      <c r="LP209" s="1"/>
    </row>
    <row r="210" spans="320:328" s="2" customFormat="1">
      <c r="LH210" s="9"/>
      <c r="LP210" s="1"/>
    </row>
    <row r="211" spans="320:328" s="2" customFormat="1">
      <c r="LH211" s="9"/>
      <c r="LP211" s="1"/>
    </row>
    <row r="212" spans="320:328" s="2" customFormat="1">
      <c r="LH212" s="9"/>
      <c r="LP212" s="1"/>
    </row>
    <row r="213" spans="320:328" s="2" customFormat="1">
      <c r="LH213" s="9"/>
      <c r="LP213" s="1"/>
    </row>
    <row r="214" spans="320:328" s="2" customFormat="1">
      <c r="LH214" s="9"/>
      <c r="LP214" s="1"/>
    </row>
    <row r="215" spans="320:328" s="2" customFormat="1">
      <c r="LH215" s="9"/>
      <c r="LP215" s="1"/>
    </row>
    <row r="216" spans="320:328" s="2" customFormat="1">
      <c r="LH216" s="9"/>
      <c r="LP216" s="1"/>
    </row>
    <row r="217" spans="320:328" s="2" customFormat="1">
      <c r="LH217" s="9"/>
      <c r="LP217" s="1"/>
    </row>
    <row r="218" spans="320:328" s="2" customFormat="1">
      <c r="LH218" s="9"/>
      <c r="LP218" s="1"/>
    </row>
    <row r="219" spans="320:328" s="2" customFormat="1">
      <c r="LH219" s="9"/>
      <c r="LP219" s="1"/>
    </row>
    <row r="220" spans="320:328" s="2" customFormat="1">
      <c r="LH220" s="9"/>
      <c r="LP220" s="1"/>
    </row>
    <row r="221" spans="320:328" s="2" customFormat="1">
      <c r="LH221" s="9"/>
      <c r="LP221" s="1"/>
    </row>
    <row r="222" spans="320:328" s="2" customFormat="1">
      <c r="LH222" s="9"/>
      <c r="LP222" s="1"/>
    </row>
    <row r="223" spans="320:328" s="2" customFormat="1">
      <c r="LH223" s="9"/>
      <c r="LP223" s="1"/>
    </row>
    <row r="224" spans="320:328" s="2" customFormat="1">
      <c r="LH224" s="9"/>
      <c r="LP224" s="1"/>
    </row>
    <row r="225" spans="320:328" s="2" customFormat="1">
      <c r="LH225" s="9"/>
      <c r="LP225" s="1"/>
    </row>
    <row r="226" spans="320:328" s="2" customFormat="1">
      <c r="LH226" s="9"/>
      <c r="LP226" s="1"/>
    </row>
    <row r="227" spans="320:328" s="2" customFormat="1">
      <c r="LH227" s="9"/>
      <c r="LP227" s="1"/>
    </row>
    <row r="228" spans="320:328" s="2" customFormat="1">
      <c r="LH228" s="9"/>
      <c r="LP228" s="1"/>
    </row>
    <row r="229" spans="320:328" s="2" customFormat="1">
      <c r="LH229" s="9"/>
      <c r="LP229" s="1"/>
    </row>
    <row r="230" spans="320:328" s="2" customFormat="1">
      <c r="LH230" s="9"/>
      <c r="LP230" s="1"/>
    </row>
    <row r="231" spans="320:328" s="2" customFormat="1">
      <c r="LH231" s="9"/>
      <c r="LP231" s="1"/>
    </row>
    <row r="232" spans="320:328" s="2" customFormat="1">
      <c r="LH232" s="9"/>
      <c r="LP232" s="1"/>
    </row>
    <row r="233" spans="320:328" s="2" customFormat="1">
      <c r="LH233" s="9"/>
      <c r="LP233" s="1"/>
    </row>
    <row r="234" spans="320:328" s="2" customFormat="1">
      <c r="LH234" s="9"/>
      <c r="LP234" s="1"/>
    </row>
    <row r="235" spans="320:328" s="2" customFormat="1">
      <c r="LH235" s="9"/>
      <c r="LP235" s="1"/>
    </row>
    <row r="236" spans="320:328" s="2" customFormat="1">
      <c r="LH236" s="9"/>
      <c r="LP236" s="1"/>
    </row>
    <row r="237" spans="320:328" s="2" customFormat="1">
      <c r="LH237" s="9"/>
      <c r="LP237" s="1"/>
    </row>
    <row r="238" spans="320:328" s="2" customFormat="1">
      <c r="LH238" s="9"/>
      <c r="LP238" s="1"/>
    </row>
    <row r="239" spans="320:328" s="2" customFormat="1">
      <c r="LH239" s="9"/>
      <c r="LP239" s="1"/>
    </row>
    <row r="240" spans="320:328" s="2" customFormat="1">
      <c r="LH240" s="9"/>
      <c r="LP240" s="1"/>
    </row>
    <row r="241" spans="320:328" s="2" customFormat="1">
      <c r="LH241" s="9"/>
      <c r="LP241" s="1"/>
    </row>
    <row r="242" spans="320:328" s="2" customFormat="1">
      <c r="LH242" s="9"/>
      <c r="LP242" s="1"/>
    </row>
    <row r="243" spans="320:328" s="2" customFormat="1">
      <c r="LH243" s="9"/>
      <c r="LP243" s="1"/>
    </row>
    <row r="244" spans="320:328" s="2" customFormat="1">
      <c r="LH244" s="9"/>
      <c r="LP244" s="1"/>
    </row>
    <row r="245" spans="320:328" s="2" customFormat="1">
      <c r="LH245" s="9"/>
      <c r="LP245" s="1"/>
    </row>
    <row r="246" spans="320:328" s="2" customFormat="1">
      <c r="LH246" s="9"/>
      <c r="LP246" s="1"/>
    </row>
    <row r="247" spans="320:328" s="2" customFormat="1">
      <c r="LH247" s="9"/>
      <c r="LP247" s="1"/>
    </row>
    <row r="248" spans="320:328" s="2" customFormat="1">
      <c r="LH248" s="9"/>
      <c r="LP248" s="1"/>
    </row>
    <row r="249" spans="320:328" s="2" customFormat="1">
      <c r="LH249" s="9"/>
      <c r="LP249" s="1"/>
    </row>
    <row r="250" spans="320:328" s="2" customFormat="1">
      <c r="LH250" s="9"/>
      <c r="LP250" s="1"/>
    </row>
    <row r="251" spans="320:328" s="2" customFormat="1">
      <c r="LH251" s="9"/>
      <c r="LP251" s="1"/>
    </row>
    <row r="252" spans="320:328" s="2" customFormat="1">
      <c r="LH252" s="9"/>
      <c r="LP252" s="1"/>
    </row>
    <row r="253" spans="320:328" s="2" customFormat="1">
      <c r="LH253" s="9"/>
      <c r="LP253" s="1"/>
    </row>
    <row r="254" spans="320:328" s="2" customFormat="1">
      <c r="LH254" s="9"/>
      <c r="LP254" s="1"/>
    </row>
    <row r="255" spans="320:328" s="2" customFormat="1">
      <c r="LH255" s="9"/>
      <c r="LP255" s="1"/>
    </row>
    <row r="256" spans="320:328" s="2" customFormat="1">
      <c r="LH256" s="9"/>
      <c r="LP256" s="1"/>
    </row>
    <row r="257" spans="320:328" s="2" customFormat="1">
      <c r="LH257" s="9"/>
      <c r="LP257" s="1"/>
    </row>
    <row r="258" spans="320:328" s="2" customFormat="1">
      <c r="LH258" s="9"/>
      <c r="LP258" s="1"/>
    </row>
    <row r="259" spans="320:328" s="2" customFormat="1">
      <c r="LH259" s="9"/>
      <c r="LP259" s="1"/>
    </row>
    <row r="260" spans="320:328" s="2" customFormat="1">
      <c r="LH260" s="9"/>
      <c r="LP260" s="1"/>
    </row>
    <row r="261" spans="320:328" s="2" customFormat="1">
      <c r="LH261" s="9"/>
      <c r="LP261" s="1"/>
    </row>
    <row r="262" spans="320:328" s="2" customFormat="1">
      <c r="LH262" s="9"/>
      <c r="LP262" s="1"/>
    </row>
    <row r="263" spans="320:328" s="2" customFormat="1">
      <c r="LH263" s="9"/>
      <c r="LP263" s="1"/>
    </row>
    <row r="264" spans="320:328" s="2" customFormat="1">
      <c r="LH264" s="9"/>
      <c r="LP264" s="1"/>
    </row>
    <row r="265" spans="320:328" s="2" customFormat="1">
      <c r="LH265" s="9"/>
      <c r="LP265" s="1"/>
    </row>
    <row r="266" spans="320:328" s="2" customFormat="1">
      <c r="LH266" s="9"/>
      <c r="LP266" s="1"/>
    </row>
    <row r="267" spans="320:328" s="2" customFormat="1">
      <c r="LH267" s="9"/>
      <c r="LP267" s="1"/>
    </row>
    <row r="268" spans="320:328" s="2" customFormat="1">
      <c r="LH268" s="9"/>
      <c r="LP268" s="1"/>
    </row>
    <row r="269" spans="320:328" s="2" customFormat="1">
      <c r="LH269" s="9"/>
      <c r="LP269" s="1"/>
    </row>
    <row r="270" spans="320:328" s="2" customFormat="1">
      <c r="LH270" s="9"/>
      <c r="LP270" s="1"/>
    </row>
    <row r="271" spans="320:328" s="2" customFormat="1">
      <c r="LH271" s="9"/>
      <c r="LP271" s="1"/>
    </row>
    <row r="272" spans="320:328" s="2" customFormat="1">
      <c r="LH272" s="9"/>
      <c r="LP272" s="1"/>
    </row>
    <row r="273" spans="320:328" s="2" customFormat="1">
      <c r="LH273" s="9"/>
      <c r="LP273" s="1"/>
    </row>
    <row r="274" spans="320:328" s="2" customFormat="1">
      <c r="LH274" s="9"/>
      <c r="LP274" s="1"/>
    </row>
    <row r="275" spans="320:328" s="2" customFormat="1">
      <c r="LH275" s="9"/>
      <c r="LP275" s="1"/>
    </row>
    <row r="276" spans="320:328" s="2" customFormat="1">
      <c r="LH276" s="9"/>
      <c r="LP276" s="1"/>
    </row>
    <row r="277" spans="320:328" s="2" customFormat="1">
      <c r="LH277" s="9"/>
      <c r="LP277" s="1"/>
    </row>
    <row r="278" spans="320:328" s="2" customFormat="1">
      <c r="LH278" s="9"/>
      <c r="LP278" s="1"/>
    </row>
    <row r="279" spans="320:328" s="2" customFormat="1">
      <c r="LH279" s="9"/>
      <c r="LP279" s="1"/>
    </row>
    <row r="280" spans="320:328" s="2" customFormat="1">
      <c r="LH280" s="9"/>
      <c r="LP280" s="1"/>
    </row>
    <row r="281" spans="320:328" s="2" customFormat="1">
      <c r="LH281" s="9"/>
      <c r="LP281" s="1"/>
    </row>
    <row r="282" spans="320:328" s="2" customFormat="1">
      <c r="LH282" s="9"/>
      <c r="LP282" s="1"/>
    </row>
    <row r="283" spans="320:328" s="2" customFormat="1">
      <c r="LH283" s="9"/>
      <c r="LP283" s="1"/>
    </row>
    <row r="284" spans="320:328" s="2" customFormat="1">
      <c r="LH284" s="9"/>
      <c r="LP284" s="1"/>
    </row>
    <row r="285" spans="320:328" s="2" customFormat="1">
      <c r="LH285" s="9"/>
      <c r="LP285" s="1"/>
    </row>
    <row r="286" spans="320:328" s="2" customFormat="1">
      <c r="LH286" s="9"/>
      <c r="LP286" s="1"/>
    </row>
    <row r="287" spans="320:328" s="2" customFormat="1">
      <c r="LH287" s="9"/>
      <c r="LP287" s="1"/>
    </row>
    <row r="288" spans="320:328" s="2" customFormat="1">
      <c r="LH288" s="9"/>
      <c r="LP288" s="1"/>
    </row>
    <row r="289" spans="320:328" s="2" customFormat="1">
      <c r="LH289" s="9"/>
      <c r="LP289" s="1"/>
    </row>
    <row r="290" spans="320:328" s="2" customFormat="1">
      <c r="LH290" s="9"/>
      <c r="LP290" s="1"/>
    </row>
    <row r="291" spans="320:328" s="2" customFormat="1">
      <c r="LH291" s="9"/>
      <c r="LP291" s="1"/>
    </row>
    <row r="292" spans="320:328" s="2" customFormat="1">
      <c r="LH292" s="9"/>
      <c r="LP292" s="1"/>
    </row>
    <row r="293" spans="320:328" s="2" customFormat="1">
      <c r="LH293" s="9"/>
      <c r="LP293" s="1"/>
    </row>
    <row r="294" spans="320:328" s="2" customFormat="1">
      <c r="LH294" s="9"/>
      <c r="LP294" s="1"/>
    </row>
    <row r="295" spans="320:328" s="2" customFormat="1">
      <c r="LH295" s="9"/>
      <c r="LP295" s="1"/>
    </row>
    <row r="296" spans="320:328" s="2" customFormat="1">
      <c r="LH296" s="9"/>
      <c r="LP296" s="1"/>
    </row>
    <row r="297" spans="320:328" s="2" customFormat="1">
      <c r="LH297" s="9"/>
      <c r="LP297" s="1"/>
    </row>
    <row r="298" spans="320:328" s="2" customFormat="1">
      <c r="LH298" s="9"/>
      <c r="LP298" s="1"/>
    </row>
    <row r="299" spans="320:328" s="2" customFormat="1">
      <c r="LH299" s="9"/>
      <c r="LP299" s="1"/>
    </row>
    <row r="300" spans="320:328" s="2" customFormat="1">
      <c r="LH300" s="9"/>
      <c r="LP300" s="1"/>
    </row>
    <row r="301" spans="320:328" s="2" customFormat="1">
      <c r="LH301" s="9"/>
      <c r="LP301" s="1"/>
    </row>
    <row r="302" spans="320:328" s="2" customFormat="1">
      <c r="LH302" s="9"/>
      <c r="LP302" s="1"/>
    </row>
    <row r="303" spans="320:328" s="2" customFormat="1">
      <c r="LH303" s="9"/>
      <c r="LP303" s="1"/>
    </row>
    <row r="304" spans="320:328" s="2" customFormat="1">
      <c r="LH304" s="9"/>
      <c r="LP304" s="1"/>
    </row>
    <row r="305" spans="320:328" s="2" customFormat="1">
      <c r="LH305" s="9"/>
      <c r="LP305" s="1"/>
    </row>
    <row r="306" spans="320:328" s="2" customFormat="1">
      <c r="LH306" s="9"/>
      <c r="LP306" s="1"/>
    </row>
    <row r="307" spans="320:328" s="2" customFormat="1">
      <c r="LH307" s="9"/>
      <c r="LP307" s="1"/>
    </row>
    <row r="308" spans="320:328" s="2" customFormat="1">
      <c r="LH308" s="9"/>
      <c r="LP308" s="1"/>
    </row>
    <row r="309" spans="320:328" s="2" customFormat="1">
      <c r="LH309" s="9"/>
      <c r="LP309" s="1"/>
    </row>
    <row r="310" spans="320:328" s="2" customFormat="1">
      <c r="LH310" s="9"/>
      <c r="LP310" s="1"/>
    </row>
    <row r="311" spans="320:328" s="2" customFormat="1">
      <c r="LH311" s="9"/>
      <c r="LP311" s="1"/>
    </row>
    <row r="312" spans="320:328" s="2" customFormat="1">
      <c r="LH312" s="9"/>
      <c r="LP312" s="1"/>
    </row>
    <row r="313" spans="320:328" s="2" customFormat="1">
      <c r="LH313" s="9"/>
      <c r="LP313" s="1"/>
    </row>
    <row r="314" spans="320:328" s="2" customFormat="1">
      <c r="LH314" s="9"/>
      <c r="LP314" s="1"/>
    </row>
    <row r="315" spans="320:328" s="2" customFormat="1">
      <c r="LH315" s="9"/>
      <c r="LP315" s="1"/>
    </row>
    <row r="316" spans="320:328" s="2" customFormat="1">
      <c r="LH316" s="9"/>
      <c r="LP316" s="1"/>
    </row>
    <row r="317" spans="320:328" s="2" customFormat="1">
      <c r="LH317" s="9"/>
      <c r="LP317" s="1"/>
    </row>
    <row r="318" spans="320:328" s="2" customFormat="1">
      <c r="LH318" s="9"/>
      <c r="LP318" s="1"/>
    </row>
    <row r="319" spans="320:328" s="2" customFormat="1">
      <c r="LH319" s="9"/>
      <c r="LP319" s="1"/>
    </row>
    <row r="320" spans="320:328" s="2" customFormat="1">
      <c r="LH320" s="9"/>
      <c r="LP320" s="1"/>
    </row>
    <row r="321" spans="320:328" s="2" customFormat="1">
      <c r="LH321" s="9"/>
      <c r="LP321" s="1"/>
    </row>
    <row r="322" spans="320:328" s="2" customFormat="1">
      <c r="LH322" s="9"/>
      <c r="LP322" s="1"/>
    </row>
    <row r="323" spans="320:328" s="2" customFormat="1">
      <c r="LH323" s="9"/>
      <c r="LP323" s="1"/>
    </row>
    <row r="324" spans="320:328" s="2" customFormat="1">
      <c r="LH324" s="9"/>
      <c r="LP324" s="1"/>
    </row>
    <row r="325" spans="320:328" s="2" customFormat="1">
      <c r="LH325" s="9"/>
      <c r="LP325" s="1"/>
    </row>
    <row r="326" spans="320:328" s="2" customFormat="1">
      <c r="LH326" s="9"/>
      <c r="LP326" s="1"/>
    </row>
    <row r="327" spans="320:328" s="2" customFormat="1">
      <c r="LH327" s="9"/>
      <c r="LP327" s="1"/>
    </row>
    <row r="328" spans="320:328" s="2" customFormat="1">
      <c r="LH328" s="9"/>
      <c r="LP328" s="1"/>
    </row>
    <row r="329" spans="320:328" s="2" customFormat="1">
      <c r="LH329" s="9"/>
      <c r="LP329" s="1"/>
    </row>
    <row r="330" spans="320:328" s="2" customFormat="1">
      <c r="LH330" s="9"/>
      <c r="LP330" s="1"/>
    </row>
    <row r="331" spans="320:328" s="2" customFormat="1">
      <c r="LH331" s="9"/>
      <c r="LP331" s="1"/>
    </row>
    <row r="332" spans="320:328" s="2" customFormat="1">
      <c r="LH332" s="9"/>
      <c r="LP332" s="1"/>
    </row>
    <row r="333" spans="320:328" s="2" customFormat="1">
      <c r="LH333" s="9"/>
      <c r="LP333" s="1"/>
    </row>
    <row r="334" spans="320:328" s="2" customFormat="1">
      <c r="LH334" s="9"/>
      <c r="LP334" s="1"/>
    </row>
    <row r="335" spans="320:328" s="2" customFormat="1">
      <c r="LH335" s="9"/>
      <c r="LP335" s="1"/>
    </row>
    <row r="336" spans="320:328" s="2" customFormat="1">
      <c r="LH336" s="9"/>
      <c r="LP336" s="1"/>
    </row>
    <row r="337" spans="320:328" s="2" customFormat="1">
      <c r="LH337" s="9"/>
      <c r="LP337" s="1"/>
    </row>
    <row r="338" spans="320:328" s="2" customFormat="1">
      <c r="LH338" s="9"/>
      <c r="LP338" s="1"/>
    </row>
    <row r="339" spans="320:328" s="2" customFormat="1">
      <c r="LH339" s="9"/>
      <c r="LP339" s="1"/>
    </row>
    <row r="340" spans="320:328" s="2" customFormat="1">
      <c r="LH340" s="9"/>
      <c r="LP340" s="1"/>
    </row>
    <row r="341" spans="320:328" s="2" customFormat="1">
      <c r="LH341" s="9"/>
      <c r="LP341" s="1"/>
    </row>
    <row r="342" spans="320:328" s="2" customFormat="1">
      <c r="LH342" s="9"/>
      <c r="LP342" s="1"/>
    </row>
    <row r="343" spans="320:328" s="2" customFormat="1">
      <c r="LH343" s="9"/>
      <c r="LP343" s="1"/>
    </row>
    <row r="344" spans="320:328" s="2" customFormat="1">
      <c r="LH344" s="9"/>
      <c r="LP344" s="1"/>
    </row>
    <row r="345" spans="320:328" s="2" customFormat="1">
      <c r="LH345" s="9"/>
      <c r="LP345" s="1"/>
    </row>
    <row r="346" spans="320:328" s="2" customFormat="1">
      <c r="LH346" s="9"/>
      <c r="LP346" s="1"/>
    </row>
    <row r="347" spans="320:328" s="2" customFormat="1">
      <c r="LH347" s="9"/>
      <c r="LP347" s="1"/>
    </row>
    <row r="348" spans="320:328" s="2" customFormat="1">
      <c r="LH348" s="9"/>
      <c r="LP348" s="1"/>
    </row>
    <row r="349" spans="320:328" s="2" customFormat="1">
      <c r="LH349" s="9"/>
      <c r="LP349" s="1"/>
    </row>
    <row r="350" spans="320:328" s="2" customFormat="1">
      <c r="LH350" s="9"/>
      <c r="LP350" s="1"/>
    </row>
    <row r="351" spans="320:328" s="2" customFormat="1">
      <c r="LH351" s="9"/>
      <c r="LP351" s="1"/>
    </row>
    <row r="352" spans="320:328" s="2" customFormat="1">
      <c r="LH352" s="9"/>
      <c r="LP352" s="1"/>
    </row>
    <row r="353" spans="320:328" s="2" customFormat="1">
      <c r="LH353" s="9"/>
      <c r="LP353" s="1"/>
    </row>
    <row r="354" spans="320:328" s="2" customFormat="1">
      <c r="LH354" s="9"/>
      <c r="LP354" s="1"/>
    </row>
    <row r="355" spans="320:328" s="2" customFormat="1">
      <c r="LH355" s="9"/>
      <c r="LP355" s="1"/>
    </row>
    <row r="356" spans="320:328" s="2" customFormat="1">
      <c r="LH356" s="9"/>
      <c r="LP356" s="1"/>
    </row>
    <row r="357" spans="320:328" s="2" customFormat="1">
      <c r="LH357" s="9"/>
      <c r="LP357" s="1"/>
    </row>
    <row r="358" spans="320:328" s="2" customFormat="1">
      <c r="LH358" s="9"/>
      <c r="LP358" s="1"/>
    </row>
    <row r="359" spans="320:328" s="2" customFormat="1">
      <c r="LH359" s="9"/>
      <c r="LP359" s="1"/>
    </row>
    <row r="360" spans="320:328" s="2" customFormat="1">
      <c r="LH360" s="9"/>
      <c r="LP360" s="1"/>
    </row>
    <row r="361" spans="320:328" s="2" customFormat="1">
      <c r="LH361" s="9"/>
      <c r="LP361" s="1"/>
    </row>
    <row r="362" spans="320:328" s="2" customFormat="1">
      <c r="LH362" s="9"/>
      <c r="LP362" s="1"/>
    </row>
    <row r="363" spans="320:328" s="2" customFormat="1">
      <c r="LH363" s="9"/>
      <c r="LP363" s="1"/>
    </row>
    <row r="364" spans="320:328" s="2" customFormat="1">
      <c r="LH364" s="9"/>
      <c r="LP364" s="1"/>
    </row>
    <row r="365" spans="320:328" s="2" customFormat="1">
      <c r="LH365" s="9"/>
      <c r="LP365" s="1"/>
    </row>
    <row r="366" spans="320:328" s="2" customFormat="1">
      <c r="LH366" s="9"/>
      <c r="LP366" s="1"/>
    </row>
    <row r="367" spans="320:328" s="2" customFormat="1">
      <c r="LH367" s="9"/>
      <c r="LP367" s="1"/>
    </row>
    <row r="368" spans="320:328" s="2" customFormat="1">
      <c r="LH368" s="9"/>
      <c r="LP368" s="1"/>
    </row>
    <row r="369" spans="320:328" s="2" customFormat="1">
      <c r="LH369" s="9"/>
      <c r="LP369" s="1"/>
    </row>
    <row r="370" spans="320:328" s="2" customFormat="1">
      <c r="LH370" s="9"/>
      <c r="LP370" s="1"/>
    </row>
    <row r="371" spans="320:328" s="2" customFormat="1">
      <c r="LH371" s="9"/>
      <c r="LP371" s="1"/>
    </row>
    <row r="372" spans="320:328" s="2" customFormat="1">
      <c r="LH372" s="9"/>
      <c r="LP372" s="1"/>
    </row>
    <row r="373" spans="320:328" s="2" customFormat="1">
      <c r="LH373" s="9"/>
      <c r="LP373" s="1"/>
    </row>
    <row r="374" spans="320:328" s="2" customFormat="1">
      <c r="LH374" s="9"/>
      <c r="LP374" s="1"/>
    </row>
    <row r="375" spans="320:328" s="2" customFormat="1">
      <c r="LH375" s="9"/>
      <c r="LP375" s="1"/>
    </row>
    <row r="376" spans="320:328" s="2" customFormat="1">
      <c r="LH376" s="9"/>
      <c r="LP376" s="1"/>
    </row>
    <row r="377" spans="320:328" s="2" customFormat="1">
      <c r="LH377" s="9"/>
      <c r="LP377" s="1"/>
    </row>
    <row r="378" spans="320:328" s="2" customFormat="1">
      <c r="LH378" s="9"/>
      <c r="LP378" s="1"/>
    </row>
    <row r="379" spans="320:328" s="2" customFormat="1">
      <c r="LH379" s="9"/>
      <c r="LP379" s="1"/>
    </row>
    <row r="380" spans="320:328" s="2" customFormat="1">
      <c r="LH380" s="9"/>
      <c r="LP380" s="1"/>
    </row>
    <row r="381" spans="320:328" s="2" customFormat="1">
      <c r="LH381" s="9"/>
      <c r="LP381" s="1"/>
    </row>
    <row r="382" spans="320:328" s="2" customFormat="1">
      <c r="LH382" s="9"/>
      <c r="LP382" s="1"/>
    </row>
    <row r="383" spans="320:328" s="2" customFormat="1">
      <c r="LH383" s="9"/>
      <c r="LP383" s="1"/>
    </row>
    <row r="384" spans="320:328" s="2" customFormat="1">
      <c r="LH384" s="9"/>
      <c r="LP384" s="1"/>
    </row>
    <row r="385" spans="320:328" s="2" customFormat="1">
      <c r="LH385" s="9"/>
      <c r="LP385" s="1"/>
    </row>
    <row r="386" spans="320:328" s="2" customFormat="1">
      <c r="LH386" s="9"/>
      <c r="LP386" s="1"/>
    </row>
    <row r="387" spans="320:328" s="2" customFormat="1">
      <c r="LH387" s="9"/>
      <c r="LP387" s="1"/>
    </row>
    <row r="388" spans="320:328" s="2" customFormat="1">
      <c r="LH388" s="9"/>
      <c r="LP388" s="1"/>
    </row>
    <row r="389" spans="320:328" s="2" customFormat="1">
      <c r="LH389" s="9"/>
      <c r="LP389" s="1"/>
    </row>
    <row r="390" spans="320:328" s="2" customFormat="1">
      <c r="LH390" s="9"/>
      <c r="LP390" s="1"/>
    </row>
    <row r="391" spans="320:328" s="2" customFormat="1">
      <c r="LH391" s="9"/>
      <c r="LP391" s="1"/>
    </row>
    <row r="392" spans="320:328" s="2" customFormat="1">
      <c r="LH392" s="9"/>
      <c r="LP392" s="1"/>
    </row>
    <row r="393" spans="320:328" s="2" customFormat="1">
      <c r="LH393" s="9"/>
      <c r="LP393" s="1"/>
    </row>
    <row r="394" spans="320:328" s="2" customFormat="1">
      <c r="LH394" s="9"/>
      <c r="LP394" s="1"/>
    </row>
    <row r="395" spans="320:328" s="2" customFormat="1">
      <c r="LH395" s="9"/>
      <c r="LP395" s="1"/>
    </row>
    <row r="396" spans="320:328" s="2" customFormat="1">
      <c r="LH396" s="9"/>
      <c r="LP396" s="1"/>
    </row>
    <row r="397" spans="320:328" s="2" customFormat="1">
      <c r="LH397" s="9"/>
      <c r="LP397" s="1"/>
    </row>
    <row r="398" spans="320:328" s="2" customFormat="1">
      <c r="LH398" s="9"/>
      <c r="LP398" s="1"/>
    </row>
    <row r="399" spans="320:328" s="2" customFormat="1">
      <c r="LH399" s="9"/>
      <c r="LP399" s="1"/>
    </row>
    <row r="400" spans="320:328" s="2" customFormat="1">
      <c r="LH400" s="9"/>
      <c r="LP400" s="1"/>
    </row>
    <row r="401" spans="320:328" s="2" customFormat="1">
      <c r="LH401" s="9"/>
      <c r="LP401" s="1"/>
    </row>
    <row r="402" spans="320:328" s="2" customFormat="1">
      <c r="LH402" s="9"/>
      <c r="LP402" s="1"/>
    </row>
    <row r="403" spans="320:328" s="2" customFormat="1">
      <c r="LH403" s="9"/>
      <c r="LP403" s="1"/>
    </row>
    <row r="404" spans="320:328" s="2" customFormat="1">
      <c r="LH404" s="9"/>
      <c r="LP404" s="1"/>
    </row>
  </sheetData>
  <mergeCells count="2">
    <mergeCell ref="B1:C1"/>
    <mergeCell ref="ON1:OT1"/>
  </mergeCells>
  <conditionalFormatting sqref="D6:ML404">
    <cfRule type="cellIs" dxfId="3" priority="18" operator="notBetween">
      <formula>0</formula>
      <formula>5</formula>
    </cfRule>
  </conditionalFormatting>
  <conditionalFormatting sqref="D3:OM3">
    <cfRule type="cellIs" dxfId="2" priority="3" operator="notBetween">
      <formula>380</formula>
      <formula>420</formula>
    </cfRule>
  </conditionalFormatting>
  <conditionalFormatting sqref="D4:OM4">
    <cfRule type="cellIs" dxfId="1" priority="2" operator="notBetween">
      <formula>74</formula>
      <formula>80</formula>
    </cfRule>
  </conditionalFormatting>
  <conditionalFormatting sqref="D5:OM5">
    <cfRule type="cellIs" dxfId="0" priority="1" operator="notBetween">
      <formula>94</formula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shuhlingWang</dc:creator>
  <cp:lastModifiedBy>Gauresh Chari</cp:lastModifiedBy>
  <cp:lastPrinted>2017-06-09T06:30:39Z</cp:lastPrinted>
  <dcterms:created xsi:type="dcterms:W3CDTF">2011-10-22T09:03:04Z</dcterms:created>
  <dcterms:modified xsi:type="dcterms:W3CDTF">2025-12-28T15:33:52Z</dcterms:modified>
</cp:coreProperties>
</file>