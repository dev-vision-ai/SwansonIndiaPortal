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ursor AI Projects\SwansonIndiaPortal\backend\templates\"/>
    </mc:Choice>
  </mc:AlternateContent>
  <xr:revisionPtr revIDLastSave="0" documentId="13_ncr:1_{D6BE40BA-C095-4DDC-A577-8E16F30E5F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  <sheet name="Page2" sheetId="5" r:id="rId2"/>
    <sheet name="Page3" sheetId="9" r:id="rId3"/>
    <sheet name="Page4" sheetId="10" r:id="rId4"/>
    <sheet name="21088174.001_01_COA" sheetId="11" r:id="rId5"/>
    <sheet name="CpK" sheetId="12" r:id="rId6"/>
  </sheets>
  <definedNames>
    <definedName name="_xlnm.Print_Area" localSheetId="0">Page1!$A$1:$O$44</definedName>
    <definedName name="_xlnm.Print_Area" localSheetId="3">Page4!$A$1:$O$45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2" l="1" a="1"/>
  <c r="K3" i="12" s="1"/>
  <c r="L3" i="12" a="1"/>
  <c r="L3" i="12"/>
  <c r="M3" i="12" a="1"/>
  <c r="M3" i="12" s="1"/>
  <c r="N3" i="12" a="1"/>
  <c r="N3" i="12"/>
  <c r="O3" i="12" a="1"/>
  <c r="O3" i="12" s="1"/>
  <c r="P3" i="12" a="1"/>
  <c r="P3" i="12" s="1"/>
  <c r="Q3" i="12" a="1"/>
  <c r="Q3" i="12" s="1"/>
  <c r="R3" i="12" a="1"/>
  <c r="R3" i="12"/>
  <c r="S3" i="12" a="1"/>
  <c r="S3" i="12" s="1"/>
  <c r="T3" i="12" a="1"/>
  <c r="T3" i="12" s="1"/>
  <c r="U3" i="12" a="1"/>
  <c r="U3" i="12" s="1"/>
  <c r="V3" i="12" a="1"/>
  <c r="V3" i="12" s="1"/>
  <c r="W3" i="12" a="1"/>
  <c r="W3" i="12" s="1"/>
  <c r="X3" i="12" a="1"/>
  <c r="X3" i="12" s="1"/>
  <c r="Y3" i="12" a="1"/>
  <c r="Y3" i="12" s="1"/>
  <c r="Z3" i="12" a="1"/>
  <c r="Z3" i="12"/>
  <c r="AA3" i="12" a="1"/>
  <c r="AA3" i="12" s="1"/>
  <c r="AB3" i="12" a="1"/>
  <c r="AB3" i="12"/>
  <c r="AC3" i="12" a="1"/>
  <c r="AC3" i="12" s="1"/>
  <c r="AD3" i="12" a="1"/>
  <c r="AD3" i="12" s="1"/>
  <c r="AE3" i="12" a="1"/>
  <c r="AE3" i="12" s="1"/>
  <c r="AF3" i="12" a="1"/>
  <c r="AF3" i="12" s="1"/>
  <c r="AG3" i="12" a="1"/>
  <c r="AG3" i="12" s="1"/>
  <c r="AH3" i="12" a="1"/>
  <c r="AH3" i="12"/>
  <c r="AI3" i="12" a="1"/>
  <c r="AI3" i="12" s="1"/>
  <c r="AJ3" i="12" a="1"/>
  <c r="AJ3" i="12" s="1"/>
  <c r="AK3" i="12" a="1"/>
  <c r="AK3" i="12" s="1"/>
  <c r="AL3" i="12" a="1"/>
  <c r="AL3" i="12" s="1"/>
  <c r="AM3" i="12" a="1"/>
  <c r="AM3" i="12" s="1"/>
  <c r="AN3" i="12" a="1"/>
  <c r="AN3" i="12" s="1"/>
  <c r="K4" i="12" a="1"/>
  <c r="K4" i="12" s="1"/>
  <c r="L4" i="12" a="1"/>
  <c r="L4" i="12"/>
  <c r="M4" i="12" a="1"/>
  <c r="M4" i="12" s="1"/>
  <c r="N4" i="12" a="1"/>
  <c r="N4" i="12" s="1"/>
  <c r="O4" i="12" a="1"/>
  <c r="O4" i="12" s="1"/>
  <c r="P4" i="12" a="1"/>
  <c r="P4" i="12" s="1"/>
  <c r="Q4" i="12" a="1"/>
  <c r="Q4" i="12" s="1"/>
  <c r="R4" i="12" a="1"/>
  <c r="R4" i="12" s="1"/>
  <c r="S4" i="12" a="1"/>
  <c r="S4" i="12" s="1"/>
  <c r="T4" i="12" a="1"/>
  <c r="T4" i="12"/>
  <c r="U4" i="12" a="1"/>
  <c r="U4" i="12" s="1"/>
  <c r="V4" i="12" a="1"/>
  <c r="V4" i="12" s="1"/>
  <c r="W4" i="12" a="1"/>
  <c r="W4" i="12" s="1"/>
  <c r="X4" i="12" a="1"/>
  <c r="X4" i="12" s="1"/>
  <c r="Y4" i="12" a="1"/>
  <c r="Y4" i="12" s="1"/>
  <c r="Z4" i="12" a="1"/>
  <c r="Z4" i="12" s="1"/>
  <c r="AA4" i="12" a="1"/>
  <c r="AA4" i="12" s="1"/>
  <c r="AB4" i="12" a="1"/>
  <c r="AB4" i="12"/>
  <c r="AC4" i="12" a="1"/>
  <c r="AC4" i="12" s="1"/>
  <c r="AD4" i="12" a="1"/>
  <c r="AD4" i="12" s="1"/>
  <c r="AE4" i="12" a="1"/>
  <c r="AE4" i="12" s="1"/>
  <c r="AF4" i="12" a="1"/>
  <c r="AF4" i="12" s="1"/>
  <c r="AG4" i="12" a="1"/>
  <c r="AG4" i="12" s="1"/>
  <c r="AH4" i="12" a="1"/>
  <c r="AH4" i="12" s="1"/>
  <c r="AI4" i="12" a="1"/>
  <c r="AI4" i="12" s="1"/>
  <c r="AJ4" i="12" a="1"/>
  <c r="AJ4" i="12"/>
  <c r="AK4" i="12" a="1"/>
  <c r="AK4" i="12" s="1"/>
  <c r="AL4" i="12" a="1"/>
  <c r="AL4" i="12" s="1"/>
  <c r="AM4" i="12" a="1"/>
  <c r="AM4" i="12" s="1"/>
  <c r="AN4" i="12" a="1"/>
  <c r="AN4" i="12" s="1"/>
  <c r="K5" i="12" a="1"/>
  <c r="K5" i="12" s="1"/>
  <c r="L5" i="12" a="1"/>
  <c r="L5" i="12" s="1"/>
  <c r="M5" i="12" a="1"/>
  <c r="M5" i="12" s="1"/>
  <c r="N5" i="12" a="1"/>
  <c r="N5" i="12"/>
  <c r="O5" i="12" a="1"/>
  <c r="O5" i="12" s="1"/>
  <c r="P5" i="12" a="1"/>
  <c r="P5" i="12" s="1"/>
  <c r="Q5" i="12" a="1"/>
  <c r="Q5" i="12" s="1"/>
  <c r="R5" i="12" a="1"/>
  <c r="R5" i="12" s="1"/>
  <c r="S5" i="12" a="1"/>
  <c r="S5" i="12" s="1"/>
  <c r="T5" i="12" a="1"/>
  <c r="T5" i="12" s="1"/>
  <c r="U5" i="12" a="1"/>
  <c r="U5" i="12" s="1"/>
  <c r="V5" i="12" a="1"/>
  <c r="V5" i="12"/>
  <c r="W5" i="12" a="1"/>
  <c r="W5" i="12" s="1"/>
  <c r="X5" i="12" a="1"/>
  <c r="X5" i="12" s="1"/>
  <c r="Y5" i="12" a="1"/>
  <c r="Y5" i="12" s="1"/>
  <c r="Z5" i="12" a="1"/>
  <c r="Z5" i="12" s="1"/>
  <c r="AA5" i="12" a="1"/>
  <c r="AA5" i="12" s="1"/>
  <c r="AB5" i="12" a="1"/>
  <c r="AB5" i="12" s="1"/>
  <c r="AC5" i="12" a="1"/>
  <c r="AC5" i="12" s="1"/>
  <c r="AD5" i="12" a="1"/>
  <c r="AD5" i="12"/>
  <c r="AE5" i="12" a="1"/>
  <c r="AE5" i="12" s="1"/>
  <c r="AF5" i="12" a="1"/>
  <c r="AF5" i="12" s="1"/>
  <c r="AG5" i="12" a="1"/>
  <c r="AG5" i="12" s="1"/>
  <c r="AH5" i="12" a="1"/>
  <c r="AH5" i="12" s="1"/>
  <c r="AI5" i="12" a="1"/>
  <c r="AI5" i="12" s="1"/>
  <c r="AJ5" i="12" a="1"/>
  <c r="AJ5" i="12" s="1"/>
  <c r="AK5" i="12" a="1"/>
  <c r="AK5" i="12" s="1"/>
  <c r="AL5" i="12" a="1"/>
  <c r="AL5" i="12"/>
  <c r="AM5" i="12" a="1"/>
  <c r="AM5" i="12" s="1"/>
  <c r="AN5" i="12" a="1"/>
  <c r="AN5" i="12" s="1"/>
  <c r="K6" i="12" a="1"/>
  <c r="K6" i="12" s="1"/>
  <c r="L6" i="12" a="1"/>
  <c r="L6" i="12" s="1"/>
  <c r="M6" i="12" a="1"/>
  <c r="M6" i="12" s="1"/>
  <c r="N6" i="12" a="1"/>
  <c r="N6" i="12" s="1"/>
  <c r="O6" i="12" a="1"/>
  <c r="O6" i="12" s="1"/>
  <c r="P6" i="12" a="1"/>
  <c r="P6" i="12"/>
  <c r="Q6" i="12" a="1"/>
  <c r="Q6" i="12" s="1"/>
  <c r="R6" i="12" a="1"/>
  <c r="R6" i="12" s="1"/>
  <c r="S6" i="12" a="1"/>
  <c r="S6" i="12" s="1"/>
  <c r="T6" i="12" a="1"/>
  <c r="T6" i="12" s="1"/>
  <c r="U6" i="12" a="1"/>
  <c r="U6" i="12" s="1"/>
  <c r="V6" i="12" a="1"/>
  <c r="V6" i="12" s="1"/>
  <c r="W6" i="12" a="1"/>
  <c r="W6" i="12" s="1"/>
  <c r="X6" i="12" a="1"/>
  <c r="X6" i="12"/>
  <c r="Y6" i="12" a="1"/>
  <c r="Y6" i="12" s="1"/>
  <c r="Z6" i="12" a="1"/>
  <c r="Z6" i="12" s="1"/>
  <c r="AA6" i="12" a="1"/>
  <c r="AA6" i="12" s="1"/>
  <c r="AB6" i="12" a="1"/>
  <c r="AB6" i="12" s="1"/>
  <c r="AC6" i="12" a="1"/>
  <c r="AC6" i="12" s="1"/>
  <c r="AD6" i="12" a="1"/>
  <c r="AD6" i="12" s="1"/>
  <c r="AE6" i="12" a="1"/>
  <c r="AE6" i="12" s="1"/>
  <c r="AF6" i="12" a="1"/>
  <c r="AF6" i="12"/>
  <c r="AG6" i="12" a="1"/>
  <c r="AG6" i="12" s="1"/>
  <c r="AH6" i="12" a="1"/>
  <c r="AH6" i="12" s="1"/>
  <c r="AI6" i="12" a="1"/>
  <c r="AI6" i="12" s="1"/>
  <c r="AJ6" i="12" a="1"/>
  <c r="AJ6" i="12" s="1"/>
  <c r="AK6" i="12" a="1"/>
  <c r="AK6" i="12" s="1"/>
  <c r="AL6" i="12" a="1"/>
  <c r="AL6" i="12" s="1"/>
  <c r="AM6" i="12" a="1"/>
  <c r="AM6" i="12" s="1"/>
  <c r="AN6" i="12" a="1"/>
  <c r="AN6" i="12"/>
  <c r="K7" i="12" a="1"/>
  <c r="K7" i="12" s="1"/>
  <c r="L7" i="12" a="1"/>
  <c r="L7" i="12" s="1"/>
  <c r="M7" i="12" a="1"/>
  <c r="M7" i="12" s="1"/>
  <c r="N7" i="12" a="1"/>
  <c r="N7" i="12" s="1"/>
  <c r="O7" i="12" a="1"/>
  <c r="O7" i="12" s="1"/>
  <c r="P7" i="12" a="1"/>
  <c r="P7" i="12" s="1"/>
  <c r="Q7" i="12" a="1"/>
  <c r="Q7" i="12" s="1"/>
  <c r="R7" i="12" a="1"/>
  <c r="R7" i="12"/>
  <c r="S7" i="12" a="1"/>
  <c r="S7" i="12" s="1"/>
  <c r="T7" i="12" a="1"/>
  <c r="T7" i="12" s="1"/>
  <c r="U7" i="12" a="1"/>
  <c r="U7" i="12" s="1"/>
  <c r="V7" i="12" a="1"/>
  <c r="V7" i="12" s="1"/>
  <c r="W7" i="12" a="1"/>
  <c r="W7" i="12" s="1"/>
  <c r="X7" i="12" a="1"/>
  <c r="X7" i="12" s="1"/>
  <c r="Y7" i="12" a="1"/>
  <c r="Y7" i="12" s="1"/>
  <c r="Z7" i="12" a="1"/>
  <c r="Z7" i="12"/>
  <c r="AA7" i="12" a="1"/>
  <c r="AA7" i="12" s="1"/>
  <c r="AB7" i="12" a="1"/>
  <c r="AB7" i="12" s="1"/>
  <c r="AC7" i="12" a="1"/>
  <c r="AC7" i="12" s="1"/>
  <c r="AD7" i="12" a="1"/>
  <c r="AD7" i="12" s="1"/>
  <c r="AE7" i="12" a="1"/>
  <c r="AE7" i="12" s="1"/>
  <c r="AF7" i="12" a="1"/>
  <c r="AF7" i="12" s="1"/>
  <c r="AG7" i="12" a="1"/>
  <c r="AG7" i="12" s="1"/>
  <c r="AH7" i="12" a="1"/>
  <c r="AH7" i="12"/>
  <c r="AI7" i="12" a="1"/>
  <c r="AI7" i="12" s="1"/>
  <c r="AJ7" i="12" a="1"/>
  <c r="AJ7" i="12" s="1"/>
  <c r="AK7" i="12" a="1"/>
  <c r="AK7" i="12" s="1"/>
  <c r="AL7" i="12" a="1"/>
  <c r="AL7" i="12" s="1"/>
  <c r="AM7" i="12" a="1"/>
  <c r="AM7" i="12" s="1"/>
  <c r="AN7" i="12" a="1"/>
  <c r="AN7" i="12" s="1"/>
  <c r="K8" i="12" a="1"/>
  <c r="K8" i="12" s="1"/>
  <c r="L8" i="12" a="1"/>
  <c r="L8" i="12"/>
  <c r="M8" i="12" a="1"/>
  <c r="M8" i="12" s="1"/>
  <c r="N8" i="12" a="1"/>
  <c r="N8" i="12" s="1"/>
  <c r="O8" i="12" a="1"/>
  <c r="O8" i="12" s="1"/>
  <c r="P8" i="12" a="1"/>
  <c r="P8" i="12" s="1"/>
  <c r="Q8" i="12" a="1"/>
  <c r="Q8" i="12" s="1"/>
  <c r="R8" i="12" a="1"/>
  <c r="R8" i="12" s="1"/>
  <c r="S8" i="12" a="1"/>
  <c r="S8" i="12" s="1"/>
  <c r="T8" i="12" a="1"/>
  <c r="T8" i="12"/>
  <c r="U8" i="12" a="1"/>
  <c r="U8" i="12" s="1"/>
  <c r="V8" i="12" a="1"/>
  <c r="V8" i="12" s="1"/>
  <c r="W8" i="12" a="1"/>
  <c r="W8" i="12" s="1"/>
  <c r="X8" i="12" a="1"/>
  <c r="X8" i="12" s="1"/>
  <c r="Y8" i="12" a="1"/>
  <c r="Y8" i="12" s="1"/>
  <c r="Z8" i="12" a="1"/>
  <c r="Z8" i="12" s="1"/>
  <c r="AA8" i="12" a="1"/>
  <c r="AA8" i="12" s="1"/>
  <c r="AB8" i="12" a="1"/>
  <c r="AB8" i="12"/>
  <c r="AC8" i="12" a="1"/>
  <c r="AC8" i="12" s="1"/>
  <c r="AD8" i="12" a="1"/>
  <c r="AD8" i="12" s="1"/>
  <c r="AE8" i="12" a="1"/>
  <c r="AE8" i="12" s="1"/>
  <c r="AF8" i="12" a="1"/>
  <c r="AF8" i="12" s="1"/>
  <c r="AG8" i="12" a="1"/>
  <c r="AG8" i="12" s="1"/>
  <c r="AH8" i="12" a="1"/>
  <c r="AH8" i="12" s="1"/>
  <c r="AI8" i="12" a="1"/>
  <c r="AI8" i="12" s="1"/>
  <c r="AJ8" i="12" a="1"/>
  <c r="AJ8" i="12" s="1"/>
  <c r="AK8" i="12" a="1"/>
  <c r="AK8" i="12" s="1"/>
  <c r="AL8" i="12" a="1"/>
  <c r="AL8" i="12" s="1"/>
  <c r="AM8" i="12" a="1"/>
  <c r="AM8" i="12" s="1"/>
  <c r="AN8" i="12" a="1"/>
  <c r="AN8" i="12" s="1"/>
  <c r="K9" i="12" a="1"/>
  <c r="K9" i="12" s="1"/>
  <c r="L9" i="12" a="1"/>
  <c r="L9" i="12" s="1"/>
  <c r="M9" i="12" a="1"/>
  <c r="M9" i="12" s="1"/>
  <c r="N9" i="12" a="1"/>
  <c r="N9" i="12" s="1"/>
  <c r="O9" i="12" a="1"/>
  <c r="O9" i="12" s="1"/>
  <c r="P9" i="12" a="1"/>
  <c r="P9" i="12" s="1"/>
  <c r="Q9" i="12" a="1"/>
  <c r="Q9" i="12" s="1"/>
  <c r="R9" i="12" a="1"/>
  <c r="R9" i="12" s="1"/>
  <c r="S9" i="12" a="1"/>
  <c r="S9" i="12" s="1"/>
  <c r="T9" i="12" a="1"/>
  <c r="T9" i="12" s="1"/>
  <c r="U9" i="12" a="1"/>
  <c r="U9" i="12" s="1"/>
  <c r="V9" i="12" a="1"/>
  <c r="V9" i="12" s="1"/>
  <c r="W9" i="12" a="1"/>
  <c r="W9" i="12" s="1"/>
  <c r="X9" i="12" a="1"/>
  <c r="X9" i="12" s="1"/>
  <c r="Y9" i="12" a="1"/>
  <c r="Y9" i="12" s="1"/>
  <c r="Z9" i="12" a="1"/>
  <c r="Z9" i="12" s="1"/>
  <c r="AA9" i="12" a="1"/>
  <c r="AA9" i="12" s="1"/>
  <c r="AB9" i="12" a="1"/>
  <c r="AB9" i="12" s="1"/>
  <c r="AC9" i="12" a="1"/>
  <c r="AC9" i="12" s="1"/>
  <c r="AD9" i="12" a="1"/>
  <c r="AD9" i="12" s="1"/>
  <c r="AE9" i="12" a="1"/>
  <c r="AE9" i="12" s="1"/>
  <c r="AF9" i="12" a="1"/>
  <c r="AF9" i="12" s="1"/>
  <c r="AG9" i="12" a="1"/>
  <c r="AG9" i="12" s="1"/>
  <c r="AH9" i="12" a="1"/>
  <c r="AH9" i="12" s="1"/>
  <c r="AI9" i="12" a="1"/>
  <c r="AI9" i="12" s="1"/>
  <c r="AJ9" i="12" a="1"/>
  <c r="AJ9" i="12" s="1"/>
  <c r="AK9" i="12" a="1"/>
  <c r="AK9" i="12" s="1"/>
  <c r="AL9" i="12" a="1"/>
  <c r="AL9" i="12" s="1"/>
  <c r="AM9" i="12" a="1"/>
  <c r="AM9" i="12" s="1"/>
  <c r="AN9" i="12" a="1"/>
  <c r="AN9" i="12" s="1"/>
  <c r="K10" i="12" a="1"/>
  <c r="K10" i="12" s="1"/>
  <c r="L10" i="12" a="1"/>
  <c r="L10" i="12" s="1"/>
  <c r="M10" i="12" a="1"/>
  <c r="M10" i="12" s="1"/>
  <c r="N10" i="12" a="1"/>
  <c r="N10" i="12" s="1"/>
  <c r="O10" i="12" a="1"/>
  <c r="O10" i="12" s="1"/>
  <c r="P10" i="12" a="1"/>
  <c r="P10" i="12" s="1"/>
  <c r="Q10" i="12" a="1"/>
  <c r="Q10" i="12" s="1"/>
  <c r="R10" i="12" a="1"/>
  <c r="R10" i="12" s="1"/>
  <c r="S10" i="12" a="1"/>
  <c r="S10" i="12" s="1"/>
  <c r="T10" i="12" a="1"/>
  <c r="T10" i="12" s="1"/>
  <c r="U10" i="12" a="1"/>
  <c r="U10" i="12" s="1"/>
  <c r="V10" i="12" a="1"/>
  <c r="V10" i="12" s="1"/>
  <c r="W10" i="12" a="1"/>
  <c r="W10" i="12" s="1"/>
  <c r="X10" i="12" a="1"/>
  <c r="X10" i="12" s="1"/>
  <c r="Y10" i="12" a="1"/>
  <c r="Y10" i="12" s="1"/>
  <c r="Z10" i="12" a="1"/>
  <c r="Z10" i="12" s="1"/>
  <c r="AA10" i="12" a="1"/>
  <c r="AA10" i="12" s="1"/>
  <c r="AB10" i="12" a="1"/>
  <c r="AB10" i="12" s="1"/>
  <c r="AC10" i="12" a="1"/>
  <c r="AC10" i="12" s="1"/>
  <c r="AD10" i="12" a="1"/>
  <c r="AD10" i="12" s="1"/>
  <c r="AE10" i="12" a="1"/>
  <c r="AE10" i="12" s="1"/>
  <c r="AF10" i="12" a="1"/>
  <c r="AF10" i="12" s="1"/>
  <c r="AG10" i="12" a="1"/>
  <c r="AG10" i="12" s="1"/>
  <c r="AH10" i="12" a="1"/>
  <c r="AH10" i="12" s="1"/>
  <c r="AI10" i="12" a="1"/>
  <c r="AI10" i="12" s="1"/>
  <c r="AJ10" i="12" a="1"/>
  <c r="AJ10" i="12" s="1"/>
  <c r="AK10" i="12" a="1"/>
  <c r="AK10" i="12" s="1"/>
  <c r="AL10" i="12" a="1"/>
  <c r="AL10" i="12" s="1"/>
  <c r="AM10" i="12" a="1"/>
  <c r="AM10" i="12" s="1"/>
  <c r="AN10" i="12" a="1"/>
  <c r="AN10" i="12" s="1"/>
  <c r="K11" i="12" a="1"/>
  <c r="K11" i="12" s="1"/>
  <c r="L11" i="12" a="1"/>
  <c r="L11" i="12" s="1"/>
  <c r="M11" i="12" a="1"/>
  <c r="M11" i="12" s="1"/>
  <c r="N11" i="12" a="1"/>
  <c r="N11" i="12" s="1"/>
  <c r="O11" i="12" a="1"/>
  <c r="O11" i="12" s="1"/>
  <c r="P11" i="12" a="1"/>
  <c r="P11" i="12" s="1"/>
  <c r="Q11" i="12" a="1"/>
  <c r="Q11" i="12" s="1"/>
  <c r="R11" i="12" a="1"/>
  <c r="R11" i="12" s="1"/>
  <c r="S11" i="12" a="1"/>
  <c r="S11" i="12" s="1"/>
  <c r="T11" i="12" a="1"/>
  <c r="T11" i="12" s="1"/>
  <c r="U11" i="12" a="1"/>
  <c r="U11" i="12" s="1"/>
  <c r="V11" i="12" a="1"/>
  <c r="V11" i="12" s="1"/>
  <c r="W11" i="12" a="1"/>
  <c r="W11" i="12" s="1"/>
  <c r="X11" i="12" a="1"/>
  <c r="X11" i="12" s="1"/>
  <c r="Y11" i="12" a="1"/>
  <c r="Y11" i="12"/>
  <c r="Z11" i="12" a="1"/>
  <c r="Z11" i="12" s="1"/>
  <c r="AA11" i="12" a="1"/>
  <c r="AA11" i="12"/>
  <c r="AB11" i="12" a="1"/>
  <c r="AB11" i="12" s="1"/>
  <c r="AC11" i="12" a="1"/>
  <c r="AC11" i="12" s="1"/>
  <c r="AD11" i="12" a="1"/>
  <c r="AD11" i="12" s="1"/>
  <c r="AE11" i="12" a="1"/>
  <c r="AE11" i="12" s="1"/>
  <c r="AF11" i="12" a="1"/>
  <c r="AF11" i="12" s="1"/>
  <c r="AG11" i="12" a="1"/>
  <c r="AG11" i="12"/>
  <c r="AH11" i="12" a="1"/>
  <c r="AH11" i="12" s="1"/>
  <c r="AI11" i="12" a="1"/>
  <c r="AI11" i="12"/>
  <c r="AJ11" i="12" a="1"/>
  <c r="AJ11" i="12" s="1"/>
  <c r="AK11" i="12" a="1"/>
  <c r="AK11" i="12" s="1"/>
  <c r="AL11" i="12" a="1"/>
  <c r="AL11" i="12" s="1"/>
  <c r="AM11" i="12" a="1"/>
  <c r="AM11" i="12" s="1"/>
  <c r="AN11" i="12" a="1"/>
  <c r="AN11" i="12" s="1"/>
  <c r="K12" i="12" a="1"/>
  <c r="K12" i="12"/>
  <c r="AS12" i="12" s="1"/>
  <c r="L12" i="12" a="1"/>
  <c r="L12" i="12" s="1"/>
  <c r="M12" i="12" a="1"/>
  <c r="M12" i="12"/>
  <c r="N12" i="12" a="1"/>
  <c r="N12" i="12" s="1"/>
  <c r="O12" i="12" a="1"/>
  <c r="O12" i="12" s="1"/>
  <c r="P12" i="12" a="1"/>
  <c r="P12" i="12" s="1"/>
  <c r="Q12" i="12" a="1"/>
  <c r="Q12" i="12" s="1"/>
  <c r="R12" i="12" a="1"/>
  <c r="R12" i="12" s="1"/>
  <c r="S12" i="12" a="1"/>
  <c r="S12" i="12"/>
  <c r="T12" i="12" a="1"/>
  <c r="T12" i="12" s="1"/>
  <c r="U12" i="12" a="1"/>
  <c r="U12" i="12"/>
  <c r="V12" i="12" a="1"/>
  <c r="V12" i="12" s="1"/>
  <c r="W12" i="12" a="1"/>
  <c r="W12" i="12" s="1"/>
  <c r="X12" i="12" a="1"/>
  <c r="X12" i="12" s="1"/>
  <c r="Y12" i="12" a="1"/>
  <c r="Y12" i="12" s="1"/>
  <c r="Z12" i="12" a="1"/>
  <c r="Z12" i="12" s="1"/>
  <c r="AA12" i="12" a="1"/>
  <c r="AA12" i="12"/>
  <c r="AB12" i="12" a="1"/>
  <c r="AB12" i="12" s="1"/>
  <c r="AC12" i="12" a="1"/>
  <c r="AC12" i="12"/>
  <c r="AD12" i="12" a="1"/>
  <c r="AD12" i="12" s="1"/>
  <c r="AE12" i="12" a="1"/>
  <c r="AE12" i="12" s="1"/>
  <c r="AF12" i="12" a="1"/>
  <c r="AF12" i="12" s="1"/>
  <c r="AG12" i="12" a="1"/>
  <c r="AG12" i="12" s="1"/>
  <c r="AH12" i="12" a="1"/>
  <c r="AH12" i="12" s="1"/>
  <c r="AI12" i="12" a="1"/>
  <c r="AI12" i="12"/>
  <c r="AJ12" i="12" a="1"/>
  <c r="AJ12" i="12" s="1"/>
  <c r="AK12" i="12" a="1"/>
  <c r="AK12" i="12"/>
  <c r="AL12" i="12" a="1"/>
  <c r="AL12" i="12" s="1"/>
  <c r="AM12" i="12" a="1"/>
  <c r="AM12" i="12" s="1"/>
  <c r="AN12" i="12" a="1"/>
  <c r="AN12" i="12" s="1"/>
  <c r="K13" i="12" a="1"/>
  <c r="K13" i="12" s="1"/>
  <c r="L13" i="12" a="1"/>
  <c r="L13" i="12"/>
  <c r="M13" i="12" a="1"/>
  <c r="M13" i="12" s="1"/>
  <c r="N13" i="12" a="1"/>
  <c r="N13" i="12"/>
  <c r="O13" i="12" a="1"/>
  <c r="O13" i="12" s="1"/>
  <c r="P13" i="12" a="1"/>
  <c r="P13" i="12"/>
  <c r="Q13" i="12" a="1"/>
  <c r="Q13" i="12" s="1"/>
  <c r="R13" i="12" a="1"/>
  <c r="R13" i="12"/>
  <c r="S13" i="12" a="1"/>
  <c r="S13" i="12" s="1"/>
  <c r="T13" i="12" a="1"/>
  <c r="T13" i="12"/>
  <c r="U13" i="12" a="1"/>
  <c r="U13" i="12" s="1"/>
  <c r="V13" i="12" a="1"/>
  <c r="V13" i="12"/>
  <c r="W13" i="12" a="1"/>
  <c r="W13" i="12" s="1"/>
  <c r="X13" i="12" a="1"/>
  <c r="X13" i="12"/>
  <c r="Y13" i="12" a="1"/>
  <c r="Y13" i="12" s="1"/>
  <c r="Z13" i="12" a="1"/>
  <c r="Z13" i="12"/>
  <c r="AA13" i="12" a="1"/>
  <c r="AA13" i="12" s="1"/>
  <c r="AB13" i="12" a="1"/>
  <c r="AB13" i="12"/>
  <c r="AC13" i="12" a="1"/>
  <c r="AC13" i="12" s="1"/>
  <c r="AD13" i="12" a="1"/>
  <c r="AD13" i="12" s="1"/>
  <c r="AE13" i="12" a="1"/>
  <c r="AE13" i="12" s="1"/>
  <c r="AF13" i="12" a="1"/>
  <c r="AF13" i="12" s="1"/>
  <c r="AG13" i="12" a="1"/>
  <c r="AG13" i="12" s="1"/>
  <c r="AH13" i="12" a="1"/>
  <c r="AH13" i="12" s="1"/>
  <c r="AI13" i="12" a="1"/>
  <c r="AI13" i="12" s="1"/>
  <c r="AJ13" i="12" a="1"/>
  <c r="AJ13" i="12" s="1"/>
  <c r="AK13" i="12" a="1"/>
  <c r="AK13" i="12" s="1"/>
  <c r="AL13" i="12" a="1"/>
  <c r="AL13" i="12" s="1"/>
  <c r="AM13" i="12" a="1"/>
  <c r="AM13" i="12" s="1"/>
  <c r="AN13" i="12" a="1"/>
  <c r="AN13" i="12" s="1"/>
  <c r="K14" i="12" a="1"/>
  <c r="K14" i="12" s="1"/>
  <c r="AS14" i="12" s="1"/>
  <c r="L14" i="12" a="1"/>
  <c r="L14" i="12" s="1"/>
  <c r="M14" i="12" a="1"/>
  <c r="M14" i="12" s="1"/>
  <c r="N14" i="12" a="1"/>
  <c r="N14" i="12" s="1"/>
  <c r="O14" i="12" a="1"/>
  <c r="O14" i="12" s="1"/>
  <c r="P14" i="12" a="1"/>
  <c r="P14" i="12" s="1"/>
  <c r="Q14" i="12" a="1"/>
  <c r="Q14" i="12" s="1"/>
  <c r="R14" i="12" a="1"/>
  <c r="R14" i="12" s="1"/>
  <c r="S14" i="12" a="1"/>
  <c r="S14" i="12" s="1"/>
  <c r="T14" i="12" a="1"/>
  <c r="T14" i="12" s="1"/>
  <c r="U14" i="12" a="1"/>
  <c r="U14" i="12" s="1"/>
  <c r="V14" i="12" a="1"/>
  <c r="V14" i="12" s="1"/>
  <c r="W14" i="12" a="1"/>
  <c r="W14" i="12" s="1"/>
  <c r="X14" i="12" a="1"/>
  <c r="X14" i="12" s="1"/>
  <c r="Y14" i="12" a="1"/>
  <c r="Y14" i="12" s="1"/>
  <c r="Z14" i="12" a="1"/>
  <c r="Z14" i="12" s="1"/>
  <c r="AA14" i="12" a="1"/>
  <c r="AA14" i="12" s="1"/>
  <c r="AB14" i="12" a="1"/>
  <c r="AB14" i="12" s="1"/>
  <c r="AC14" i="12" a="1"/>
  <c r="AC14" i="12" s="1"/>
  <c r="AD14" i="12" a="1"/>
  <c r="AD14" i="12" s="1"/>
  <c r="AE14" i="12" a="1"/>
  <c r="AE14" i="12" s="1"/>
  <c r="AF14" i="12" a="1"/>
  <c r="AF14" i="12" s="1"/>
  <c r="AG14" i="12" a="1"/>
  <c r="AG14" i="12" s="1"/>
  <c r="AH14" i="12" a="1"/>
  <c r="AH14" i="12" s="1"/>
  <c r="AI14" i="12" a="1"/>
  <c r="AI14" i="12" s="1"/>
  <c r="AJ14" i="12" a="1"/>
  <c r="AJ14" i="12" s="1"/>
  <c r="AK14" i="12" a="1"/>
  <c r="AK14" i="12" s="1"/>
  <c r="AL14" i="12" a="1"/>
  <c r="AL14" i="12" s="1"/>
  <c r="AM14" i="12" a="1"/>
  <c r="AM14" i="12" s="1"/>
  <c r="AN14" i="12" a="1"/>
  <c r="AN14" i="12" s="1"/>
  <c r="K15" i="12" a="1"/>
  <c r="K15" i="12" s="1"/>
  <c r="L15" i="12" a="1"/>
  <c r="L15" i="12" s="1"/>
  <c r="M15" i="12" a="1"/>
  <c r="M15" i="12" s="1"/>
  <c r="N15" i="12" a="1"/>
  <c r="N15" i="12" s="1"/>
  <c r="O15" i="12" a="1"/>
  <c r="O15" i="12" s="1"/>
  <c r="P15" i="12" a="1"/>
  <c r="P15" i="12" s="1"/>
  <c r="Q15" i="12" a="1"/>
  <c r="Q15" i="12" s="1"/>
  <c r="R15" i="12" a="1"/>
  <c r="R15" i="12" s="1"/>
  <c r="S15" i="12" a="1"/>
  <c r="S15" i="12" s="1"/>
  <c r="T15" i="12" a="1"/>
  <c r="T15" i="12" s="1"/>
  <c r="U15" i="12" a="1"/>
  <c r="U15" i="12" s="1"/>
  <c r="V15" i="12" a="1"/>
  <c r="V15" i="12" s="1"/>
  <c r="W15" i="12" a="1"/>
  <c r="W15" i="12" s="1"/>
  <c r="X15" i="12" a="1"/>
  <c r="X15" i="12" s="1"/>
  <c r="Y15" i="12" a="1"/>
  <c r="Y15" i="12" s="1"/>
  <c r="Z15" i="12" a="1"/>
  <c r="Z15" i="12" s="1"/>
  <c r="AA15" i="12" a="1"/>
  <c r="AA15" i="12" s="1"/>
  <c r="AB15" i="12" a="1"/>
  <c r="AB15" i="12" s="1"/>
  <c r="AC15" i="12" a="1"/>
  <c r="AC15" i="12" s="1"/>
  <c r="AD15" i="12" a="1"/>
  <c r="AD15" i="12" s="1"/>
  <c r="AE15" i="12" a="1"/>
  <c r="AE15" i="12" s="1"/>
  <c r="AF15" i="12" a="1"/>
  <c r="AF15" i="12" s="1"/>
  <c r="AG15" i="12" a="1"/>
  <c r="AG15" i="12" s="1"/>
  <c r="AH15" i="12" a="1"/>
  <c r="AH15" i="12" s="1"/>
  <c r="AI15" i="12" a="1"/>
  <c r="AI15" i="12" s="1"/>
  <c r="AJ15" i="12" a="1"/>
  <c r="AJ15" i="12" s="1"/>
  <c r="AK15" i="12" a="1"/>
  <c r="AK15" i="12" s="1"/>
  <c r="AL15" i="12" a="1"/>
  <c r="AL15" i="12" s="1"/>
  <c r="AM15" i="12" a="1"/>
  <c r="AM15" i="12" s="1"/>
  <c r="AN15" i="12" a="1"/>
  <c r="AN15" i="12" s="1"/>
  <c r="K16" i="12" a="1"/>
  <c r="K16" i="12" s="1"/>
  <c r="L16" i="12" a="1"/>
  <c r="L16" i="12" s="1"/>
  <c r="M16" i="12" a="1"/>
  <c r="M16" i="12" s="1"/>
  <c r="N16" i="12" a="1"/>
  <c r="N16" i="12" s="1"/>
  <c r="O16" i="12" a="1"/>
  <c r="O16" i="12" s="1"/>
  <c r="P16" i="12" a="1"/>
  <c r="P16" i="12" s="1"/>
  <c r="Q16" i="12" a="1"/>
  <c r="Q16" i="12" s="1"/>
  <c r="R16" i="12" a="1"/>
  <c r="R16" i="12" s="1"/>
  <c r="S16" i="12" a="1"/>
  <c r="S16" i="12" s="1"/>
  <c r="T16" i="12" a="1"/>
  <c r="T16" i="12" s="1"/>
  <c r="U16" i="12" a="1"/>
  <c r="U16" i="12" s="1"/>
  <c r="V16" i="12" a="1"/>
  <c r="V16" i="12" s="1"/>
  <c r="W16" i="12" a="1"/>
  <c r="W16" i="12" s="1"/>
  <c r="X16" i="12" a="1"/>
  <c r="X16" i="12" s="1"/>
  <c r="Y16" i="12" a="1"/>
  <c r="Y16" i="12" s="1"/>
  <c r="Z16" i="12" a="1"/>
  <c r="Z16" i="12" s="1"/>
  <c r="AA16" i="12" a="1"/>
  <c r="AA16" i="12" s="1"/>
  <c r="AB16" i="12" a="1"/>
  <c r="AB16" i="12" s="1"/>
  <c r="AC16" i="12" a="1"/>
  <c r="AC16" i="12" s="1"/>
  <c r="AD16" i="12" a="1"/>
  <c r="AD16" i="12" s="1"/>
  <c r="AE16" i="12" a="1"/>
  <c r="AE16" i="12" s="1"/>
  <c r="AF16" i="12" a="1"/>
  <c r="AF16" i="12" s="1"/>
  <c r="AG16" i="12" a="1"/>
  <c r="AG16" i="12" s="1"/>
  <c r="AH16" i="12" a="1"/>
  <c r="AH16" i="12" s="1"/>
  <c r="AI16" i="12" a="1"/>
  <c r="AI16" i="12" s="1"/>
  <c r="AJ16" i="12" a="1"/>
  <c r="AJ16" i="12" s="1"/>
  <c r="AK16" i="12" a="1"/>
  <c r="AK16" i="12" s="1"/>
  <c r="AL16" i="12" a="1"/>
  <c r="AL16" i="12" s="1"/>
  <c r="AM16" i="12" a="1"/>
  <c r="AM16" i="12" s="1"/>
  <c r="AN16" i="12" a="1"/>
  <c r="AN16" i="12" s="1"/>
  <c r="AS11" i="12"/>
  <c r="AS8" i="12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" i="11"/>
  <c r="O38" i="1"/>
  <c r="O4" i="11"/>
  <c r="B5" i="11"/>
  <c r="D5" i="11"/>
  <c r="E5" i="11"/>
  <c r="F5" i="11"/>
  <c r="H5" i="11"/>
  <c r="I5" i="11"/>
  <c r="J5" i="11"/>
  <c r="K5" i="11"/>
  <c r="L5" i="11"/>
  <c r="M5" i="11"/>
  <c r="N5" i="11"/>
  <c r="O5" i="11"/>
  <c r="P5" i="11"/>
  <c r="Q5" i="11"/>
  <c r="R5" i="11"/>
  <c r="B6" i="11"/>
  <c r="D6" i="11"/>
  <c r="E6" i="11"/>
  <c r="F6" i="11"/>
  <c r="H6" i="11"/>
  <c r="I6" i="11"/>
  <c r="J6" i="11"/>
  <c r="K6" i="11"/>
  <c r="L6" i="11"/>
  <c r="M6" i="11"/>
  <c r="N6" i="11"/>
  <c r="O6" i="11"/>
  <c r="P6" i="11"/>
  <c r="P7" i="11" s="1"/>
  <c r="P8" i="11" s="1"/>
  <c r="Q6" i="11"/>
  <c r="R6" i="11"/>
  <c r="B7" i="11"/>
  <c r="D7" i="11"/>
  <c r="E7" i="11"/>
  <c r="F7" i="11"/>
  <c r="H7" i="11"/>
  <c r="I7" i="11"/>
  <c r="J7" i="11"/>
  <c r="K7" i="11"/>
  <c r="L7" i="11"/>
  <c r="M7" i="11"/>
  <c r="N7" i="11"/>
  <c r="O7" i="11"/>
  <c r="Q7" i="11"/>
  <c r="R7" i="11"/>
  <c r="R8" i="11" s="1"/>
  <c r="B8" i="11"/>
  <c r="D8" i="11"/>
  <c r="E8" i="11"/>
  <c r="F8" i="11"/>
  <c r="H8" i="11"/>
  <c r="I8" i="11"/>
  <c r="J8" i="11"/>
  <c r="K8" i="11"/>
  <c r="L8" i="11"/>
  <c r="M8" i="11"/>
  <c r="N8" i="11"/>
  <c r="O8" i="11"/>
  <c r="Q8" i="11"/>
  <c r="B4" i="11"/>
  <c r="Q4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" i="11"/>
  <c r="N4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" i="11"/>
  <c r="M4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" i="11"/>
  <c r="L4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" i="11"/>
  <c r="K4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" i="11"/>
  <c r="J4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I4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" i="11"/>
  <c r="H4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" i="11"/>
  <c r="F4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" i="11"/>
  <c r="E4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" i="11"/>
  <c r="D4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" i="11"/>
  <c r="R32" i="11"/>
  <c r="P32" i="11"/>
  <c r="R31" i="11"/>
  <c r="P31" i="11"/>
  <c r="R30" i="11"/>
  <c r="P30" i="11"/>
  <c r="R29" i="11"/>
  <c r="P29" i="11"/>
  <c r="R28" i="11"/>
  <c r="P28" i="11"/>
  <c r="R27" i="11"/>
  <c r="P27" i="11"/>
  <c r="R26" i="11"/>
  <c r="P26" i="11"/>
  <c r="R25" i="11"/>
  <c r="P25" i="11"/>
  <c r="R24" i="11"/>
  <c r="P24" i="11"/>
  <c r="R23" i="11"/>
  <c r="P23" i="11"/>
  <c r="R22" i="11"/>
  <c r="P22" i="11"/>
  <c r="R21" i="11"/>
  <c r="P21" i="11"/>
  <c r="R20" i="11"/>
  <c r="P20" i="11"/>
  <c r="R19" i="11"/>
  <c r="P19" i="11"/>
  <c r="R18" i="11"/>
  <c r="P18" i="11"/>
  <c r="R17" i="11"/>
  <c r="P17" i="11"/>
  <c r="R16" i="11"/>
  <c r="P16" i="11"/>
  <c r="R15" i="11"/>
  <c r="P15" i="11"/>
  <c r="R14" i="11"/>
  <c r="P14" i="11"/>
  <c r="R13" i="11"/>
  <c r="P13" i="11"/>
  <c r="R12" i="11"/>
  <c r="P12" i="11"/>
  <c r="R11" i="11"/>
  <c r="P11" i="11"/>
  <c r="R10" i="11"/>
  <c r="P10" i="11"/>
  <c r="R9" i="11"/>
  <c r="P9" i="11"/>
  <c r="R4" i="11"/>
  <c r="P4" i="11"/>
  <c r="AS4" i="12" l="1"/>
  <c r="AS10" i="12"/>
  <c r="AS16" i="12"/>
  <c r="AP16" i="12"/>
  <c r="AS15" i="12"/>
  <c r="AR15" i="12"/>
  <c r="AS13" i="12"/>
  <c r="AO13" i="12"/>
  <c r="AS7" i="12"/>
  <c r="AS6" i="12"/>
  <c r="AR6" i="12"/>
  <c r="AR5" i="12"/>
  <c r="AS5" i="12"/>
  <c r="AP3" i="12"/>
  <c r="AO4" i="12"/>
  <c r="AO5" i="12"/>
  <c r="AO6" i="12"/>
  <c r="AO7" i="12"/>
  <c r="AO8" i="12"/>
  <c r="AO10" i="12"/>
  <c r="AO11" i="12"/>
  <c r="AO12" i="12"/>
  <c r="AO14" i="12"/>
  <c r="AO15" i="12"/>
  <c r="AO16" i="12"/>
  <c r="AP14" i="12"/>
  <c r="AP4" i="12"/>
  <c r="AP6" i="12"/>
  <c r="AP7" i="12"/>
  <c r="AP12" i="12"/>
  <c r="AP5" i="12"/>
  <c r="AP8" i="12"/>
  <c r="AP10" i="12"/>
  <c r="AP11" i="12"/>
  <c r="AR4" i="12"/>
  <c r="AR7" i="12"/>
  <c r="AR8" i="12"/>
  <c r="AR10" i="12"/>
  <c r="AR11" i="12"/>
  <c r="AR12" i="12"/>
  <c r="AR14" i="12"/>
  <c r="AR16" i="12"/>
  <c r="O40" i="1"/>
  <c r="N40" i="1"/>
  <c r="L41" i="9"/>
  <c r="L40" i="9"/>
  <c r="L39" i="9"/>
  <c r="H41" i="9"/>
  <c r="C38" i="10"/>
  <c r="B38" i="10"/>
  <c r="A38" i="10"/>
  <c r="C37" i="10"/>
  <c r="B37" i="10"/>
  <c r="A37" i="10"/>
  <c r="C36" i="10"/>
  <c r="B36" i="10"/>
  <c r="A36" i="10"/>
  <c r="C35" i="10"/>
  <c r="B35" i="10"/>
  <c r="A35" i="10"/>
  <c r="C34" i="10"/>
  <c r="B34" i="10"/>
  <c r="A34" i="10"/>
  <c r="C33" i="10"/>
  <c r="B33" i="10"/>
  <c r="A33" i="10"/>
  <c r="C32" i="10"/>
  <c r="B32" i="10"/>
  <c r="A32" i="10"/>
  <c r="C31" i="10"/>
  <c r="B31" i="10"/>
  <c r="A31" i="10"/>
  <c r="C30" i="10"/>
  <c r="B30" i="10"/>
  <c r="A30" i="10"/>
  <c r="C29" i="10"/>
  <c r="B29" i="10"/>
  <c r="A29" i="10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C18" i="10"/>
  <c r="B18" i="10"/>
  <c r="A18" i="10"/>
  <c r="C17" i="10"/>
  <c r="B17" i="10"/>
  <c r="A17" i="10"/>
  <c r="C16" i="10"/>
  <c r="B16" i="10"/>
  <c r="A16" i="10"/>
  <c r="C15" i="10"/>
  <c r="B15" i="10"/>
  <c r="A15" i="10"/>
  <c r="C14" i="10"/>
  <c r="B14" i="10"/>
  <c r="A14" i="10"/>
  <c r="C13" i="10"/>
  <c r="B13" i="10"/>
  <c r="A13" i="10"/>
  <c r="C12" i="10"/>
  <c r="B12" i="10"/>
  <c r="A12" i="10"/>
  <c r="C11" i="10"/>
  <c r="B11" i="10"/>
  <c r="A11" i="10"/>
  <c r="C10" i="10"/>
  <c r="B10" i="10"/>
  <c r="A10" i="10"/>
  <c r="C9" i="10"/>
  <c r="B9" i="10"/>
  <c r="A9" i="10"/>
  <c r="C38" i="9"/>
  <c r="B38" i="9"/>
  <c r="A38" i="9"/>
  <c r="C37" i="9"/>
  <c r="B37" i="9"/>
  <c r="A37" i="9"/>
  <c r="C36" i="9"/>
  <c r="B36" i="9"/>
  <c r="A36" i="9"/>
  <c r="C35" i="9"/>
  <c r="B35" i="9"/>
  <c r="A35" i="9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C9" i="9"/>
  <c r="B9" i="9"/>
  <c r="A9" i="9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9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10" i="5"/>
  <c r="B11" i="5"/>
  <c r="B9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10" i="5"/>
  <c r="A9" i="5"/>
  <c r="B5" i="5"/>
  <c r="B4" i="5"/>
  <c r="H44" i="10"/>
  <c r="G44" i="10"/>
  <c r="H44" i="9"/>
  <c r="G44" i="9"/>
  <c r="H44" i="5"/>
  <c r="G44" i="5"/>
  <c r="N5" i="10"/>
  <c r="J5" i="10"/>
  <c r="G5" i="10"/>
  <c r="B5" i="10"/>
  <c r="N4" i="10"/>
  <c r="J4" i="10"/>
  <c r="G4" i="10"/>
  <c r="B4" i="10"/>
  <c r="N5" i="9"/>
  <c r="J5" i="9"/>
  <c r="G5" i="9"/>
  <c r="B5" i="9"/>
  <c r="N4" i="9"/>
  <c r="J4" i="9"/>
  <c r="G4" i="9"/>
  <c r="B4" i="9"/>
  <c r="G9" i="5"/>
  <c r="D40" i="5" s="1"/>
  <c r="N5" i="5"/>
  <c r="N4" i="5"/>
  <c r="J5" i="5"/>
  <c r="J4" i="5"/>
  <c r="G5" i="5"/>
  <c r="G4" i="5"/>
  <c r="H41" i="10"/>
  <c r="H40" i="10"/>
  <c r="H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D41" i="10" s="1"/>
  <c r="O38" i="9"/>
  <c r="K38" i="9"/>
  <c r="G38" i="9"/>
  <c r="O37" i="9"/>
  <c r="K37" i="9"/>
  <c r="G37" i="9"/>
  <c r="O36" i="9"/>
  <c r="K36" i="9"/>
  <c r="G36" i="9"/>
  <c r="O35" i="9"/>
  <c r="K35" i="9"/>
  <c r="G35" i="9"/>
  <c r="O34" i="9"/>
  <c r="K34" i="9"/>
  <c r="G34" i="9"/>
  <c r="O33" i="9"/>
  <c r="K33" i="9"/>
  <c r="G33" i="9"/>
  <c r="O32" i="9"/>
  <c r="K32" i="9"/>
  <c r="G32" i="9"/>
  <c r="O31" i="9"/>
  <c r="K31" i="9"/>
  <c r="G31" i="9"/>
  <c r="O30" i="9"/>
  <c r="K30" i="9"/>
  <c r="G30" i="9"/>
  <c r="O29" i="9"/>
  <c r="K29" i="9"/>
  <c r="G29" i="9"/>
  <c r="O28" i="9"/>
  <c r="K28" i="9"/>
  <c r="G28" i="9"/>
  <c r="O27" i="9"/>
  <c r="K27" i="9"/>
  <c r="G27" i="9"/>
  <c r="O26" i="9"/>
  <c r="K26" i="9"/>
  <c r="G26" i="9"/>
  <c r="O25" i="9"/>
  <c r="K25" i="9"/>
  <c r="G25" i="9"/>
  <c r="O24" i="9"/>
  <c r="K24" i="9"/>
  <c r="G24" i="9"/>
  <c r="O23" i="9"/>
  <c r="K23" i="9"/>
  <c r="G23" i="9"/>
  <c r="O22" i="9"/>
  <c r="K22" i="9"/>
  <c r="G22" i="9"/>
  <c r="O21" i="9"/>
  <c r="K21" i="9"/>
  <c r="G21" i="9"/>
  <c r="O20" i="9"/>
  <c r="K20" i="9"/>
  <c r="G20" i="9"/>
  <c r="O19" i="9"/>
  <c r="K19" i="9"/>
  <c r="G19" i="9"/>
  <c r="O18" i="9"/>
  <c r="K18" i="9"/>
  <c r="G18" i="9"/>
  <c r="O17" i="9"/>
  <c r="K17" i="9"/>
  <c r="G17" i="9"/>
  <c r="O16" i="9"/>
  <c r="K16" i="9"/>
  <c r="G16" i="9"/>
  <c r="O15" i="9"/>
  <c r="K15" i="9"/>
  <c r="G15" i="9"/>
  <c r="O14" i="9"/>
  <c r="K14" i="9"/>
  <c r="G14" i="9"/>
  <c r="O13" i="9"/>
  <c r="K13" i="9"/>
  <c r="G13" i="9"/>
  <c r="O12" i="9"/>
  <c r="K12" i="9"/>
  <c r="G12" i="9"/>
  <c r="O11" i="9"/>
  <c r="K11" i="9"/>
  <c r="G11" i="9"/>
  <c r="O10" i="9"/>
  <c r="K10" i="9"/>
  <c r="G10" i="9"/>
  <c r="O9" i="9"/>
  <c r="K9" i="9"/>
  <c r="H40" i="9" s="1"/>
  <c r="G9" i="9"/>
  <c r="D41" i="9" s="1"/>
  <c r="O38" i="5"/>
  <c r="K38" i="5"/>
  <c r="G38" i="5"/>
  <c r="O37" i="5"/>
  <c r="K37" i="5"/>
  <c r="G37" i="5"/>
  <c r="O36" i="5"/>
  <c r="K36" i="5"/>
  <c r="G36" i="5"/>
  <c r="O35" i="5"/>
  <c r="K35" i="5"/>
  <c r="G35" i="5"/>
  <c r="O34" i="5"/>
  <c r="K34" i="5"/>
  <c r="G34" i="5"/>
  <c r="O33" i="5"/>
  <c r="K33" i="5"/>
  <c r="G33" i="5"/>
  <c r="O32" i="5"/>
  <c r="K32" i="5"/>
  <c r="G32" i="5"/>
  <c r="O31" i="5"/>
  <c r="K31" i="5"/>
  <c r="G31" i="5"/>
  <c r="O30" i="5"/>
  <c r="K30" i="5"/>
  <c r="G30" i="5"/>
  <c r="O29" i="5"/>
  <c r="K29" i="5"/>
  <c r="G29" i="5"/>
  <c r="O28" i="5"/>
  <c r="K28" i="5"/>
  <c r="G28" i="5"/>
  <c r="O27" i="5"/>
  <c r="K27" i="5"/>
  <c r="G27" i="5"/>
  <c r="O26" i="5"/>
  <c r="K26" i="5"/>
  <c r="G26" i="5"/>
  <c r="O25" i="5"/>
  <c r="K25" i="5"/>
  <c r="G25" i="5"/>
  <c r="O24" i="5"/>
  <c r="K24" i="5"/>
  <c r="G24" i="5"/>
  <c r="O23" i="5"/>
  <c r="K23" i="5"/>
  <c r="G23" i="5"/>
  <c r="O22" i="5"/>
  <c r="K22" i="5"/>
  <c r="G22" i="5"/>
  <c r="O21" i="5"/>
  <c r="K21" i="5"/>
  <c r="G21" i="5"/>
  <c r="O20" i="5"/>
  <c r="K20" i="5"/>
  <c r="G20" i="5"/>
  <c r="O19" i="5"/>
  <c r="K19" i="5"/>
  <c r="G19" i="5"/>
  <c r="O18" i="5"/>
  <c r="K18" i="5"/>
  <c r="G18" i="5"/>
  <c r="O17" i="5"/>
  <c r="K17" i="5"/>
  <c r="G17" i="5"/>
  <c r="O16" i="5"/>
  <c r="K16" i="5"/>
  <c r="G16" i="5"/>
  <c r="O15" i="5"/>
  <c r="K15" i="5"/>
  <c r="G15" i="5"/>
  <c r="O14" i="5"/>
  <c r="K14" i="5"/>
  <c r="G14" i="5"/>
  <c r="O13" i="5"/>
  <c r="K13" i="5"/>
  <c r="G13" i="5"/>
  <c r="O12" i="5"/>
  <c r="K12" i="5"/>
  <c r="G12" i="5"/>
  <c r="O11" i="5"/>
  <c r="K11" i="5"/>
  <c r="G11" i="5"/>
  <c r="O10" i="5"/>
  <c r="K10" i="5"/>
  <c r="G10" i="5"/>
  <c r="O9" i="5"/>
  <c r="L41" i="5" s="1"/>
  <c r="K9" i="5"/>
  <c r="H41" i="5" s="1"/>
  <c r="D39" i="1"/>
  <c r="O39" i="1"/>
  <c r="N39" i="1"/>
  <c r="N38" i="1"/>
  <c r="L40" i="1"/>
  <c r="J40" i="1"/>
  <c r="H40" i="1"/>
  <c r="F40" i="1"/>
  <c r="L39" i="1"/>
  <c r="J39" i="1"/>
  <c r="H39" i="1"/>
  <c r="F39" i="1"/>
  <c r="L38" i="1"/>
  <c r="J38" i="1"/>
  <c r="H38" i="1"/>
  <c r="F38" i="1"/>
  <c r="D40" i="1"/>
  <c r="D38" i="1"/>
  <c r="AQ14" i="12" l="1"/>
  <c r="AT14" i="12" s="1"/>
  <c r="D39" i="5"/>
  <c r="D41" i="5"/>
  <c r="J3" i="11"/>
  <c r="AQ11" i="12"/>
  <c r="AT11" i="12" s="1"/>
  <c r="AP15" i="12"/>
  <c r="AQ15" i="12" s="1"/>
  <c r="AT15" i="12" s="1"/>
  <c r="AR13" i="12"/>
  <c r="AP13" i="12"/>
  <c r="AQ13" i="12" s="1"/>
  <c r="AT13" i="12" s="1"/>
  <c r="AS3" i="12"/>
  <c r="AR3" i="12"/>
  <c r="AO3" i="12"/>
  <c r="AQ3" i="12" s="1"/>
  <c r="AT3" i="12" s="1"/>
  <c r="AQ8" i="12"/>
  <c r="AT8" i="12" s="1"/>
  <c r="AQ16" i="12"/>
  <c r="AT16" i="12" s="1"/>
  <c r="AQ4" i="12"/>
  <c r="AT4" i="12" s="1"/>
  <c r="AQ10" i="12"/>
  <c r="AT10" i="12" s="1"/>
  <c r="AQ12" i="12"/>
  <c r="AT12" i="12" s="1"/>
  <c r="AQ7" i="12"/>
  <c r="AT7" i="12" s="1"/>
  <c r="AQ6" i="12"/>
  <c r="AT6" i="12" s="1"/>
  <c r="AQ5" i="12"/>
  <c r="AT5" i="12" s="1"/>
  <c r="D39" i="10"/>
  <c r="D40" i="10"/>
  <c r="H39" i="9"/>
  <c r="D39" i="9"/>
  <c r="D40" i="9"/>
  <c r="H39" i="5"/>
  <c r="H40" i="5"/>
  <c r="L39" i="5"/>
  <c r="L40" i="5"/>
  <c r="AS9" i="12" l="1"/>
  <c r="AO9" i="12"/>
  <c r="AR9" i="12"/>
  <c r="AP9" i="12"/>
  <c r="AQ9" i="12" l="1"/>
  <c r="AT9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<sst xmlns="http://schemas.openxmlformats.org/spreadsheetml/2006/main" count="295" uniqueCount="154">
  <si>
    <t>Sample No.</t>
  </si>
  <si>
    <t>Product Code:</t>
  </si>
  <si>
    <t>Specification:</t>
  </si>
  <si>
    <t>Prod. Order</t>
  </si>
  <si>
    <t>PO</t>
  </si>
  <si>
    <t>Machine</t>
  </si>
  <si>
    <t>Quantity</t>
  </si>
  <si>
    <t>Production Date</t>
  </si>
  <si>
    <t>Inspection Date</t>
  </si>
  <si>
    <t>SWANSON PLASTICS (INDIA) PVT. LTD.</t>
  </si>
  <si>
    <t>Film Inspection Form</t>
  </si>
  <si>
    <t>Inspected by:</t>
  </si>
  <si>
    <t>Distribution: Department Concerned</t>
  </si>
  <si>
    <t>(QC Inspector)</t>
  </si>
  <si>
    <t>Verified by:</t>
  </si>
  <si>
    <t>(QC HOD)</t>
  </si>
  <si>
    <t>Ref:</t>
  </si>
  <si>
    <t>Retention Period: 5 years</t>
  </si>
  <si>
    <t/>
  </si>
  <si>
    <t>Average</t>
  </si>
  <si>
    <t>Minimum</t>
  </si>
  <si>
    <t>Maximum</t>
  </si>
  <si>
    <t>FQP-QC02-04</t>
  </si>
  <si>
    <t>Eff. Date: 01/08/2017</t>
  </si>
  <si>
    <t>Testing Equipment Identification Number</t>
  </si>
  <si>
    <t>Cut Width
 (L-166 T-168 U-170)
mm</t>
  </si>
  <si>
    <t>Thickness
(L-0.025 T-0.030 U-0.035)
mm</t>
  </si>
  <si>
    <t>Opacity
(L-45.0 T-50.0 U-55.0)
%</t>
  </si>
  <si>
    <t>COF Kinetic
(L-0.20 T-0.40 U-0.60)</t>
  </si>
  <si>
    <t>Color-Delta E (Printed Film)-
1 Layers 
( T-0.00  U-4.00)</t>
  </si>
  <si>
    <t>Color-Delta E (Unprinted Film)-
10 Layers 
( T-0.00  U-4.00)</t>
  </si>
  <si>
    <t>Page No 1 of 4</t>
  </si>
  <si>
    <t>Reference:</t>
  </si>
  <si>
    <t>Basic Weight
(L-14.00 T-16.00 U-18.00)
GSM</t>
  </si>
  <si>
    <t>MRMP: 00004833.002 GCAS:21088174.001</t>
  </si>
  <si>
    <t>Elongation@ Break(%)MD (L-350 T-450)</t>
  </si>
  <si>
    <t>Force~Tensile Strength@Break(N)MD(L-9.0 T-12.0)</t>
  </si>
  <si>
    <t>Force~Tensile Strength@Break 5% (N)MD(L-2.5 T-4.0 U-5.5)</t>
  </si>
  <si>
    <t>Ave</t>
  </si>
  <si>
    <t>Page No 2 of 4</t>
  </si>
  <si>
    <t>Elongation@ Break(%)CD (L-400 T-500)</t>
  </si>
  <si>
    <t>Force~Tensile Strength@Break (N) CD (L-6.0 T-9.0)</t>
  </si>
  <si>
    <t>Modulus Fresh @ 2% (L-20.0 T-30.0 U-40.0) N/cm</t>
  </si>
  <si>
    <t>Page No 3 of 4</t>
  </si>
  <si>
    <t xml:space="preserve">Gloss (Gloss unit)
(T-9.0  U-11.0) </t>
  </si>
  <si>
    <t>PG Quality System Requirements
Pass=0; Fail=1</t>
  </si>
  <si>
    <t>Page No 4 of 4</t>
  </si>
  <si>
    <t>Test Name - (O) - Optional, (RRG#) - Reference Part Report Group #, (MRG#) - Master Part Report Group #:</t>
  </si>
  <si>
    <t>Dimension ~ Width~~Slit Roll</t>
  </si>
  <si>
    <t>Appearance ~ Gloss~~.</t>
  </si>
  <si>
    <t>Opacity~~.</t>
  </si>
  <si>
    <t>Appearance ~ Color~~Delta E</t>
  </si>
  <si>
    <t>Basis Weight~~.</t>
  </si>
  <si>
    <t>Elongation~~CD ~ Break</t>
  </si>
  <si>
    <t>Elongation~~MD ~ Break</t>
  </si>
  <si>
    <t>Force ~ Tensile Strength~~CD ~ Break</t>
  </si>
  <si>
    <t>Force ~ Tensile Strength~~MD ~ Break</t>
  </si>
  <si>
    <t>Force ~ Tensile Strength~~MD ~ 5 Percent Elongation</t>
  </si>
  <si>
    <t>Dimension ~ Thickness~~.</t>
  </si>
  <si>
    <t>Modulus~~Web ~ MD at 2 Percent</t>
  </si>
  <si>
    <t>Assay ~ Organotin~~.</t>
  </si>
  <si>
    <t>PG Quality System Requirements~~.</t>
  </si>
  <si>
    <t>Record Review~~Laboratory Review</t>
  </si>
  <si>
    <t>Date</t>
  </si>
  <si>
    <t>Time</t>
  </si>
  <si>
    <t>Ref</t>
  </si>
  <si>
    <t>21088174.001.1</t>
  </si>
  <si>
    <t>21088174.001.5</t>
  </si>
  <si>
    <t>21088174.001.6</t>
  </si>
  <si>
    <t>21088174.001.8</t>
  </si>
  <si>
    <t>MRMP-00004833.002.1</t>
  </si>
  <si>
    <t>MRMP-00004833.002.2</t>
  </si>
  <si>
    <t>MRMP-00004833.002.3</t>
  </si>
  <si>
    <t>MRMP-00004833.002.4</t>
  </si>
  <si>
    <t>MRMP-00004833.002.5</t>
  </si>
  <si>
    <t>MRMP-00004833.002.6</t>
  </si>
  <si>
    <t>MRMP-00004833.002.7</t>
  </si>
  <si>
    <t>MRMP-00004833.002.8</t>
  </si>
  <si>
    <t>MRMP-00004833.002.31</t>
  </si>
  <si>
    <t>MRMP-00004833.002.34</t>
  </si>
  <si>
    <t>MRMP-00004833.002.36</t>
  </si>
  <si>
    <t>Sr. No.</t>
  </si>
  <si>
    <t>Requirement</t>
  </si>
  <si>
    <t>Test Method</t>
  </si>
  <si>
    <t>Units</t>
  </si>
  <si>
    <t>Sub group</t>
  </si>
  <si>
    <t>Report To</t>
  </si>
  <si>
    <t>Target</t>
  </si>
  <si>
    <t>LSL</t>
  </si>
  <si>
    <t>USL</t>
  </si>
  <si>
    <t>RC</t>
  </si>
  <si>
    <t>STDEV</t>
  </si>
  <si>
    <t>cpk</t>
  </si>
  <si>
    <t>Min</t>
  </si>
  <si>
    <t>Max</t>
  </si>
  <si>
    <t>Pass/Fail</t>
  </si>
  <si>
    <t>Cut Width</t>
  </si>
  <si>
    <t>As per RMS</t>
  </si>
  <si>
    <t>Color units - H</t>
  </si>
  <si>
    <t>1</t>
  </si>
  <si>
    <t>168</t>
  </si>
  <si>
    <t>166</t>
  </si>
  <si>
    <t>170</t>
  </si>
  <si>
    <t>OBS 0</t>
  </si>
  <si>
    <t>Gloss level</t>
  </si>
  <si>
    <t>Gloss unit</t>
  </si>
  <si>
    <t>3</t>
  </si>
  <si>
    <t>0.1</t>
  </si>
  <si>
    <t>9.0</t>
  </si>
  <si>
    <t>11.0</t>
  </si>
  <si>
    <t>Opacity</t>
    <phoneticPr fontId="0" type="noConversion"/>
  </si>
  <si>
    <t>%</t>
  </si>
  <si>
    <t>50.0</t>
  </si>
  <si>
    <t>45.0</t>
  </si>
  <si>
    <t>55.0</t>
  </si>
  <si>
    <t>Delta E(Unprinted Film-10 layers)</t>
  </si>
  <si>
    <t>0.01</t>
  </si>
  <si>
    <t>0.00</t>
  </si>
  <si>
    <t>4.00</t>
  </si>
  <si>
    <t>Basis weight</t>
  </si>
  <si>
    <t>GSM</t>
  </si>
  <si>
    <t>16.00</t>
  </si>
  <si>
    <t>14.00</t>
  </si>
  <si>
    <t>18.00</t>
  </si>
  <si>
    <t>1.33</t>
  </si>
  <si>
    <t>Elongation~CD @ break</t>
    <phoneticPr fontId="0" type="noConversion"/>
  </si>
  <si>
    <t>500</t>
  </si>
  <si>
    <t>400</t>
  </si>
  <si>
    <t>Elongation~MD @ break</t>
  </si>
  <si>
    <t>450</t>
  </si>
  <si>
    <t>350</t>
  </si>
  <si>
    <t>Tensile strength-MD (Load @Break)</t>
  </si>
  <si>
    <t>N</t>
  </si>
  <si>
    <t>12.0</t>
  </si>
  <si>
    <t>Tensile strength-CD (Load @Break)</t>
  </si>
  <si>
    <t>6.0</t>
  </si>
  <si>
    <t>Tensile strength-MD (5% Elongation)</t>
  </si>
  <si>
    <t>4.0</t>
  </si>
  <si>
    <t>2.5</t>
  </si>
  <si>
    <t>5.5</t>
  </si>
  <si>
    <t>Thickness</t>
    <phoneticPr fontId="0" type="noConversion"/>
  </si>
  <si>
    <t>mm</t>
  </si>
  <si>
    <t>0.001</t>
  </si>
  <si>
    <t>0.030</t>
  </si>
  <si>
    <t>0.025</t>
  </si>
  <si>
    <t>0.035</t>
  </si>
  <si>
    <t>Modulus-MD @2% Strain fresh</t>
  </si>
  <si>
    <t>N / cm</t>
  </si>
  <si>
    <t>COF fresh A-side to A side</t>
  </si>
  <si>
    <t>0.40</t>
  </si>
  <si>
    <t>0.20</t>
  </si>
  <si>
    <t>0.60</t>
  </si>
  <si>
    <t>Delta E(Printed Film-1 layer)</t>
  </si>
  <si>
    <t>Color units - Delta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</si>
</sst>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_);[Red]\(0.00\)"/>
    <numFmt numFmtId="168" formatCode="[$-14009]dd\-mm\-yyyy;@"/>
  </numFmts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Book Antiqua"/>
      <family val="1"/>
    </font>
    <font>
      <sz val="11"/>
      <color theme="1"/>
      <name val="Calibri"/>
      <family val="1"/>
      <charset val="136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i/>
      <sz val="8"/>
      <color theme="1"/>
      <name val="Times New Roman"/>
      <family val="1"/>
    </font>
    <font>
      <sz val="8"/>
      <name val="Arial"/>
      <family val="2"/>
    </font>
    <font>
      <sz val="10"/>
      <name val="Calibri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12">
    <xf numFmtId="0" fontId="0" fillId="0" borderId="0" xfId="0"/>
    <xf numFmtId="0" fontId="1" fillId="2" borderId="0" xfId="0" applyFont="1" applyFill="1" applyAlignment="1" applyProtection="1">
      <alignment wrapText="1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>
      <alignment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31" xfId="0" applyFont="1" applyFill="1" applyBorder="1" applyAlignment="1" applyProtection="1">
      <alignment horizontal="center" vertical="center" wrapText="1"/>
      <protection locked="0"/>
    </xf>
    <xf numFmtId="49" fontId="1" fillId="2" borderId="3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46" xfId="0" applyNumberFormat="1" applyFont="1" applyFill="1" applyBorder="1" applyAlignment="1" applyProtection="1">
      <alignment vertical="center" wrapText="1"/>
      <protection locked="0"/>
    </xf>
    <xf numFmtId="49" fontId="1" fillId="2" borderId="8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47" xfId="0" applyNumberFormat="1" applyFont="1" applyFill="1" applyBorder="1" applyAlignment="1" applyProtection="1">
      <alignment vertical="center" wrapText="1"/>
      <protection locked="0"/>
    </xf>
    <xf numFmtId="49" fontId="1" fillId="2" borderId="38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44" xfId="0" applyNumberFormat="1" applyFont="1" applyFill="1" applyBorder="1" applyAlignment="1" applyProtection="1">
      <alignment vertical="center" wrapText="1"/>
      <protection locked="0"/>
    </xf>
    <xf numFmtId="49" fontId="1" fillId="2" borderId="42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12" xfId="0" quotePrefix="1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vertical="center" wrapText="1"/>
      <protection locked="0"/>
    </xf>
    <xf numFmtId="1" fontId="1" fillId="2" borderId="36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64" fontId="1" fillId="2" borderId="36" xfId="0" applyNumberFormat="1" applyFont="1" applyFill="1" applyBorder="1" applyAlignment="1">
      <alignment horizontal="center" vertical="center" wrapText="1"/>
    </xf>
    <xf numFmtId="164" fontId="1" fillId="2" borderId="26" xfId="0" applyNumberFormat="1" applyFont="1" applyFill="1" applyBorder="1" applyAlignment="1">
      <alignment horizontal="center" vertical="center" wrapText="1"/>
    </xf>
    <xf numFmtId="164" fontId="1" fillId="2" borderId="43" xfId="0" applyNumberFormat="1" applyFont="1" applyFill="1" applyBorder="1" applyAlignment="1">
      <alignment horizontal="center" vertical="center" wrapText="1"/>
    </xf>
    <xf numFmtId="164" fontId="1" fillId="2" borderId="45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49" fontId="1" fillId="2" borderId="3" xfId="0" quotePrefix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 applyProtection="1">
      <alignment vertical="center" wrapText="1"/>
      <protection locked="0"/>
    </xf>
    <xf numFmtId="49" fontId="1" fillId="2" borderId="46" xfId="0" applyNumberFormat="1" applyFont="1" applyFill="1" applyBorder="1" applyAlignment="1">
      <alignment vertical="center" wrapText="1"/>
    </xf>
    <xf numFmtId="49" fontId="1" fillId="2" borderId="8" xfId="0" quotePrefix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49" fontId="1" fillId="2" borderId="47" xfId="0" applyNumberFormat="1" applyFont="1" applyFill="1" applyBorder="1" applyAlignment="1">
      <alignment vertical="center" wrapText="1"/>
    </xf>
    <xf numFmtId="49" fontId="1" fillId="2" borderId="38" xfId="0" quotePrefix="1" applyNumberFormat="1" applyFont="1" applyFill="1" applyBorder="1" applyAlignment="1">
      <alignment horizontal="center" vertical="center" wrapText="1"/>
    </xf>
    <xf numFmtId="49" fontId="1" fillId="2" borderId="44" xfId="0" applyNumberFormat="1" applyFont="1" applyFill="1" applyBorder="1" applyAlignment="1">
      <alignment vertical="center" wrapText="1"/>
    </xf>
    <xf numFmtId="49" fontId="1" fillId="2" borderId="42" xfId="0" quotePrefix="1" applyNumberFormat="1" applyFont="1" applyFill="1" applyBorder="1" applyAlignment="1">
      <alignment horizontal="center" vertical="center" wrapText="1"/>
    </xf>
    <xf numFmtId="49" fontId="1" fillId="2" borderId="12" xfId="0" quotePrefix="1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7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2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7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1" fillId="2" borderId="0" xfId="0" quotePrefix="1" applyFont="1" applyFill="1" applyAlignment="1" applyProtection="1">
      <alignment wrapText="1"/>
      <protection locked="0"/>
    </xf>
    <xf numFmtId="0" fontId="5" fillId="2" borderId="0" xfId="0" applyFont="1" applyFill="1" applyAlignment="1" applyProtection="1">
      <alignment wrapText="1"/>
      <protection locked="0"/>
    </xf>
    <xf numFmtId="0" fontId="1" fillId="2" borderId="21" xfId="0" applyFont="1" applyFill="1" applyBorder="1" applyAlignment="1" applyProtection="1">
      <alignment horizontal="center" vertical="center" wrapText="1"/>
      <protection locked="0"/>
    </xf>
    <xf numFmtId="0" fontId="1" fillId="2" borderId="7" xfId="0" quotePrefix="1" applyFont="1" applyFill="1" applyBorder="1" applyAlignment="1" applyProtection="1">
      <alignment horizontal="center" vertical="center" wrapText="1"/>
      <protection locked="0"/>
    </xf>
    <xf numFmtId="0" fontId="1" fillId="2" borderId="3" xfId="0" quotePrefix="1" applyFont="1" applyFill="1" applyBorder="1" applyAlignment="1" applyProtection="1">
      <alignment horizontal="center" vertical="center" wrapText="1"/>
      <protection locked="0"/>
    </xf>
    <xf numFmtId="0" fontId="1" fillId="2" borderId="21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164" fontId="1" fillId="2" borderId="4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right" vertical="center" wrapText="1"/>
    </xf>
    <xf numFmtId="2" fontId="1" fillId="2" borderId="18" xfId="0" applyNumberFormat="1" applyFont="1" applyFill="1" applyBorder="1" applyAlignment="1">
      <alignment horizontal="center" vertical="center" wrapText="1"/>
    </xf>
    <xf numFmtId="2" fontId="1" fillId="2" borderId="20" xfId="0" applyNumberFormat="1" applyFont="1" applyFill="1" applyBorder="1" applyAlignment="1">
      <alignment horizontal="center" vertical="center" wrapText="1"/>
    </xf>
    <xf numFmtId="2" fontId="1" fillId="2" borderId="3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0" fillId="0" borderId="0" xfId="0" applyFont="1" applyAlignment="1">
      <alignment wrapText="1"/>
    </xf>
    <xf numFmtId="2" fontId="10" fillId="0" borderId="0" xfId="0" applyNumberFormat="1" applyFont="1" applyAlignment="1">
      <alignment wrapText="1"/>
    </xf>
    <xf numFmtId="164" fontId="10" fillId="0" borderId="0" xfId="0" applyNumberFormat="1" applyFont="1" applyAlignment="1">
      <alignment wrapText="1"/>
    </xf>
    <xf numFmtId="1" fontId="10" fillId="0" borderId="0" xfId="0" applyNumberFormat="1" applyFont="1" applyAlignment="1">
      <alignment wrapText="1"/>
    </xf>
    <xf numFmtId="2" fontId="1" fillId="2" borderId="1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15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58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2" fillId="4" borderId="1" xfId="0" applyFont="1" applyFill="1" applyBorder="1" applyAlignment="1" applyProtection="1">
      <alignment wrapText="1"/>
      <protection locked="0"/>
    </xf>
    <xf numFmtId="0" fontId="12" fillId="3" borderId="1" xfId="0" applyFont="1" applyFill="1" applyBorder="1" applyAlignment="1">
      <alignment horizontal="center" vertical="center" wrapText="1"/>
    </xf>
    <xf numFmtId="2" fontId="12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 applyProtection="1">
      <alignment horizontal="center" vertical="center" wrapText="1"/>
      <protection locked="0"/>
    </xf>
    <xf numFmtId="49" fontId="12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2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12" fillId="5" borderId="1" xfId="0" applyNumberFormat="1" applyFont="1" applyFill="1" applyBorder="1" applyAlignment="1" applyProtection="1">
      <alignment horizontal="center" vertical="center" wrapText="1"/>
      <protection locked="0"/>
    </xf>
    <xf numFmtId="2" fontId="12" fillId="0" borderId="1" xfId="0" applyNumberFormat="1" applyFont="1" applyBorder="1" applyAlignment="1" applyProtection="1">
      <alignment horizontal="center" vertical="center" wrapText="1"/>
      <protection locked="0"/>
    </xf>
    <xf numFmtId="166" fontId="13" fillId="5" borderId="1" xfId="1" applyNumberFormat="1" applyFont="1" applyFill="1" applyBorder="1" applyAlignment="1" applyProtection="1">
      <alignment horizontal="center" vertical="center" wrapText="1" shrinkToFit="1"/>
      <protection locked="0"/>
    </xf>
    <xf numFmtId="1" fontId="12" fillId="0" borderId="1" xfId="0" applyNumberFormat="1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vertical="center" wrapText="1"/>
    </xf>
    <xf numFmtId="164" fontId="12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12" fillId="5" borderId="1" xfId="0" applyNumberFormat="1" applyFont="1" applyFill="1" applyBorder="1" applyAlignment="1" applyProtection="1">
      <alignment horizontal="center" vertical="center" wrapText="1"/>
      <protection locked="0"/>
    </xf>
    <xf numFmtId="2" fontId="13" fillId="5" borderId="1" xfId="1" applyNumberFormat="1" applyFont="1" applyFill="1" applyBorder="1" applyAlignment="1" applyProtection="1">
      <alignment horizontal="center" vertical="center" wrapText="1" shrinkToFit="1"/>
      <protection locked="0"/>
    </xf>
    <xf numFmtId="164" fontId="12" fillId="0" borderId="1" xfId="0" applyNumberFormat="1" applyFont="1" applyBorder="1" applyAlignment="1" applyProtection="1">
      <alignment horizontal="center" vertical="center" wrapText="1"/>
      <protection locked="0"/>
    </xf>
    <xf numFmtId="2" fontId="12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165" fontId="12" fillId="4" borderId="1" xfId="0" applyNumberFormat="1" applyFont="1" applyFill="1" applyBorder="1" applyAlignment="1" applyProtection="1">
      <alignment horizontal="center" vertical="center" wrapText="1"/>
      <protection locked="0"/>
    </xf>
    <xf numFmtId="165" fontId="12" fillId="5" borderId="1" xfId="0" applyNumberFormat="1" applyFont="1" applyFill="1" applyBorder="1" applyAlignment="1" applyProtection="1">
      <alignment horizontal="center" vertical="center" wrapText="1"/>
      <protection locked="0"/>
    </xf>
    <xf numFmtId="165" fontId="12" fillId="0" borderId="1" xfId="0" applyNumberFormat="1" applyFont="1" applyBorder="1" applyAlignment="1" applyProtection="1">
      <alignment horizontal="center" vertical="center" wrapText="1"/>
      <protection locked="0"/>
    </xf>
    <xf numFmtId="164" fontId="12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5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>
      <alignment horizontal="center" vertical="center" wrapText="1"/>
    </xf>
    <xf numFmtId="49" fontId="8" fillId="2" borderId="30" xfId="0" quotePrefix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wrapText="1"/>
    </xf>
    <xf numFmtId="0" fontId="1" fillId="2" borderId="3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49" fontId="8" fillId="2" borderId="0" xfId="0" quotePrefix="1" applyNumberFormat="1" applyFont="1" applyFill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2" fontId="1" fillId="2" borderId="1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15" xfId="0" applyNumberFormat="1" applyFont="1" applyFill="1" applyBorder="1" applyAlignment="1">
      <alignment horizontal="center" vertical="center" wrapText="1"/>
    </xf>
    <xf numFmtId="1" fontId="1" fillId="2" borderId="1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15" xfId="0" applyNumberFormat="1" applyFont="1" applyFill="1" applyBorder="1" applyAlignment="1">
      <alignment horizontal="center" vertical="center" wrapText="1"/>
    </xf>
    <xf numFmtId="49" fontId="1" fillId="2" borderId="17" xfId="0" quotePrefix="1" applyNumberFormat="1" applyFont="1" applyFill="1" applyBorder="1" applyAlignment="1">
      <alignment horizontal="right" vertical="center" wrapText="1"/>
    </xf>
    <xf numFmtId="49" fontId="1" fillId="2" borderId="11" xfId="0" quotePrefix="1" applyNumberFormat="1" applyFont="1" applyFill="1" applyBorder="1" applyAlignment="1">
      <alignment horizontal="right" vertical="center" wrapText="1"/>
    </xf>
    <xf numFmtId="49" fontId="1" fillId="2" borderId="19" xfId="0" quotePrefix="1" applyNumberFormat="1" applyFont="1" applyFill="1" applyBorder="1" applyAlignment="1">
      <alignment horizontal="right" vertical="center" wrapText="1"/>
    </xf>
    <xf numFmtId="49" fontId="1" fillId="2" borderId="1" xfId="0" quotePrefix="1" applyNumberFormat="1" applyFont="1" applyFill="1" applyBorder="1" applyAlignment="1">
      <alignment horizontal="right" vertical="center" wrapText="1"/>
    </xf>
    <xf numFmtId="49" fontId="1" fillId="2" borderId="23" xfId="0" quotePrefix="1" applyNumberFormat="1" applyFont="1" applyFill="1" applyBorder="1" applyAlignment="1">
      <alignment horizontal="right" vertical="center" wrapText="1"/>
    </xf>
    <xf numFmtId="49" fontId="1" fillId="2" borderId="15" xfId="0" quotePrefix="1" applyNumberFormat="1" applyFont="1" applyFill="1" applyBorder="1" applyAlignment="1">
      <alignment horizontal="right" vertical="center" wrapText="1"/>
    </xf>
    <xf numFmtId="165" fontId="1" fillId="2" borderId="1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1" fillId="2" borderId="15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5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right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1" fontId="1" fillId="2" borderId="2" xfId="0" applyNumberFormat="1" applyFont="1" applyFill="1" applyBorder="1" applyAlignment="1" applyProtection="1">
      <alignment horizontal="right" vertical="center" wrapText="1"/>
      <protection locked="0"/>
    </xf>
    <xf numFmtId="1" fontId="1" fillId="2" borderId="3" xfId="0" applyNumberFormat="1" applyFont="1" applyFill="1" applyBorder="1" applyAlignment="1" applyProtection="1">
      <alignment horizontal="right" vertical="center" wrapText="1"/>
      <protection locked="0"/>
    </xf>
    <xf numFmtId="1" fontId="1" fillId="2" borderId="4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2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3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4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33" xfId="0" applyNumberFormat="1" applyFont="1" applyFill="1" applyBorder="1" applyAlignment="1" applyProtection="1">
      <alignment horizontal="right" vertical="center" wrapText="1"/>
      <protection locked="0"/>
    </xf>
    <xf numFmtId="1" fontId="1" fillId="2" borderId="13" xfId="0" applyNumberFormat="1" applyFont="1" applyFill="1" applyBorder="1" applyAlignment="1" applyProtection="1">
      <alignment horizontal="right" vertical="center" wrapText="1"/>
      <protection locked="0"/>
    </xf>
    <xf numFmtId="1" fontId="1" fillId="2" borderId="12" xfId="0" applyNumberFormat="1" applyFont="1" applyFill="1" applyBorder="1" applyAlignment="1" applyProtection="1">
      <alignment horizontal="right" vertical="center" wrapText="1"/>
      <protection locked="0"/>
    </xf>
    <xf numFmtId="1" fontId="1" fillId="2" borderId="14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13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12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14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16" xfId="0" applyNumberFormat="1" applyFont="1" applyFill="1" applyBorder="1" applyAlignment="1" applyProtection="1">
      <alignment horizontal="right" vertical="center" wrapText="1"/>
      <protection locked="0"/>
    </xf>
    <xf numFmtId="0" fontId="8" fillId="2" borderId="30" xfId="0" applyFont="1" applyFill="1" applyBorder="1" applyAlignment="1" applyProtection="1">
      <alignment horizontal="center" vertical="center" wrapText="1"/>
      <protection locked="0"/>
    </xf>
    <xf numFmtId="0" fontId="1" fillId="2" borderId="30" xfId="0" applyFont="1" applyFill="1" applyBorder="1" applyAlignment="1" applyProtection="1">
      <alignment horizontal="left" vertical="center" wrapText="1"/>
      <protection locked="0"/>
    </xf>
    <xf numFmtId="0" fontId="8" fillId="2" borderId="0" xfId="0" applyFont="1" applyFill="1" applyAlignment="1">
      <alignment horizont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37" xfId="0" applyFont="1" applyFill="1" applyBorder="1" applyAlignment="1" applyProtection="1">
      <alignment horizontal="center" vertical="center" wrapText="1"/>
      <protection locked="0"/>
    </xf>
    <xf numFmtId="0" fontId="1" fillId="2" borderId="38" xfId="0" applyFont="1" applyFill="1" applyBorder="1" applyAlignment="1" applyProtection="1">
      <alignment horizontal="center" vertical="center" wrapText="1"/>
      <protection locked="0"/>
    </xf>
    <xf numFmtId="0" fontId="1" fillId="2" borderId="40" xfId="0" applyFont="1" applyFill="1" applyBorder="1" applyAlignment="1" applyProtection="1">
      <alignment horizontal="center" vertical="center" wrapText="1"/>
      <protection locked="0"/>
    </xf>
    <xf numFmtId="0" fontId="1" fillId="2" borderId="34" xfId="0" applyFont="1" applyFill="1" applyBorder="1" applyAlignment="1" applyProtection="1">
      <alignment horizontal="center" vertical="center" wrapText="1"/>
      <protection locked="0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41" xfId="0" applyFont="1" applyFill="1" applyBorder="1" applyAlignment="1" applyProtection="1">
      <alignment horizontal="center" vertical="center" wrapText="1"/>
      <protection locked="0"/>
    </xf>
    <xf numFmtId="0" fontId="1" fillId="2" borderId="42" xfId="0" applyFont="1" applyFill="1" applyBorder="1" applyAlignment="1" applyProtection="1">
      <alignment horizontal="center" vertical="center" wrapText="1"/>
      <protection locked="0"/>
    </xf>
    <xf numFmtId="0" fontId="1" fillId="2" borderId="24" xfId="0" applyFont="1" applyFill="1" applyBorder="1" applyAlignment="1" applyProtection="1">
      <alignment horizontal="center" vertical="center" wrapText="1"/>
      <protection locked="0"/>
    </xf>
    <xf numFmtId="0" fontId="1" fillId="2" borderId="36" xfId="0" applyFont="1" applyFill="1" applyBorder="1" applyAlignment="1" applyProtection="1">
      <alignment horizontal="center" vertical="center" wrapText="1"/>
      <protection locked="0"/>
    </xf>
    <xf numFmtId="0" fontId="1" fillId="2" borderId="39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 vertical="center" wrapText="1"/>
      <protection locked="0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1" fillId="2" borderId="45" xfId="0" applyFont="1" applyFill="1" applyBorder="1" applyAlignment="1" applyProtection="1">
      <alignment horizontal="center" vertical="center" wrapText="1"/>
      <protection locked="0"/>
    </xf>
    <xf numFmtId="1" fontId="1" fillId="2" borderId="9" xfId="0" applyNumberFormat="1" applyFont="1" applyFill="1" applyBorder="1" applyAlignment="1" applyProtection="1">
      <alignment horizontal="right" vertical="center" wrapText="1"/>
      <protection locked="0"/>
    </xf>
    <xf numFmtId="1" fontId="1" fillId="2" borderId="8" xfId="0" applyNumberFormat="1" applyFont="1" applyFill="1" applyBorder="1" applyAlignment="1" applyProtection="1">
      <alignment horizontal="right" vertical="center" wrapText="1"/>
      <protection locked="0"/>
    </xf>
    <xf numFmtId="1" fontId="1" fillId="2" borderId="10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9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8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10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32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1" fontId="1" fillId="2" borderId="13" xfId="0" applyNumberFormat="1" applyFont="1" applyFill="1" applyBorder="1" applyAlignment="1">
      <alignment horizontal="right" vertical="center" wrapText="1"/>
    </xf>
    <xf numFmtId="1" fontId="1" fillId="2" borderId="12" xfId="0" applyNumberFormat="1" applyFont="1" applyFill="1" applyBorder="1" applyAlignment="1">
      <alignment horizontal="right" vertical="center" wrapText="1"/>
    </xf>
    <xf numFmtId="1" fontId="1" fillId="2" borderId="14" xfId="0" applyNumberFormat="1" applyFont="1" applyFill="1" applyBorder="1" applyAlignment="1">
      <alignment horizontal="right" vertical="center" wrapText="1"/>
    </xf>
    <xf numFmtId="164" fontId="1" fillId="2" borderId="13" xfId="0" applyNumberFormat="1" applyFont="1" applyFill="1" applyBorder="1" applyAlignment="1">
      <alignment horizontal="right" vertical="center" wrapText="1"/>
    </xf>
    <xf numFmtId="164" fontId="1" fillId="2" borderId="12" xfId="0" applyNumberFormat="1" applyFont="1" applyFill="1" applyBorder="1" applyAlignment="1">
      <alignment horizontal="right" vertical="center" wrapText="1"/>
    </xf>
    <xf numFmtId="164" fontId="1" fillId="2" borderId="14" xfId="0" applyNumberFormat="1" applyFont="1" applyFill="1" applyBorder="1" applyAlignment="1">
      <alignment horizontal="right" vertical="center" wrapText="1"/>
    </xf>
    <xf numFmtId="164" fontId="1" fillId="2" borderId="16" xfId="0" applyNumberFormat="1" applyFont="1" applyFill="1" applyBorder="1" applyAlignment="1">
      <alignment horizontal="right" vertical="center" wrapText="1"/>
    </xf>
    <xf numFmtId="1" fontId="1" fillId="2" borderId="9" xfId="0" applyNumberFormat="1" applyFont="1" applyFill="1" applyBorder="1" applyAlignment="1">
      <alignment horizontal="right" vertical="center" wrapText="1"/>
    </xf>
    <xf numFmtId="1" fontId="1" fillId="2" borderId="8" xfId="0" applyNumberFormat="1" applyFont="1" applyFill="1" applyBorder="1" applyAlignment="1">
      <alignment horizontal="right" vertical="center" wrapText="1"/>
    </xf>
    <xf numFmtId="1" fontId="1" fillId="2" borderId="10" xfId="0" applyNumberFormat="1" applyFont="1" applyFill="1" applyBorder="1" applyAlignment="1">
      <alignment horizontal="right" vertical="center" wrapText="1"/>
    </xf>
    <xf numFmtId="164" fontId="1" fillId="2" borderId="9" xfId="0" applyNumberFormat="1" applyFont="1" applyFill="1" applyBorder="1" applyAlignment="1">
      <alignment horizontal="right" vertical="center" wrapText="1"/>
    </xf>
    <xf numFmtId="164" fontId="1" fillId="2" borderId="8" xfId="0" applyNumberFormat="1" applyFont="1" applyFill="1" applyBorder="1" applyAlignment="1">
      <alignment horizontal="right" vertical="center" wrapText="1"/>
    </xf>
    <xf numFmtId="164" fontId="1" fillId="2" borderId="10" xfId="0" applyNumberFormat="1" applyFont="1" applyFill="1" applyBorder="1" applyAlignment="1">
      <alignment horizontal="right" vertical="center" wrapText="1"/>
    </xf>
    <xf numFmtId="164" fontId="1" fillId="2" borderId="32" xfId="0" applyNumberFormat="1" applyFont="1" applyFill="1" applyBorder="1" applyAlignment="1">
      <alignment horizontal="right" vertical="center" wrapText="1"/>
    </xf>
    <xf numFmtId="1" fontId="1" fillId="2" borderId="2" xfId="0" applyNumberFormat="1" applyFont="1" applyFill="1" applyBorder="1" applyAlignment="1">
      <alignment horizontal="right" vertical="center" wrapText="1"/>
    </xf>
    <xf numFmtId="1" fontId="1" fillId="2" borderId="3" xfId="0" applyNumberFormat="1" applyFont="1" applyFill="1" applyBorder="1" applyAlignment="1">
      <alignment horizontal="right" vertical="center" wrapText="1"/>
    </xf>
    <xf numFmtId="1" fontId="1" fillId="2" borderId="4" xfId="0" applyNumberFormat="1" applyFont="1" applyFill="1" applyBorder="1" applyAlignment="1">
      <alignment horizontal="right" vertical="center" wrapText="1"/>
    </xf>
    <xf numFmtId="164" fontId="1" fillId="2" borderId="2" xfId="0" applyNumberFormat="1" applyFont="1" applyFill="1" applyBorder="1" applyAlignment="1">
      <alignment horizontal="right" vertical="center" wrapText="1"/>
    </xf>
    <xf numFmtId="164" fontId="1" fillId="2" borderId="3" xfId="0" applyNumberFormat="1" applyFont="1" applyFill="1" applyBorder="1" applyAlignment="1">
      <alignment horizontal="right" vertical="center" wrapText="1"/>
    </xf>
    <xf numFmtId="164" fontId="1" fillId="2" borderId="4" xfId="0" applyNumberFormat="1" applyFont="1" applyFill="1" applyBorder="1" applyAlignment="1">
      <alignment horizontal="right" vertical="center" wrapText="1"/>
    </xf>
    <xf numFmtId="164" fontId="1" fillId="2" borderId="33" xfId="0" applyNumberFormat="1" applyFont="1" applyFill="1" applyBorder="1" applyAlignment="1">
      <alignment horizontal="right" vertical="center" wrapText="1"/>
    </xf>
    <xf numFmtId="14" fontId="1" fillId="2" borderId="9" xfId="0" applyNumberFormat="1" applyFont="1" applyFill="1" applyBorder="1" applyAlignment="1">
      <alignment horizontal="center" vertical="center" wrapText="1"/>
    </xf>
    <xf numFmtId="14" fontId="1" fillId="2" borderId="32" xfId="0" applyNumberFormat="1" applyFont="1" applyFill="1" applyBorder="1" applyAlignment="1">
      <alignment horizontal="center" vertical="center" wrapText="1"/>
    </xf>
    <xf numFmtId="14" fontId="1" fillId="2" borderId="13" xfId="0" applyNumberFormat="1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 applyProtection="1">
      <alignment horizontal="center" vertical="center" wrapText="1"/>
      <protection locked="0"/>
    </xf>
    <xf numFmtId="0" fontId="1" fillId="2" borderId="52" xfId="0" applyFont="1" applyFill="1" applyBorder="1" applyAlignment="1" applyProtection="1">
      <alignment horizontal="center" vertical="center" wrapText="1"/>
      <protection locked="0"/>
    </xf>
    <xf numFmtId="1" fontId="1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 applyProtection="1">
      <alignment horizontal="center" vertical="center" wrapText="1"/>
      <protection locked="0"/>
    </xf>
    <xf numFmtId="0" fontId="1" fillId="2" borderId="54" xfId="0" applyFont="1" applyFill="1" applyBorder="1" applyAlignment="1" applyProtection="1">
      <alignment horizontal="center" vertical="center" wrapText="1"/>
      <protection locked="0"/>
    </xf>
    <xf numFmtId="0" fontId="1" fillId="2" borderId="29" xfId="0" applyFont="1" applyFill="1" applyBorder="1" applyAlignment="1" applyProtection="1">
      <alignment horizontal="center" vertical="center" wrapText="1"/>
      <protection locked="0"/>
    </xf>
    <xf numFmtId="1" fontId="1" fillId="2" borderId="4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2" xfId="0" applyNumberFormat="1" applyFont="1" applyFill="1" applyBorder="1" applyAlignment="1" applyProtection="1">
      <alignment horizontal="center" vertical="center" wrapText="1"/>
      <protection locked="0"/>
    </xf>
    <xf numFmtId="2" fontId="2" fillId="2" borderId="0" xfId="0" applyNumberFormat="1" applyFont="1" applyFill="1" applyAlignment="1" applyProtection="1">
      <alignment horizontal="center" vertical="center" wrapText="1"/>
      <protection locked="0"/>
    </xf>
    <xf numFmtId="1" fontId="1" fillId="2" borderId="44" xfId="0" applyNumberFormat="1" applyFont="1" applyFill="1" applyBorder="1" applyAlignment="1">
      <alignment horizontal="center" vertical="center" wrapText="1"/>
    </xf>
    <xf numFmtId="1" fontId="1" fillId="2" borderId="16" xfId="0" applyNumberFormat="1" applyFont="1" applyFill="1" applyBorder="1" applyAlignment="1">
      <alignment horizontal="center" vertical="center" wrapText="1"/>
    </xf>
    <xf numFmtId="0" fontId="1" fillId="2" borderId="30" xfId="0" applyFont="1" applyFill="1" applyBorder="1" applyAlignment="1" applyProtection="1">
      <alignment horizontal="center" vertical="center" wrapText="1"/>
      <protection locked="0"/>
    </xf>
    <xf numFmtId="0" fontId="1" fillId="2" borderId="55" xfId="0" applyFont="1" applyFill="1" applyBorder="1" applyAlignment="1" applyProtection="1">
      <alignment horizontal="center" vertical="center" wrapText="1"/>
      <protection locked="0"/>
    </xf>
    <xf numFmtId="0" fontId="1" fillId="2" borderId="50" xfId="0" applyFont="1" applyFill="1" applyBorder="1" applyAlignment="1" applyProtection="1">
      <alignment horizontal="center" vertical="center" wrapText="1"/>
      <protection locked="0"/>
    </xf>
    <xf numFmtId="1" fontId="1" fillId="2" borderId="44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46" xfId="0" applyNumberFormat="1" applyFont="1" applyFill="1" applyBorder="1" applyAlignment="1">
      <alignment horizontal="center" vertical="center" wrapText="1"/>
    </xf>
    <xf numFmtId="1" fontId="1" fillId="2" borderId="32" xfId="0" applyNumberFormat="1" applyFont="1" applyFill="1" applyBorder="1" applyAlignment="1">
      <alignment horizontal="center" vertical="center" wrapText="1"/>
    </xf>
    <xf numFmtId="1" fontId="1" fillId="2" borderId="47" xfId="0" applyNumberFormat="1" applyFont="1" applyFill="1" applyBorder="1" applyAlignment="1">
      <alignment horizontal="center" vertical="center" wrapText="1"/>
    </xf>
    <xf numFmtId="1" fontId="1" fillId="2" borderId="33" xfId="0" applyNumberFormat="1" applyFont="1" applyFill="1" applyBorder="1" applyAlignment="1">
      <alignment horizontal="center" vertical="center" wrapText="1"/>
    </xf>
    <xf numFmtId="168" fontId="0" fillId="0" borderId="0" xfId="0" applyNumberFormat="1" applyAlignment="1" applyProtection="1">
      <alignment horizontal="center" vertical="center" wrapText="1"/>
      <protection locked="0"/>
    </xf>
  </cellXfs>
  <cellStyles count="2">
    <cellStyle name="Normal" xfId="0" builtinId="0"/>
    <cellStyle name="常规 3" xfId="1" xr:uid="{00000000-0005-0000-0000-000001000000}"/>
  </cellStyles>
  <dxfs count="1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view="pageBreakPreview" zoomScaleNormal="100" zoomScaleSheetLayoutView="100" workbookViewId="0">
      <selection activeCell="A8" sqref="A8"/>
    </sheetView>
  </sheetViews>
  <sheetFormatPr defaultColWidth="9.140625" defaultRowHeight="15.75" customHeight="1"/>
  <cols>
    <col min="1" max="3" width="12.85546875" style="1" customWidth="1"/>
    <col min="4" max="13" width="11.42578125" style="1" customWidth="1"/>
    <col min="14" max="15" width="21.42578125" style="1" customWidth="1"/>
    <col min="16" max="16384" width="9.140625" style="1"/>
  </cols>
  <sheetData>
    <row r="1" spans="1:15" ht="15.75" customHeight="1">
      <c r="A1" s="150" t="s">
        <v>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70" t="s">
        <v>22</v>
      </c>
      <c r="O1" s="170"/>
    </row>
    <row r="2" spans="1:15" ht="15.75" customHeight="1">
      <c r="A2" s="151" t="s">
        <v>10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71" t="s">
        <v>23</v>
      </c>
      <c r="O2" s="171"/>
    </row>
    <row r="3" spans="1:15" ht="15.75" customHeight="1" thickBo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66" t="s">
        <v>16</v>
      </c>
      <c r="O3" s="63"/>
    </row>
    <row r="4" spans="1:15" s="21" customFormat="1" ht="23.25" customHeight="1">
      <c r="A4" s="160" t="s">
        <v>1</v>
      </c>
      <c r="B4" s="161"/>
      <c r="C4" s="152"/>
      <c r="D4" s="153"/>
      <c r="E4" s="154"/>
      <c r="F4" s="161" t="s">
        <v>3</v>
      </c>
      <c r="G4" s="161"/>
      <c r="H4" s="153"/>
      <c r="I4" s="154"/>
      <c r="J4" s="29" t="s">
        <v>5</v>
      </c>
      <c r="K4" s="87"/>
      <c r="L4" s="168" t="s">
        <v>7</v>
      </c>
      <c r="M4" s="169"/>
      <c r="N4" s="158"/>
      <c r="O4" s="159"/>
    </row>
    <row r="5" spans="1:15" s="21" customFormat="1" ht="23.25" customHeight="1">
      <c r="A5" s="162" t="s">
        <v>2</v>
      </c>
      <c r="B5" s="163"/>
      <c r="C5" s="155"/>
      <c r="D5" s="156"/>
      <c r="E5" s="157"/>
      <c r="F5" s="163" t="s">
        <v>4</v>
      </c>
      <c r="G5" s="163"/>
      <c r="H5" s="156"/>
      <c r="I5" s="157"/>
      <c r="J5" s="60" t="s">
        <v>6</v>
      </c>
      <c r="K5" s="88"/>
      <c r="L5" s="166" t="s">
        <v>8</v>
      </c>
      <c r="M5" s="167"/>
      <c r="N5" s="164"/>
      <c r="O5" s="165"/>
    </row>
    <row r="6" spans="1:15" ht="16.5" customHeight="1" thickBot="1">
      <c r="A6" s="140" t="s">
        <v>24</v>
      </c>
      <c r="B6" s="141"/>
      <c r="C6" s="142"/>
      <c r="D6" s="142"/>
      <c r="E6" s="146"/>
      <c r="F6" s="141"/>
      <c r="G6" s="141"/>
      <c r="H6" s="148"/>
      <c r="I6" s="149"/>
      <c r="J6" s="142"/>
      <c r="K6" s="146"/>
      <c r="L6" s="141"/>
      <c r="M6" s="141"/>
      <c r="N6" s="142"/>
      <c r="O6" s="180"/>
    </row>
    <row r="7" spans="1:15" s="62" customFormat="1" ht="67.5" customHeight="1" thickBot="1">
      <c r="A7" s="143" t="s">
        <v>0</v>
      </c>
      <c r="B7" s="144"/>
      <c r="C7" s="145"/>
      <c r="D7" s="144" t="s">
        <v>33</v>
      </c>
      <c r="E7" s="144"/>
      <c r="F7" s="144" t="s">
        <v>26</v>
      </c>
      <c r="G7" s="144"/>
      <c r="H7" s="145" t="s">
        <v>27</v>
      </c>
      <c r="I7" s="147"/>
      <c r="J7" s="145" t="s">
        <v>28</v>
      </c>
      <c r="K7" s="147"/>
      <c r="L7" s="144" t="s">
        <v>25</v>
      </c>
      <c r="M7" s="144"/>
      <c r="N7" s="93" t="s">
        <v>30</v>
      </c>
      <c r="O7" s="94" t="s">
        <v>29</v>
      </c>
    </row>
    <row r="8" spans="1:15" ht="18.600000000000001" customHeight="1">
      <c r="A8" s="55"/>
      <c r="B8" s="56"/>
      <c r="C8" s="56"/>
      <c r="D8" s="130"/>
      <c r="E8" s="130"/>
      <c r="F8" s="131"/>
      <c r="G8" s="131"/>
      <c r="H8" s="132"/>
      <c r="I8" s="133"/>
      <c r="J8" s="130"/>
      <c r="K8" s="130"/>
      <c r="L8" s="134"/>
      <c r="M8" s="134"/>
      <c r="N8" s="84"/>
      <c r="O8" s="49"/>
    </row>
    <row r="9" spans="1:15" ht="18.600000000000001" customHeight="1">
      <c r="A9" s="55"/>
      <c r="B9" s="57"/>
      <c r="C9" s="56"/>
      <c r="D9" s="135"/>
      <c r="E9" s="135"/>
      <c r="F9" s="136"/>
      <c r="G9" s="136"/>
      <c r="H9" s="137"/>
      <c r="I9" s="138"/>
      <c r="J9" s="135"/>
      <c r="K9" s="135"/>
      <c r="L9" s="139"/>
      <c r="M9" s="139"/>
      <c r="N9" s="82"/>
      <c r="O9" s="50"/>
    </row>
    <row r="10" spans="1:15" ht="18.600000000000001" customHeight="1">
      <c r="A10" s="55"/>
      <c r="B10" s="57"/>
      <c r="C10" s="56"/>
      <c r="D10" s="135"/>
      <c r="E10" s="135"/>
      <c r="F10" s="136"/>
      <c r="G10" s="136"/>
      <c r="H10" s="137"/>
      <c r="I10" s="138"/>
      <c r="J10" s="135"/>
      <c r="K10" s="135"/>
      <c r="L10" s="139"/>
      <c r="M10" s="139"/>
      <c r="N10" s="82"/>
      <c r="O10" s="50"/>
    </row>
    <row r="11" spans="1:15" ht="18.600000000000001" customHeight="1">
      <c r="A11" s="55"/>
      <c r="B11" s="56"/>
      <c r="C11" s="56"/>
      <c r="D11" s="130"/>
      <c r="E11" s="130"/>
      <c r="F11" s="131"/>
      <c r="G11" s="131"/>
      <c r="H11" s="132"/>
      <c r="I11" s="133"/>
      <c r="J11" s="130"/>
      <c r="K11" s="130"/>
      <c r="L11" s="134"/>
      <c r="M11" s="134"/>
      <c r="N11" s="84"/>
      <c r="O11" s="49"/>
    </row>
    <row r="12" spans="1:15" ht="18.600000000000001" customHeight="1">
      <c r="A12" s="55"/>
      <c r="B12" s="57"/>
      <c r="C12" s="56"/>
      <c r="D12" s="135"/>
      <c r="E12" s="135"/>
      <c r="F12" s="136"/>
      <c r="G12" s="136"/>
      <c r="H12" s="137"/>
      <c r="I12" s="138"/>
      <c r="J12" s="135"/>
      <c r="K12" s="135"/>
      <c r="L12" s="139"/>
      <c r="M12" s="139"/>
      <c r="N12" s="82"/>
      <c r="O12" s="50"/>
    </row>
    <row r="13" spans="1:15" ht="18.600000000000001" customHeight="1">
      <c r="A13" s="55"/>
      <c r="B13" s="57"/>
      <c r="C13" s="56"/>
      <c r="D13" s="135"/>
      <c r="E13" s="135"/>
      <c r="F13" s="136"/>
      <c r="G13" s="136"/>
      <c r="H13" s="137"/>
      <c r="I13" s="138"/>
      <c r="J13" s="135"/>
      <c r="K13" s="135"/>
      <c r="L13" s="139"/>
      <c r="M13" s="139"/>
      <c r="N13" s="82"/>
      <c r="O13" s="50"/>
    </row>
    <row r="14" spans="1:15" ht="18.600000000000001" customHeight="1">
      <c r="A14" s="55"/>
      <c r="B14" s="57"/>
      <c r="C14" s="56"/>
      <c r="D14" s="135"/>
      <c r="E14" s="135"/>
      <c r="F14" s="136"/>
      <c r="G14" s="136"/>
      <c r="H14" s="137"/>
      <c r="I14" s="138"/>
      <c r="J14" s="135"/>
      <c r="K14" s="135"/>
      <c r="L14" s="139"/>
      <c r="M14" s="139"/>
      <c r="N14" s="82"/>
      <c r="O14" s="50"/>
    </row>
    <row r="15" spans="1:15" ht="18.600000000000001" customHeight="1">
      <c r="A15" s="55"/>
      <c r="B15" s="57"/>
      <c r="C15" s="56"/>
      <c r="D15" s="135"/>
      <c r="E15" s="135"/>
      <c r="F15" s="136"/>
      <c r="G15" s="136"/>
      <c r="H15" s="137"/>
      <c r="I15" s="138"/>
      <c r="J15" s="135"/>
      <c r="K15" s="135"/>
      <c r="L15" s="139"/>
      <c r="M15" s="139"/>
      <c r="N15" s="82"/>
      <c r="O15" s="50"/>
    </row>
    <row r="16" spans="1:15" ht="18.600000000000001" customHeight="1">
      <c r="A16" s="55"/>
      <c r="B16" s="57"/>
      <c r="C16" s="56"/>
      <c r="D16" s="135"/>
      <c r="E16" s="135"/>
      <c r="F16" s="136"/>
      <c r="G16" s="136"/>
      <c r="H16" s="137"/>
      <c r="I16" s="138"/>
      <c r="J16" s="135"/>
      <c r="K16" s="135"/>
      <c r="L16" s="139"/>
      <c r="M16" s="139"/>
      <c r="N16" s="82"/>
      <c r="O16" s="50"/>
    </row>
    <row r="17" spans="1:15" ht="18.600000000000001" customHeight="1">
      <c r="A17" s="55"/>
      <c r="B17" s="57"/>
      <c r="C17" s="56"/>
      <c r="D17" s="135"/>
      <c r="E17" s="135"/>
      <c r="F17" s="136"/>
      <c r="G17" s="136"/>
      <c r="H17" s="137"/>
      <c r="I17" s="138"/>
      <c r="J17" s="135"/>
      <c r="K17" s="135"/>
      <c r="L17" s="139"/>
      <c r="M17" s="139"/>
      <c r="N17" s="82"/>
      <c r="O17" s="50"/>
    </row>
    <row r="18" spans="1:15" ht="18.600000000000001" customHeight="1">
      <c r="A18" s="55"/>
      <c r="B18" s="57"/>
      <c r="C18" s="56"/>
      <c r="D18" s="135"/>
      <c r="E18" s="135"/>
      <c r="F18" s="136"/>
      <c r="G18" s="136"/>
      <c r="H18" s="137"/>
      <c r="I18" s="138"/>
      <c r="J18" s="135"/>
      <c r="K18" s="135"/>
      <c r="L18" s="139"/>
      <c r="M18" s="139"/>
      <c r="N18" s="82"/>
      <c r="O18" s="50"/>
    </row>
    <row r="19" spans="1:15" ht="18.600000000000001" customHeight="1">
      <c r="A19" s="55"/>
      <c r="B19" s="57"/>
      <c r="C19" s="56"/>
      <c r="D19" s="135"/>
      <c r="E19" s="135"/>
      <c r="F19" s="136"/>
      <c r="G19" s="136"/>
      <c r="H19" s="137"/>
      <c r="I19" s="138"/>
      <c r="J19" s="135"/>
      <c r="K19" s="135"/>
      <c r="L19" s="139"/>
      <c r="M19" s="139"/>
      <c r="N19" s="82"/>
      <c r="O19" s="50"/>
    </row>
    <row r="20" spans="1:15" ht="18.600000000000001" customHeight="1">
      <c r="A20" s="55"/>
      <c r="B20" s="57"/>
      <c r="C20" s="56"/>
      <c r="D20" s="135"/>
      <c r="E20" s="135"/>
      <c r="F20" s="136"/>
      <c r="G20" s="136"/>
      <c r="H20" s="137"/>
      <c r="I20" s="138"/>
      <c r="J20" s="135"/>
      <c r="K20" s="135"/>
      <c r="L20" s="139"/>
      <c r="M20" s="139"/>
      <c r="N20" s="82"/>
      <c r="O20" s="50"/>
    </row>
    <row r="21" spans="1:15" ht="18.600000000000001" customHeight="1">
      <c r="A21" s="55"/>
      <c r="B21" s="56"/>
      <c r="C21" s="56"/>
      <c r="D21" s="130"/>
      <c r="E21" s="130"/>
      <c r="F21" s="131"/>
      <c r="G21" s="131"/>
      <c r="H21" s="132"/>
      <c r="I21" s="133"/>
      <c r="J21" s="130"/>
      <c r="K21" s="130"/>
      <c r="L21" s="134"/>
      <c r="M21" s="134"/>
      <c r="N21" s="84"/>
      <c r="O21" s="49"/>
    </row>
    <row r="22" spans="1:15" ht="18.600000000000001" customHeight="1">
      <c r="A22" s="55"/>
      <c r="B22" s="57"/>
      <c r="C22" s="56"/>
      <c r="D22" s="135"/>
      <c r="E22" s="135"/>
      <c r="F22" s="136"/>
      <c r="G22" s="136"/>
      <c r="H22" s="137"/>
      <c r="I22" s="138"/>
      <c r="J22" s="135"/>
      <c r="K22" s="135"/>
      <c r="L22" s="139"/>
      <c r="M22" s="139"/>
      <c r="N22" s="82"/>
      <c r="O22" s="50"/>
    </row>
    <row r="23" spans="1:15" ht="18.600000000000001" customHeight="1">
      <c r="A23" s="55"/>
      <c r="B23" s="57"/>
      <c r="C23" s="56"/>
      <c r="D23" s="135"/>
      <c r="E23" s="135"/>
      <c r="F23" s="136"/>
      <c r="G23" s="136"/>
      <c r="H23" s="137"/>
      <c r="I23" s="138"/>
      <c r="J23" s="135"/>
      <c r="K23" s="135"/>
      <c r="L23" s="139"/>
      <c r="M23" s="139"/>
      <c r="N23" s="82"/>
      <c r="O23" s="50"/>
    </row>
    <row r="24" spans="1:15" ht="18.600000000000001" customHeight="1">
      <c r="A24" s="55"/>
      <c r="B24" s="56"/>
      <c r="C24" s="56"/>
      <c r="D24" s="130"/>
      <c r="E24" s="130"/>
      <c r="F24" s="131"/>
      <c r="G24" s="131"/>
      <c r="H24" s="132"/>
      <c r="I24" s="133"/>
      <c r="J24" s="130"/>
      <c r="K24" s="130"/>
      <c r="L24" s="134"/>
      <c r="M24" s="134"/>
      <c r="N24" s="84"/>
      <c r="O24" s="49"/>
    </row>
    <row r="25" spans="1:15" ht="18.600000000000001" customHeight="1">
      <c r="A25" s="55"/>
      <c r="B25" s="57"/>
      <c r="C25" s="56"/>
      <c r="D25" s="135"/>
      <c r="E25" s="135"/>
      <c r="F25" s="136"/>
      <c r="G25" s="136"/>
      <c r="H25" s="137"/>
      <c r="I25" s="138"/>
      <c r="J25" s="135"/>
      <c r="K25" s="135"/>
      <c r="L25" s="139"/>
      <c r="M25" s="139"/>
      <c r="N25" s="82"/>
      <c r="O25" s="50"/>
    </row>
    <row r="26" spans="1:15" ht="18.600000000000001" customHeight="1">
      <c r="A26" s="55"/>
      <c r="B26" s="57"/>
      <c r="C26" s="56"/>
      <c r="D26" s="135"/>
      <c r="E26" s="135"/>
      <c r="F26" s="136"/>
      <c r="G26" s="136"/>
      <c r="H26" s="137"/>
      <c r="I26" s="138"/>
      <c r="J26" s="135"/>
      <c r="K26" s="135"/>
      <c r="L26" s="139"/>
      <c r="M26" s="139"/>
      <c r="N26" s="82"/>
      <c r="O26" s="50"/>
    </row>
    <row r="27" spans="1:15" ht="18.600000000000001" customHeight="1">
      <c r="A27" s="55"/>
      <c r="B27" s="57"/>
      <c r="C27" s="56"/>
      <c r="D27" s="135"/>
      <c r="E27" s="135"/>
      <c r="F27" s="136"/>
      <c r="G27" s="136"/>
      <c r="H27" s="137"/>
      <c r="I27" s="138"/>
      <c r="J27" s="135"/>
      <c r="K27" s="135"/>
      <c r="L27" s="139"/>
      <c r="M27" s="139"/>
      <c r="N27" s="82"/>
      <c r="O27" s="50"/>
    </row>
    <row r="28" spans="1:15" ht="18.600000000000001" customHeight="1">
      <c r="A28" s="55"/>
      <c r="B28" s="57"/>
      <c r="C28" s="56"/>
      <c r="D28" s="135"/>
      <c r="E28" s="135"/>
      <c r="F28" s="136"/>
      <c r="G28" s="136"/>
      <c r="H28" s="137"/>
      <c r="I28" s="138"/>
      <c r="J28" s="135"/>
      <c r="K28" s="135"/>
      <c r="L28" s="139"/>
      <c r="M28" s="139"/>
      <c r="N28" s="82"/>
      <c r="O28" s="50"/>
    </row>
    <row r="29" spans="1:15" ht="18.600000000000001" customHeight="1">
      <c r="A29" s="55"/>
      <c r="B29" s="57"/>
      <c r="C29" s="56"/>
      <c r="D29" s="135"/>
      <c r="E29" s="135"/>
      <c r="F29" s="136"/>
      <c r="G29" s="136"/>
      <c r="H29" s="137"/>
      <c r="I29" s="138"/>
      <c r="J29" s="135"/>
      <c r="K29" s="135"/>
      <c r="L29" s="139"/>
      <c r="M29" s="139"/>
      <c r="N29" s="82"/>
      <c r="O29" s="50"/>
    </row>
    <row r="30" spans="1:15" ht="18.600000000000001" customHeight="1">
      <c r="A30" s="55"/>
      <c r="B30" s="57"/>
      <c r="C30" s="56"/>
      <c r="D30" s="135"/>
      <c r="E30" s="135"/>
      <c r="F30" s="136"/>
      <c r="G30" s="136"/>
      <c r="H30" s="137"/>
      <c r="I30" s="138"/>
      <c r="J30" s="135"/>
      <c r="K30" s="135"/>
      <c r="L30" s="139"/>
      <c r="M30" s="139"/>
      <c r="N30" s="82"/>
      <c r="O30" s="50"/>
    </row>
    <row r="31" spans="1:15" ht="18.600000000000001" customHeight="1">
      <c r="A31" s="55"/>
      <c r="B31" s="57"/>
      <c r="C31" s="56"/>
      <c r="D31" s="135"/>
      <c r="E31" s="135"/>
      <c r="F31" s="136"/>
      <c r="G31" s="136"/>
      <c r="H31" s="137"/>
      <c r="I31" s="138"/>
      <c r="J31" s="135"/>
      <c r="K31" s="135"/>
      <c r="L31" s="139"/>
      <c r="M31" s="139"/>
      <c r="N31" s="82"/>
      <c r="O31" s="50"/>
    </row>
    <row r="32" spans="1:15" ht="18.600000000000001" customHeight="1">
      <c r="A32" s="55"/>
      <c r="B32" s="57"/>
      <c r="C32" s="56"/>
      <c r="D32" s="135"/>
      <c r="E32" s="135"/>
      <c r="F32" s="136"/>
      <c r="G32" s="136"/>
      <c r="H32" s="137"/>
      <c r="I32" s="138"/>
      <c r="J32" s="135"/>
      <c r="K32" s="135"/>
      <c r="L32" s="139"/>
      <c r="M32" s="139"/>
      <c r="N32" s="82"/>
      <c r="O32" s="50"/>
    </row>
    <row r="33" spans="1:15" ht="18.600000000000001" customHeight="1">
      <c r="A33" s="55"/>
      <c r="B33" s="57"/>
      <c r="C33" s="56"/>
      <c r="D33" s="135"/>
      <c r="E33" s="135"/>
      <c r="F33" s="136"/>
      <c r="G33" s="136"/>
      <c r="H33" s="137"/>
      <c r="I33" s="138"/>
      <c r="J33" s="135"/>
      <c r="K33" s="135"/>
      <c r="L33" s="139"/>
      <c r="M33" s="139"/>
      <c r="N33" s="82"/>
      <c r="O33" s="50"/>
    </row>
    <row r="34" spans="1:15" ht="18.600000000000001" customHeight="1">
      <c r="A34" s="55"/>
      <c r="B34" s="56"/>
      <c r="C34" s="56"/>
      <c r="D34" s="130"/>
      <c r="E34" s="130"/>
      <c r="F34" s="131"/>
      <c r="G34" s="131"/>
      <c r="H34" s="132"/>
      <c r="I34" s="133"/>
      <c r="J34" s="130"/>
      <c r="K34" s="130"/>
      <c r="L34" s="134"/>
      <c r="M34" s="134"/>
      <c r="N34" s="84"/>
      <c r="O34" s="49"/>
    </row>
    <row r="35" spans="1:15" ht="18.600000000000001" customHeight="1">
      <c r="A35" s="55"/>
      <c r="B35" s="57"/>
      <c r="C35" s="56"/>
      <c r="D35" s="135"/>
      <c r="E35" s="135"/>
      <c r="F35" s="136"/>
      <c r="G35" s="136"/>
      <c r="H35" s="137"/>
      <c r="I35" s="138"/>
      <c r="J35" s="135"/>
      <c r="K35" s="135"/>
      <c r="L35" s="139"/>
      <c r="M35" s="139"/>
      <c r="N35" s="82"/>
      <c r="O35" s="50"/>
    </row>
    <row r="36" spans="1:15" ht="18.600000000000001" customHeight="1">
      <c r="A36" s="55"/>
      <c r="B36" s="57"/>
      <c r="C36" s="56"/>
      <c r="D36" s="135"/>
      <c r="E36" s="135"/>
      <c r="F36" s="136"/>
      <c r="G36" s="136"/>
      <c r="H36" s="137"/>
      <c r="I36" s="138"/>
      <c r="J36" s="135"/>
      <c r="K36" s="135"/>
      <c r="L36" s="139"/>
      <c r="M36" s="139"/>
      <c r="N36" s="82"/>
      <c r="O36" s="50"/>
    </row>
    <row r="37" spans="1:15" ht="18.600000000000001" customHeight="1" thickBot="1">
      <c r="A37" s="55"/>
      <c r="B37" s="56"/>
      <c r="C37" s="56"/>
      <c r="D37" s="130"/>
      <c r="E37" s="130"/>
      <c r="F37" s="131"/>
      <c r="G37" s="131"/>
      <c r="H37" s="132"/>
      <c r="I37" s="133"/>
      <c r="J37" s="130"/>
      <c r="K37" s="130"/>
      <c r="L37" s="134"/>
      <c r="M37" s="134"/>
      <c r="N37" s="84"/>
      <c r="O37" s="49"/>
    </row>
    <row r="38" spans="1:15" ht="18.600000000000001" customHeight="1">
      <c r="A38" s="187" t="s">
        <v>19</v>
      </c>
      <c r="B38" s="188"/>
      <c r="C38" s="188"/>
      <c r="D38" s="181" t="e">
        <f>AVERAGE(D8:E37)</f>
        <v>#DIV/0!</v>
      </c>
      <c r="E38" s="181"/>
      <c r="F38" s="193" t="e">
        <f t="shared" ref="F38" si="0">AVERAGE(F8:G37)</f>
        <v>#DIV/0!</v>
      </c>
      <c r="G38" s="193"/>
      <c r="H38" s="196" t="e">
        <f t="shared" ref="H38" si="1">AVERAGE(H8:I37)</f>
        <v>#DIV/0!</v>
      </c>
      <c r="I38" s="196"/>
      <c r="J38" s="181" t="e">
        <f t="shared" ref="J38" si="2">AVERAGE(J8:K37)</f>
        <v>#DIV/0!</v>
      </c>
      <c r="K38" s="181"/>
      <c r="L38" s="184" t="e">
        <f t="shared" ref="L38" si="3">AVERAGE(L8:M37)</f>
        <v>#DIV/0!</v>
      </c>
      <c r="M38" s="184"/>
      <c r="N38" s="79" t="e">
        <f>AVERAGE(N8:N37)</f>
        <v>#DIV/0!</v>
      </c>
      <c r="O38" s="67" t="e">
        <f>AVERAGE(O8:O37)</f>
        <v>#DIV/0!</v>
      </c>
    </row>
    <row r="39" spans="1:15" ht="18.600000000000001" customHeight="1">
      <c r="A39" s="189" t="s">
        <v>20</v>
      </c>
      <c r="B39" s="190"/>
      <c r="C39" s="190"/>
      <c r="D39" s="182">
        <f>MIN(D8:E37)</f>
        <v>0</v>
      </c>
      <c r="E39" s="182"/>
      <c r="F39" s="194">
        <f t="shared" ref="F39" si="4">MIN(F8:G37)</f>
        <v>0</v>
      </c>
      <c r="G39" s="194"/>
      <c r="H39" s="197">
        <f t="shared" ref="H39" si="5">MIN(H8:I37)</f>
        <v>0</v>
      </c>
      <c r="I39" s="197"/>
      <c r="J39" s="182">
        <f t="shared" ref="J39" si="6">MIN(J8:K37)</f>
        <v>0</v>
      </c>
      <c r="K39" s="182"/>
      <c r="L39" s="185">
        <f t="shared" ref="L39" si="7">MIN(L8:M37)</f>
        <v>0</v>
      </c>
      <c r="M39" s="185"/>
      <c r="N39" s="80">
        <f>MIN(N8:N37)</f>
        <v>0</v>
      </c>
      <c r="O39" s="68">
        <f>MIN(O8:O37)</f>
        <v>0</v>
      </c>
    </row>
    <row r="40" spans="1:15" ht="18.600000000000001" customHeight="1" thickBot="1">
      <c r="A40" s="191" t="s">
        <v>21</v>
      </c>
      <c r="B40" s="192"/>
      <c r="C40" s="192"/>
      <c r="D40" s="183">
        <f>MAX(D8:E37)</f>
        <v>0</v>
      </c>
      <c r="E40" s="183"/>
      <c r="F40" s="195">
        <f t="shared" ref="F40" si="8">MAX(F8:G37)</f>
        <v>0</v>
      </c>
      <c r="G40" s="195"/>
      <c r="H40" s="198">
        <f t="shared" ref="H40" si="9">MAX(H8:I37)</f>
        <v>0</v>
      </c>
      <c r="I40" s="198"/>
      <c r="J40" s="183">
        <f t="shared" ref="J40" si="10">MAX(J8:K37)</f>
        <v>0</v>
      </c>
      <c r="K40" s="183"/>
      <c r="L40" s="186">
        <f t="shared" ref="L40" si="11">MAX(L8:M37)</f>
        <v>0</v>
      </c>
      <c r="M40" s="186"/>
      <c r="N40" s="81">
        <f>MAX(N8:N37)</f>
        <v>0</v>
      </c>
      <c r="O40" s="69">
        <f>MAX(O8:O37)</f>
        <v>0</v>
      </c>
    </row>
    <row r="41" spans="1:15" ht="15.75" customHeight="1">
      <c r="A41" s="70" t="s">
        <v>11</v>
      </c>
      <c r="B41" s="175"/>
      <c r="C41" s="175"/>
      <c r="D41" s="177" t="s">
        <v>13</v>
      </c>
      <c r="E41" s="177"/>
      <c r="F41" s="51"/>
      <c r="G41" s="52"/>
      <c r="H41" s="52"/>
      <c r="I41" s="52"/>
      <c r="J41" s="52"/>
      <c r="K41" s="172" t="s">
        <v>14</v>
      </c>
      <c r="L41" s="172"/>
      <c r="M41" s="174"/>
      <c r="N41" s="174"/>
      <c r="O41" s="70" t="s">
        <v>15</v>
      </c>
    </row>
    <row r="42" spans="1:15" ht="15.75" customHeight="1">
      <c r="A42" s="70"/>
      <c r="B42" s="179"/>
      <c r="C42" s="179"/>
      <c r="D42" s="63"/>
      <c r="E42" s="63"/>
      <c r="F42" s="70"/>
      <c r="G42" s="52"/>
      <c r="H42" s="52"/>
      <c r="I42" s="52"/>
      <c r="J42" s="52"/>
      <c r="K42" s="85"/>
      <c r="L42" s="85"/>
      <c r="M42" s="174"/>
      <c r="N42" s="174"/>
      <c r="O42" s="85"/>
    </row>
    <row r="43" spans="1:15" s="38" customFormat="1" ht="12.75" customHeight="1">
      <c r="A43" s="178" t="s">
        <v>12</v>
      </c>
      <c r="B43" s="178"/>
      <c r="C43" s="178"/>
      <c r="D43" s="5"/>
      <c r="E43" s="5"/>
      <c r="F43" s="5"/>
      <c r="G43" s="70" t="s">
        <v>32</v>
      </c>
      <c r="H43" s="178" t="s">
        <v>34</v>
      </c>
      <c r="I43" s="178"/>
      <c r="J43" s="178"/>
      <c r="K43" s="178"/>
      <c r="L43" s="5"/>
      <c r="M43" s="5"/>
      <c r="N43" s="5"/>
      <c r="O43" s="5"/>
    </row>
    <row r="44" spans="1:15" ht="15.75" customHeight="1">
      <c r="A44" s="176" t="s">
        <v>17</v>
      </c>
      <c r="B44" s="176"/>
      <c r="C44" s="86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 t="s">
        <v>31</v>
      </c>
      <c r="O44" s="52"/>
    </row>
    <row r="45" spans="1:1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</row>
    <row r="48" spans="1:15" ht="15.75" customHeight="1">
      <c r="B48" s="53" t="s">
        <v>18</v>
      </c>
    </row>
    <row r="52" spans="13:13" ht="15.75" customHeight="1">
      <c r="M52" s="54"/>
    </row>
    <row r="76" spans="3:15" ht="15.75" customHeight="1">
      <c r="C76" s="173"/>
      <c r="D76" s="173"/>
      <c r="E76" s="173"/>
      <c r="I76" s="173"/>
      <c r="J76" s="173"/>
      <c r="K76" s="173"/>
      <c r="L76" s="173"/>
      <c r="M76" s="173"/>
      <c r="N76" s="173"/>
      <c r="O76" s="173"/>
    </row>
    <row r="77" spans="3:15" ht="15.75" customHeight="1">
      <c r="C77" s="173"/>
      <c r="D77" s="173"/>
      <c r="E77" s="173"/>
      <c r="F77" s="173"/>
      <c r="I77" s="173"/>
      <c r="J77" s="173"/>
      <c r="K77" s="173"/>
      <c r="L77" s="173"/>
      <c r="M77" s="173"/>
      <c r="N77" s="173"/>
      <c r="O77" s="173"/>
    </row>
    <row r="78" spans="3:15" ht="15.75" customHeight="1">
      <c r="C78" s="173"/>
      <c r="D78" s="173"/>
      <c r="E78" s="173"/>
      <c r="I78" s="173"/>
      <c r="J78" s="173"/>
      <c r="K78" s="173"/>
      <c r="L78" s="173"/>
      <c r="M78" s="173"/>
      <c r="N78" s="173"/>
      <c r="O78" s="173"/>
    </row>
    <row r="79" spans="3:15" ht="15.75" customHeight="1">
      <c r="C79" s="173"/>
      <c r="D79" s="173"/>
      <c r="E79" s="173"/>
    </row>
  </sheetData>
  <mergeCells count="216">
    <mergeCell ref="J38:K38"/>
    <mergeCell ref="J39:K39"/>
    <mergeCell ref="J40:K40"/>
    <mergeCell ref="L38:M38"/>
    <mergeCell ref="L39:M39"/>
    <mergeCell ref="L40:M40"/>
    <mergeCell ref="A38:C38"/>
    <mergeCell ref="A39:C39"/>
    <mergeCell ref="A40:C40"/>
    <mergeCell ref="D38:E38"/>
    <mergeCell ref="D39:E39"/>
    <mergeCell ref="D40:E40"/>
    <mergeCell ref="F38:G38"/>
    <mergeCell ref="F39:G39"/>
    <mergeCell ref="F40:G40"/>
    <mergeCell ref="H38:I38"/>
    <mergeCell ref="H39:I39"/>
    <mergeCell ref="H40:I40"/>
    <mergeCell ref="D27:E27"/>
    <mergeCell ref="F27:G27"/>
    <mergeCell ref="H27:I27"/>
    <mergeCell ref="J27:K27"/>
    <mergeCell ref="L27:M27"/>
    <mergeCell ref="H30:I30"/>
    <mergeCell ref="J30:K30"/>
    <mergeCell ref="L30:M30"/>
    <mergeCell ref="D31:E31"/>
    <mergeCell ref="F31:G31"/>
    <mergeCell ref="H31:I31"/>
    <mergeCell ref="J31:K31"/>
    <mergeCell ref="L31:M31"/>
    <mergeCell ref="D28:E28"/>
    <mergeCell ref="F28:G28"/>
    <mergeCell ref="H28:I28"/>
    <mergeCell ref="J28:K28"/>
    <mergeCell ref="L28:M28"/>
    <mergeCell ref="D29:E29"/>
    <mergeCell ref="F29:G29"/>
    <mergeCell ref="H29:I29"/>
    <mergeCell ref="J29:K29"/>
    <mergeCell ref="L29:M29"/>
    <mergeCell ref="D34:E34"/>
    <mergeCell ref="F34:G34"/>
    <mergeCell ref="H34:I34"/>
    <mergeCell ref="J34:K34"/>
    <mergeCell ref="L34:M34"/>
    <mergeCell ref="D30:E30"/>
    <mergeCell ref="F30:G30"/>
    <mergeCell ref="F32:G32"/>
    <mergeCell ref="H32:I32"/>
    <mergeCell ref="J32:K32"/>
    <mergeCell ref="L32:M32"/>
    <mergeCell ref="J33:K33"/>
    <mergeCell ref="L33:M33"/>
    <mergeCell ref="D33:E33"/>
    <mergeCell ref="F33:G33"/>
    <mergeCell ref="H33:I33"/>
    <mergeCell ref="D32:E32"/>
    <mergeCell ref="N6:O6"/>
    <mergeCell ref="J36:K36"/>
    <mergeCell ref="L36:M36"/>
    <mergeCell ref="D37:E37"/>
    <mergeCell ref="F37:G37"/>
    <mergeCell ref="H37:I37"/>
    <mergeCell ref="J37:K37"/>
    <mergeCell ref="H35:I35"/>
    <mergeCell ref="J35:K35"/>
    <mergeCell ref="D13:E13"/>
    <mergeCell ref="F13:G13"/>
    <mergeCell ref="H17:I17"/>
    <mergeCell ref="J17:K17"/>
    <mergeCell ref="L17:M17"/>
    <mergeCell ref="D18:E18"/>
    <mergeCell ref="F18:G18"/>
    <mergeCell ref="H18:I18"/>
    <mergeCell ref="L37:M37"/>
    <mergeCell ref="D35:E35"/>
    <mergeCell ref="F35:G35"/>
    <mergeCell ref="L35:M35"/>
    <mergeCell ref="D36:E36"/>
    <mergeCell ref="F36:G36"/>
    <mergeCell ref="H36:I36"/>
    <mergeCell ref="K41:L41"/>
    <mergeCell ref="C79:E79"/>
    <mergeCell ref="I76:K76"/>
    <mergeCell ref="L76:O76"/>
    <mergeCell ref="L77:O77"/>
    <mergeCell ref="L78:O78"/>
    <mergeCell ref="I77:K77"/>
    <mergeCell ref="I78:K78"/>
    <mergeCell ref="C76:E76"/>
    <mergeCell ref="C77:F77"/>
    <mergeCell ref="C78:E78"/>
    <mergeCell ref="M41:N41"/>
    <mergeCell ref="B41:C41"/>
    <mergeCell ref="A44:B44"/>
    <mergeCell ref="D41:E41"/>
    <mergeCell ref="H43:K43"/>
    <mergeCell ref="B42:C42"/>
    <mergeCell ref="M42:N42"/>
    <mergeCell ref="A43:C43"/>
    <mergeCell ref="A1:M1"/>
    <mergeCell ref="A2:M3"/>
    <mergeCell ref="C4:E4"/>
    <mergeCell ref="C5:E5"/>
    <mergeCell ref="N4:O4"/>
    <mergeCell ref="A4:B4"/>
    <mergeCell ref="A5:B5"/>
    <mergeCell ref="N5:O5"/>
    <mergeCell ref="L5:M5"/>
    <mergeCell ref="L4:M4"/>
    <mergeCell ref="F4:G4"/>
    <mergeCell ref="F5:G5"/>
    <mergeCell ref="H4:I4"/>
    <mergeCell ref="H5:I5"/>
    <mergeCell ref="N1:O1"/>
    <mergeCell ref="N2:O2"/>
    <mergeCell ref="A6:C6"/>
    <mergeCell ref="A7:C7"/>
    <mergeCell ref="J6:K6"/>
    <mergeCell ref="J7:K7"/>
    <mergeCell ref="L6:M6"/>
    <mergeCell ref="D7:E7"/>
    <mergeCell ref="D6:E6"/>
    <mergeCell ref="F7:G7"/>
    <mergeCell ref="F6:G6"/>
    <mergeCell ref="L7:M7"/>
    <mergeCell ref="H6:I6"/>
    <mergeCell ref="H7:I7"/>
    <mergeCell ref="D25:E25"/>
    <mergeCell ref="F25:G25"/>
    <mergeCell ref="H25:I25"/>
    <mergeCell ref="J25:K25"/>
    <mergeCell ref="L25:M25"/>
    <mergeCell ref="D26:E26"/>
    <mergeCell ref="F26:G26"/>
    <mergeCell ref="H26:I26"/>
    <mergeCell ref="J26:K26"/>
    <mergeCell ref="L26:M26"/>
    <mergeCell ref="D14:E14"/>
    <mergeCell ref="F14:G14"/>
    <mergeCell ref="J18:K18"/>
    <mergeCell ref="L18:M18"/>
    <mergeCell ref="D15:E15"/>
    <mergeCell ref="F15:G15"/>
    <mergeCell ref="H15:I15"/>
    <mergeCell ref="J15:K15"/>
    <mergeCell ref="L15:M15"/>
    <mergeCell ref="D16:E16"/>
    <mergeCell ref="F16:G16"/>
    <mergeCell ref="H16:I16"/>
    <mergeCell ref="J16:K16"/>
    <mergeCell ref="L16:M16"/>
    <mergeCell ref="H14:I14"/>
    <mergeCell ref="J14:K14"/>
    <mergeCell ref="L14:M14"/>
    <mergeCell ref="D17:E17"/>
    <mergeCell ref="F17:G17"/>
    <mergeCell ref="F19:G19"/>
    <mergeCell ref="H19:I19"/>
    <mergeCell ref="J19:K19"/>
    <mergeCell ref="L19:M19"/>
    <mergeCell ref="J20:K20"/>
    <mergeCell ref="L20:M20"/>
    <mergeCell ref="D20:E20"/>
    <mergeCell ref="F20:G20"/>
    <mergeCell ref="H20:I20"/>
    <mergeCell ref="D19:E19"/>
    <mergeCell ref="J9:K9"/>
    <mergeCell ref="J23:K23"/>
    <mergeCell ref="L23:M23"/>
    <mergeCell ref="D24:E24"/>
    <mergeCell ref="F24:G24"/>
    <mergeCell ref="H24:I24"/>
    <mergeCell ref="J24:K24"/>
    <mergeCell ref="H22:I22"/>
    <mergeCell ref="J22:K22"/>
    <mergeCell ref="L24:M24"/>
    <mergeCell ref="D22:E22"/>
    <mergeCell ref="F22:G22"/>
    <mergeCell ref="L22:M22"/>
    <mergeCell ref="D23:E23"/>
    <mergeCell ref="F23:G23"/>
    <mergeCell ref="H23:I23"/>
    <mergeCell ref="H13:I13"/>
    <mergeCell ref="J13:K13"/>
    <mergeCell ref="L13:M13"/>
    <mergeCell ref="D21:E21"/>
    <mergeCell ref="F21:G21"/>
    <mergeCell ref="H21:I21"/>
    <mergeCell ref="J21:K21"/>
    <mergeCell ref="L21:M21"/>
    <mergeCell ref="D8:E8"/>
    <mergeCell ref="F8:G8"/>
    <mergeCell ref="H8:I8"/>
    <mergeCell ref="J8:K8"/>
    <mergeCell ref="L8:M8"/>
    <mergeCell ref="D12:E12"/>
    <mergeCell ref="F12:G12"/>
    <mergeCell ref="H12:I12"/>
    <mergeCell ref="J12:K12"/>
    <mergeCell ref="L12:M12"/>
    <mergeCell ref="L11:M11"/>
    <mergeCell ref="D9:E9"/>
    <mergeCell ref="F9:G9"/>
    <mergeCell ref="L9:M9"/>
    <mergeCell ref="D10:E10"/>
    <mergeCell ref="F10:G10"/>
    <mergeCell ref="H10:I10"/>
    <mergeCell ref="J10:K10"/>
    <mergeCell ref="L10:M10"/>
    <mergeCell ref="D11:E11"/>
    <mergeCell ref="F11:G11"/>
    <mergeCell ref="H11:I11"/>
    <mergeCell ref="J11:K11"/>
    <mergeCell ref="H9:I9"/>
  </mergeCells>
  <phoneticPr fontId="7" type="noConversion"/>
  <conditionalFormatting sqref="D8:E40">
    <cfRule type="cellIs" dxfId="15" priority="7" operator="notBetween">
      <formula>14</formula>
      <formula>18</formula>
    </cfRule>
  </conditionalFormatting>
  <conditionalFormatting sqref="F8:G38">
    <cfRule type="cellIs" dxfId="14" priority="6" operator="notBetween">
      <formula>0.025</formula>
      <formula>0.035</formula>
    </cfRule>
  </conditionalFormatting>
  <conditionalFormatting sqref="H6">
    <cfRule type="colorScale" priority="756">
      <colorScale>
        <cfvo type="min"/>
        <cfvo type="max"/>
        <color rgb="FFFF7128"/>
        <color rgb="FFFFEF9C"/>
      </colorScale>
    </cfRule>
  </conditionalFormatting>
  <conditionalFormatting sqref="H8:I40">
    <cfRule type="cellIs" dxfId="13" priority="5" operator="notBetween">
      <formula>45</formula>
      <formula>55</formula>
    </cfRule>
  </conditionalFormatting>
  <conditionalFormatting sqref="J8:K40">
    <cfRule type="cellIs" dxfId="12" priority="4" operator="notBetween">
      <formula>0.2</formula>
      <formula>0.6</formula>
    </cfRule>
  </conditionalFormatting>
  <conditionalFormatting sqref="L8:M40">
    <cfRule type="cellIs" dxfId="11" priority="3" operator="notBetween">
      <formula>167</formula>
      <formula>170</formula>
    </cfRule>
  </conditionalFormatting>
  <conditionalFormatting sqref="N8:O40">
    <cfRule type="cellIs" dxfId="10" priority="1" operator="notBetween">
      <formula>0</formula>
      <formula>4</formula>
    </cfRule>
  </conditionalFormatting>
  <dataValidations count="2">
    <dataValidation type="textLength" allowBlank="1" showInputMessage="1" showErrorMessage="1" sqref="A7:O7 A1:M3 N1:O2 A4:B5 F4:G5 J4:J5 L4:M5 N3 A41:A42 A38:O40 O41:O42 K41:L42 D41:E42 A6:C6 A43:A44 D43:O44 B44:C44" xr:uid="{B9EF1D55-A16F-4117-9DDB-4BCD7891BC4B}">
      <formula1>0</formula1>
      <formula2>0</formula2>
    </dataValidation>
    <dataValidation allowBlank="1" showInputMessage="1" sqref="Q29" xr:uid="{21AD56C4-EF69-441B-AE58-CE11BA553153}"/>
  </dataValidations>
  <pageMargins left="0.78740157480314965" right="0" top="0.39370078740157483" bottom="0" header="0" footer="0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421E-AEE0-4DCA-A687-A7E19C4C9C75}">
  <sheetPr>
    <pageSetUpPr fitToPage="1"/>
  </sheetPr>
  <dimension ref="A1:O45"/>
  <sheetViews>
    <sheetView view="pageBreakPreview" zoomScaleNormal="100" zoomScaleSheetLayoutView="100" workbookViewId="0">
      <selection activeCell="A9" sqref="A9"/>
    </sheetView>
  </sheetViews>
  <sheetFormatPr defaultColWidth="9.140625" defaultRowHeight="12.75"/>
  <cols>
    <col min="1" max="3" width="14" style="4" customWidth="1"/>
    <col min="4" max="15" width="14.28515625" style="4" customWidth="1"/>
    <col min="16" max="16384" width="9.140625" style="4"/>
  </cols>
  <sheetData>
    <row r="1" spans="1:15" s="9" customFormat="1" ht="15.75" customHeight="1">
      <c r="A1" s="199" t="s">
        <v>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70" t="s">
        <v>22</v>
      </c>
      <c r="O1" s="170"/>
    </row>
    <row r="2" spans="1:15" s="9" customFormat="1" ht="15.75" customHeight="1">
      <c r="A2" s="200" t="s">
        <v>10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171" t="s">
        <v>23</v>
      </c>
      <c r="O2" s="171"/>
    </row>
    <row r="3" spans="1:15" s="9" customFormat="1" ht="16.5" thickBot="1">
      <c r="A3" s="200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66" t="s">
        <v>16</v>
      </c>
      <c r="O3" s="63"/>
    </row>
    <row r="4" spans="1:15" s="2" customFormat="1" ht="23.25" customHeight="1">
      <c r="A4" s="28" t="s">
        <v>1</v>
      </c>
      <c r="B4" s="201">
        <f>Page1!C4</f>
        <v>0</v>
      </c>
      <c r="C4" s="202"/>
      <c r="D4" s="203"/>
      <c r="E4" s="168" t="s">
        <v>3</v>
      </c>
      <c r="F4" s="169"/>
      <c r="G4" s="201">
        <f>Page1!H4</f>
        <v>0</v>
      </c>
      <c r="H4" s="203"/>
      <c r="I4" s="29" t="s">
        <v>5</v>
      </c>
      <c r="J4" s="204">
        <f>Page1!K4</f>
        <v>0</v>
      </c>
      <c r="K4" s="204"/>
      <c r="L4" s="161" t="s">
        <v>7</v>
      </c>
      <c r="M4" s="161"/>
      <c r="N4" s="201">
        <f>Page1!N4</f>
        <v>0</v>
      </c>
      <c r="O4" s="205"/>
    </row>
    <row r="5" spans="1:15" s="2" customFormat="1" ht="23.25" customHeight="1" thickBot="1">
      <c r="A5" s="30" t="s">
        <v>2</v>
      </c>
      <c r="B5" s="142">
        <f>Page1!C5</f>
        <v>0</v>
      </c>
      <c r="C5" s="227"/>
      <c r="D5" s="146"/>
      <c r="E5" s="228" t="s">
        <v>4</v>
      </c>
      <c r="F5" s="229"/>
      <c r="G5" s="142">
        <f>Page1!H5</f>
        <v>0</v>
      </c>
      <c r="H5" s="146"/>
      <c r="I5" s="31" t="s">
        <v>6</v>
      </c>
      <c r="J5" s="141">
        <f>Page1!K5</f>
        <v>0</v>
      </c>
      <c r="K5" s="141"/>
      <c r="L5" s="226" t="s">
        <v>8</v>
      </c>
      <c r="M5" s="226"/>
      <c r="N5" s="142">
        <f>Page1!N5</f>
        <v>0</v>
      </c>
      <c r="O5" s="180"/>
    </row>
    <row r="6" spans="1:15" s="3" customFormat="1" ht="16.5" customHeight="1" thickBot="1">
      <c r="A6" s="240" t="s">
        <v>24</v>
      </c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2"/>
    </row>
    <row r="7" spans="1:15" s="3" customFormat="1" ht="16.5" customHeight="1">
      <c r="A7" s="233" t="s">
        <v>0</v>
      </c>
      <c r="B7" s="208"/>
      <c r="C7" s="234"/>
      <c r="D7" s="238" t="s">
        <v>35</v>
      </c>
      <c r="E7" s="238"/>
      <c r="F7" s="238"/>
      <c r="G7" s="238"/>
      <c r="H7" s="230" t="s">
        <v>36</v>
      </c>
      <c r="I7" s="231"/>
      <c r="J7" s="231"/>
      <c r="K7" s="239"/>
      <c r="L7" s="230" t="s">
        <v>37</v>
      </c>
      <c r="M7" s="231"/>
      <c r="N7" s="231"/>
      <c r="O7" s="232"/>
    </row>
    <row r="8" spans="1:15" s="3" customFormat="1" ht="16.5" customHeight="1" thickBot="1">
      <c r="A8" s="235"/>
      <c r="B8" s="236"/>
      <c r="C8" s="237"/>
      <c r="D8" s="10">
        <v>1</v>
      </c>
      <c r="E8" s="10">
        <v>2</v>
      </c>
      <c r="F8" s="10">
        <v>3</v>
      </c>
      <c r="G8" s="10" t="s">
        <v>38</v>
      </c>
      <c r="H8" s="11">
        <v>1</v>
      </c>
      <c r="I8" s="10">
        <v>2</v>
      </c>
      <c r="J8" s="10">
        <v>3</v>
      </c>
      <c r="K8" s="10" t="s">
        <v>38</v>
      </c>
      <c r="L8" s="10">
        <v>1</v>
      </c>
      <c r="M8" s="10">
        <v>2</v>
      </c>
      <c r="N8" s="10">
        <v>3</v>
      </c>
      <c r="O8" s="12" t="s">
        <v>38</v>
      </c>
    </row>
    <row r="9" spans="1:15" ht="18" customHeight="1">
      <c r="A9" s="58">
        <f>Page1!A8</f>
        <v>0</v>
      </c>
      <c r="B9" s="59">
        <f>Page1!B8</f>
        <v>0</v>
      </c>
      <c r="C9" s="59">
        <f>Page1!C8</f>
        <v>0</v>
      </c>
      <c r="D9" s="83"/>
      <c r="E9" s="83"/>
      <c r="F9" s="83"/>
      <c r="G9" s="22" t="e">
        <f>AVERAGE(D9:F9)</f>
        <v>#DIV/0!</v>
      </c>
      <c r="H9" s="6"/>
      <c r="I9" s="6"/>
      <c r="J9" s="6"/>
      <c r="K9" s="24" t="e">
        <f>AVERAGE(H9:J9)</f>
        <v>#DIV/0!</v>
      </c>
      <c r="L9" s="6"/>
      <c r="M9" s="6"/>
      <c r="N9" s="6"/>
      <c r="O9" s="26" t="e">
        <f>AVERAGE(L9:N9)</f>
        <v>#DIV/0!</v>
      </c>
    </row>
    <row r="10" spans="1:15" ht="18" customHeight="1">
      <c r="A10" s="58">
        <f>Page1!A9</f>
        <v>0</v>
      </c>
      <c r="B10" s="59">
        <f>Page1!B9</f>
        <v>0</v>
      </c>
      <c r="C10" s="59">
        <f>Page1!C9</f>
        <v>0</v>
      </c>
      <c r="D10" s="83"/>
      <c r="E10" s="83"/>
      <c r="F10" s="83"/>
      <c r="G10" s="22" t="e">
        <f t="shared" ref="G10:G38" si="0">AVERAGE(D10:F10)</f>
        <v>#DIV/0!</v>
      </c>
      <c r="H10" s="6"/>
      <c r="I10" s="6"/>
      <c r="J10" s="6"/>
      <c r="K10" s="24" t="e">
        <f t="shared" ref="K10:K38" si="1">AVERAGE(H10:J10)</f>
        <v>#DIV/0!</v>
      </c>
      <c r="L10" s="7"/>
      <c r="M10" s="7"/>
      <c r="N10" s="7"/>
      <c r="O10" s="26" t="e">
        <f t="shared" ref="O10:O38" si="2">AVERAGE(L10:N10)</f>
        <v>#DIV/0!</v>
      </c>
    </row>
    <row r="11" spans="1:15" ht="18" customHeight="1">
      <c r="A11" s="58">
        <f>Page1!A10</f>
        <v>0</v>
      </c>
      <c r="B11" s="59">
        <f>Page1!B10</f>
        <v>0</v>
      </c>
      <c r="C11" s="59">
        <f>Page1!C10</f>
        <v>0</v>
      </c>
      <c r="D11" s="83"/>
      <c r="E11" s="83"/>
      <c r="F11" s="83"/>
      <c r="G11" s="22" t="e">
        <f t="shared" si="0"/>
        <v>#DIV/0!</v>
      </c>
      <c r="H11" s="6"/>
      <c r="I11" s="6"/>
      <c r="J11" s="6"/>
      <c r="K11" s="24" t="e">
        <f t="shared" si="1"/>
        <v>#DIV/0!</v>
      </c>
      <c r="L11" s="6"/>
      <c r="M11" s="6"/>
      <c r="N11" s="6"/>
      <c r="O11" s="26" t="e">
        <f t="shared" si="2"/>
        <v>#DIV/0!</v>
      </c>
    </row>
    <row r="12" spans="1:15" ht="18" customHeight="1">
      <c r="A12" s="58">
        <f>Page1!A11</f>
        <v>0</v>
      </c>
      <c r="B12" s="59">
        <f>Page1!B11</f>
        <v>0</v>
      </c>
      <c r="C12" s="59">
        <f>Page1!C11</f>
        <v>0</v>
      </c>
      <c r="D12" s="83"/>
      <c r="E12" s="83"/>
      <c r="F12" s="83"/>
      <c r="G12" s="22" t="e">
        <f t="shared" si="0"/>
        <v>#DIV/0!</v>
      </c>
      <c r="H12" s="6"/>
      <c r="I12" s="6"/>
      <c r="J12" s="6"/>
      <c r="K12" s="24" t="e">
        <f t="shared" si="1"/>
        <v>#DIV/0!</v>
      </c>
      <c r="L12" s="6"/>
      <c r="M12" s="6"/>
      <c r="N12" s="6"/>
      <c r="O12" s="26" t="e">
        <f t="shared" si="2"/>
        <v>#DIV/0!</v>
      </c>
    </row>
    <row r="13" spans="1:15" ht="18" customHeight="1">
      <c r="A13" s="58">
        <f>Page1!A12</f>
        <v>0</v>
      </c>
      <c r="B13" s="59">
        <f>Page1!B12</f>
        <v>0</v>
      </c>
      <c r="C13" s="59">
        <f>Page1!C12</f>
        <v>0</v>
      </c>
      <c r="D13" s="83"/>
      <c r="E13" s="83"/>
      <c r="F13" s="83"/>
      <c r="G13" s="22" t="e">
        <f t="shared" si="0"/>
        <v>#DIV/0!</v>
      </c>
      <c r="H13" s="6"/>
      <c r="I13" s="6"/>
      <c r="J13" s="6"/>
      <c r="K13" s="24" t="e">
        <f t="shared" si="1"/>
        <v>#DIV/0!</v>
      </c>
      <c r="L13" s="7"/>
      <c r="M13" s="7"/>
      <c r="N13" s="7"/>
      <c r="O13" s="26" t="e">
        <f t="shared" si="2"/>
        <v>#DIV/0!</v>
      </c>
    </row>
    <row r="14" spans="1:15" ht="18" customHeight="1">
      <c r="A14" s="58">
        <f>Page1!A13</f>
        <v>0</v>
      </c>
      <c r="B14" s="59">
        <f>Page1!B13</f>
        <v>0</v>
      </c>
      <c r="C14" s="59">
        <f>Page1!C13</f>
        <v>0</v>
      </c>
      <c r="D14" s="83"/>
      <c r="E14" s="83"/>
      <c r="F14" s="83"/>
      <c r="G14" s="22" t="e">
        <f t="shared" si="0"/>
        <v>#DIV/0!</v>
      </c>
      <c r="H14" s="6"/>
      <c r="I14" s="6"/>
      <c r="J14" s="6"/>
      <c r="K14" s="24" t="e">
        <f t="shared" si="1"/>
        <v>#DIV/0!</v>
      </c>
      <c r="L14" s="6"/>
      <c r="M14" s="6"/>
      <c r="N14" s="6"/>
      <c r="O14" s="26" t="e">
        <f t="shared" si="2"/>
        <v>#DIV/0!</v>
      </c>
    </row>
    <row r="15" spans="1:15" ht="18" customHeight="1">
      <c r="A15" s="58">
        <f>Page1!A14</f>
        <v>0</v>
      </c>
      <c r="B15" s="59">
        <f>Page1!B14</f>
        <v>0</v>
      </c>
      <c r="C15" s="59">
        <f>Page1!C14</f>
        <v>0</v>
      </c>
      <c r="D15" s="83"/>
      <c r="E15" s="83"/>
      <c r="F15" s="83"/>
      <c r="G15" s="22" t="e">
        <f t="shared" si="0"/>
        <v>#DIV/0!</v>
      </c>
      <c r="H15" s="6"/>
      <c r="I15" s="6"/>
      <c r="J15" s="6"/>
      <c r="K15" s="24" t="e">
        <f t="shared" si="1"/>
        <v>#DIV/0!</v>
      </c>
      <c r="L15" s="6"/>
      <c r="M15" s="6"/>
      <c r="N15" s="6"/>
      <c r="O15" s="26" t="e">
        <f t="shared" si="2"/>
        <v>#DIV/0!</v>
      </c>
    </row>
    <row r="16" spans="1:15" ht="18" customHeight="1">
      <c r="A16" s="58">
        <f>Page1!A15</f>
        <v>0</v>
      </c>
      <c r="B16" s="59">
        <f>Page1!B15</f>
        <v>0</v>
      </c>
      <c r="C16" s="59">
        <f>Page1!C15</f>
        <v>0</v>
      </c>
      <c r="D16" s="83"/>
      <c r="E16" s="83"/>
      <c r="F16" s="83"/>
      <c r="G16" s="22" t="e">
        <f t="shared" si="0"/>
        <v>#DIV/0!</v>
      </c>
      <c r="H16" s="6"/>
      <c r="I16" s="6"/>
      <c r="J16" s="6"/>
      <c r="K16" s="24" t="e">
        <f t="shared" si="1"/>
        <v>#DIV/0!</v>
      </c>
      <c r="L16" s="6"/>
      <c r="M16" s="6"/>
      <c r="N16" s="6"/>
      <c r="O16" s="26" t="e">
        <f t="shared" si="2"/>
        <v>#DIV/0!</v>
      </c>
    </row>
    <row r="17" spans="1:15" ht="18" customHeight="1">
      <c r="A17" s="58">
        <f>Page1!A16</f>
        <v>0</v>
      </c>
      <c r="B17" s="59">
        <f>Page1!B16</f>
        <v>0</v>
      </c>
      <c r="C17" s="59">
        <f>Page1!C16</f>
        <v>0</v>
      </c>
      <c r="D17" s="83"/>
      <c r="E17" s="83"/>
      <c r="F17" s="83"/>
      <c r="G17" s="22" t="e">
        <f t="shared" si="0"/>
        <v>#DIV/0!</v>
      </c>
      <c r="H17" s="6"/>
      <c r="I17" s="6"/>
      <c r="J17" s="6"/>
      <c r="K17" s="24" t="e">
        <f t="shared" si="1"/>
        <v>#DIV/0!</v>
      </c>
      <c r="L17" s="6"/>
      <c r="M17" s="6"/>
      <c r="N17" s="6"/>
      <c r="O17" s="26" t="e">
        <f t="shared" si="2"/>
        <v>#DIV/0!</v>
      </c>
    </row>
    <row r="18" spans="1:15" ht="18" customHeight="1">
      <c r="A18" s="58">
        <f>Page1!A17</f>
        <v>0</v>
      </c>
      <c r="B18" s="59">
        <f>Page1!B17</f>
        <v>0</v>
      </c>
      <c r="C18" s="59">
        <f>Page1!C17</f>
        <v>0</v>
      </c>
      <c r="D18" s="83"/>
      <c r="E18" s="83"/>
      <c r="F18" s="83"/>
      <c r="G18" s="22" t="e">
        <f t="shared" si="0"/>
        <v>#DIV/0!</v>
      </c>
      <c r="H18" s="6"/>
      <c r="I18" s="6"/>
      <c r="J18" s="6"/>
      <c r="K18" s="24" t="e">
        <f t="shared" si="1"/>
        <v>#DIV/0!</v>
      </c>
      <c r="L18" s="6"/>
      <c r="M18" s="6"/>
      <c r="N18" s="6"/>
      <c r="O18" s="26" t="e">
        <f t="shared" si="2"/>
        <v>#DIV/0!</v>
      </c>
    </row>
    <row r="19" spans="1:15" ht="18" customHeight="1">
      <c r="A19" s="58">
        <f>Page1!A18</f>
        <v>0</v>
      </c>
      <c r="B19" s="59">
        <f>Page1!B18</f>
        <v>0</v>
      </c>
      <c r="C19" s="59">
        <f>Page1!C18</f>
        <v>0</v>
      </c>
      <c r="D19" s="83"/>
      <c r="E19" s="83"/>
      <c r="F19" s="83"/>
      <c r="G19" s="22" t="e">
        <f t="shared" si="0"/>
        <v>#DIV/0!</v>
      </c>
      <c r="H19" s="6"/>
      <c r="I19" s="6"/>
      <c r="J19" s="6"/>
      <c r="K19" s="24" t="e">
        <f t="shared" si="1"/>
        <v>#DIV/0!</v>
      </c>
      <c r="L19" s="6"/>
      <c r="M19" s="6"/>
      <c r="N19" s="6"/>
      <c r="O19" s="26" t="e">
        <f t="shared" si="2"/>
        <v>#DIV/0!</v>
      </c>
    </row>
    <row r="20" spans="1:15" ht="18" customHeight="1">
      <c r="A20" s="58">
        <f>Page1!A19</f>
        <v>0</v>
      </c>
      <c r="B20" s="59">
        <f>Page1!B19</f>
        <v>0</v>
      </c>
      <c r="C20" s="59">
        <f>Page1!C19</f>
        <v>0</v>
      </c>
      <c r="D20" s="83"/>
      <c r="E20" s="83"/>
      <c r="F20" s="83"/>
      <c r="G20" s="22" t="e">
        <f t="shared" si="0"/>
        <v>#DIV/0!</v>
      </c>
      <c r="H20" s="6"/>
      <c r="I20" s="6"/>
      <c r="J20" s="6"/>
      <c r="K20" s="24" t="e">
        <f t="shared" si="1"/>
        <v>#DIV/0!</v>
      </c>
      <c r="L20" s="6"/>
      <c r="M20" s="6"/>
      <c r="N20" s="6"/>
      <c r="O20" s="26" t="e">
        <f t="shared" si="2"/>
        <v>#DIV/0!</v>
      </c>
    </row>
    <row r="21" spans="1:15" ht="18" customHeight="1">
      <c r="A21" s="58">
        <f>Page1!A20</f>
        <v>0</v>
      </c>
      <c r="B21" s="59">
        <f>Page1!B20</f>
        <v>0</v>
      </c>
      <c r="C21" s="59">
        <f>Page1!C20</f>
        <v>0</v>
      </c>
      <c r="D21" s="83"/>
      <c r="E21" s="83"/>
      <c r="F21" s="83"/>
      <c r="G21" s="22" t="e">
        <f t="shared" si="0"/>
        <v>#DIV/0!</v>
      </c>
      <c r="H21" s="6"/>
      <c r="I21" s="6"/>
      <c r="J21" s="6"/>
      <c r="K21" s="24" t="e">
        <f t="shared" si="1"/>
        <v>#DIV/0!</v>
      </c>
      <c r="L21" s="6"/>
      <c r="M21" s="6"/>
      <c r="N21" s="6"/>
      <c r="O21" s="26" t="e">
        <f t="shared" si="2"/>
        <v>#DIV/0!</v>
      </c>
    </row>
    <row r="22" spans="1:15" ht="18" customHeight="1">
      <c r="A22" s="58">
        <f>Page1!A21</f>
        <v>0</v>
      </c>
      <c r="B22" s="59">
        <f>Page1!B21</f>
        <v>0</v>
      </c>
      <c r="C22" s="59">
        <f>Page1!C21</f>
        <v>0</v>
      </c>
      <c r="D22" s="83"/>
      <c r="E22" s="83"/>
      <c r="F22" s="83"/>
      <c r="G22" s="22" t="e">
        <f t="shared" si="0"/>
        <v>#DIV/0!</v>
      </c>
      <c r="H22" s="6"/>
      <c r="I22" s="6"/>
      <c r="J22" s="6"/>
      <c r="K22" s="24" t="e">
        <f t="shared" si="1"/>
        <v>#DIV/0!</v>
      </c>
      <c r="L22" s="6"/>
      <c r="M22" s="6"/>
      <c r="N22" s="6"/>
      <c r="O22" s="26" t="e">
        <f t="shared" si="2"/>
        <v>#DIV/0!</v>
      </c>
    </row>
    <row r="23" spans="1:15" ht="18" customHeight="1">
      <c r="A23" s="58">
        <f>Page1!A22</f>
        <v>0</v>
      </c>
      <c r="B23" s="59">
        <f>Page1!B22</f>
        <v>0</v>
      </c>
      <c r="C23" s="59">
        <f>Page1!C22</f>
        <v>0</v>
      </c>
      <c r="D23" s="83"/>
      <c r="E23" s="83"/>
      <c r="F23" s="83"/>
      <c r="G23" s="22" t="e">
        <f t="shared" si="0"/>
        <v>#DIV/0!</v>
      </c>
      <c r="H23" s="6"/>
      <c r="I23" s="6"/>
      <c r="J23" s="6"/>
      <c r="K23" s="24" t="e">
        <f t="shared" si="1"/>
        <v>#DIV/0!</v>
      </c>
      <c r="L23" s="7"/>
      <c r="M23" s="7"/>
      <c r="N23" s="7"/>
      <c r="O23" s="26" t="e">
        <f t="shared" si="2"/>
        <v>#DIV/0!</v>
      </c>
    </row>
    <row r="24" spans="1:15" ht="18" customHeight="1">
      <c r="A24" s="58">
        <f>Page1!A23</f>
        <v>0</v>
      </c>
      <c r="B24" s="59">
        <f>Page1!B23</f>
        <v>0</v>
      </c>
      <c r="C24" s="59">
        <f>Page1!C23</f>
        <v>0</v>
      </c>
      <c r="D24" s="83"/>
      <c r="E24" s="83"/>
      <c r="F24" s="83"/>
      <c r="G24" s="22" t="e">
        <f t="shared" si="0"/>
        <v>#DIV/0!</v>
      </c>
      <c r="H24" s="6"/>
      <c r="I24" s="6"/>
      <c r="J24" s="6"/>
      <c r="K24" s="24" t="e">
        <f t="shared" si="1"/>
        <v>#DIV/0!</v>
      </c>
      <c r="L24" s="6"/>
      <c r="M24" s="6"/>
      <c r="N24" s="6"/>
      <c r="O24" s="26" t="e">
        <f t="shared" si="2"/>
        <v>#DIV/0!</v>
      </c>
    </row>
    <row r="25" spans="1:15" ht="18" customHeight="1">
      <c r="A25" s="58">
        <f>Page1!A24</f>
        <v>0</v>
      </c>
      <c r="B25" s="59">
        <f>Page1!B24</f>
        <v>0</v>
      </c>
      <c r="C25" s="59">
        <f>Page1!C24</f>
        <v>0</v>
      </c>
      <c r="D25" s="83"/>
      <c r="E25" s="83"/>
      <c r="F25" s="83"/>
      <c r="G25" s="22" t="e">
        <f t="shared" si="0"/>
        <v>#DIV/0!</v>
      </c>
      <c r="H25" s="6"/>
      <c r="I25" s="6"/>
      <c r="J25" s="6"/>
      <c r="K25" s="24" t="e">
        <f t="shared" si="1"/>
        <v>#DIV/0!</v>
      </c>
      <c r="L25" s="6"/>
      <c r="M25" s="6"/>
      <c r="N25" s="6"/>
      <c r="O25" s="26" t="e">
        <f t="shared" si="2"/>
        <v>#DIV/0!</v>
      </c>
    </row>
    <row r="26" spans="1:15" ht="18" customHeight="1">
      <c r="A26" s="58">
        <f>Page1!A25</f>
        <v>0</v>
      </c>
      <c r="B26" s="59">
        <f>Page1!B25</f>
        <v>0</v>
      </c>
      <c r="C26" s="59">
        <f>Page1!C25</f>
        <v>0</v>
      </c>
      <c r="D26" s="83"/>
      <c r="E26" s="83"/>
      <c r="F26" s="83"/>
      <c r="G26" s="22" t="e">
        <f>AVERAGE(D26:F26)</f>
        <v>#DIV/0!</v>
      </c>
      <c r="H26" s="6"/>
      <c r="I26" s="6"/>
      <c r="J26" s="6"/>
      <c r="K26" s="24" t="e">
        <f t="shared" si="1"/>
        <v>#DIV/0!</v>
      </c>
      <c r="L26" s="7"/>
      <c r="M26" s="7"/>
      <c r="N26" s="7"/>
      <c r="O26" s="26" t="e">
        <f>AVERAGE(L26:N26)</f>
        <v>#DIV/0!</v>
      </c>
    </row>
    <row r="27" spans="1:15" ht="18" customHeight="1">
      <c r="A27" s="58">
        <f>Page1!A26</f>
        <v>0</v>
      </c>
      <c r="B27" s="59">
        <f>Page1!B26</f>
        <v>0</v>
      </c>
      <c r="C27" s="59">
        <f>Page1!C26</f>
        <v>0</v>
      </c>
      <c r="D27" s="83"/>
      <c r="E27" s="83"/>
      <c r="F27" s="83"/>
      <c r="G27" s="22" t="e">
        <f t="shared" si="0"/>
        <v>#DIV/0!</v>
      </c>
      <c r="H27" s="6"/>
      <c r="I27" s="6"/>
      <c r="J27" s="6"/>
      <c r="K27" s="24" t="e">
        <f t="shared" si="1"/>
        <v>#DIV/0!</v>
      </c>
      <c r="L27" s="6"/>
      <c r="M27" s="6"/>
      <c r="N27" s="6"/>
      <c r="O27" s="26" t="e">
        <f t="shared" si="2"/>
        <v>#DIV/0!</v>
      </c>
    </row>
    <row r="28" spans="1:15" ht="18" customHeight="1">
      <c r="A28" s="58">
        <f>Page1!A27</f>
        <v>0</v>
      </c>
      <c r="B28" s="59">
        <f>Page1!B27</f>
        <v>0</v>
      </c>
      <c r="C28" s="59">
        <f>Page1!C27</f>
        <v>0</v>
      </c>
      <c r="D28" s="83"/>
      <c r="E28" s="83"/>
      <c r="F28" s="83"/>
      <c r="G28" s="22" t="e">
        <f t="shared" si="0"/>
        <v>#DIV/0!</v>
      </c>
      <c r="H28" s="6"/>
      <c r="I28" s="6"/>
      <c r="J28" s="6"/>
      <c r="K28" s="24" t="e">
        <f t="shared" si="1"/>
        <v>#DIV/0!</v>
      </c>
      <c r="L28" s="6"/>
      <c r="M28" s="6"/>
      <c r="N28" s="6"/>
      <c r="O28" s="26" t="e">
        <f t="shared" si="2"/>
        <v>#DIV/0!</v>
      </c>
    </row>
    <row r="29" spans="1:15" ht="18" customHeight="1">
      <c r="A29" s="58">
        <f>Page1!A28</f>
        <v>0</v>
      </c>
      <c r="B29" s="59">
        <f>Page1!B28</f>
        <v>0</v>
      </c>
      <c r="C29" s="59">
        <f>Page1!C28</f>
        <v>0</v>
      </c>
      <c r="D29" s="83"/>
      <c r="E29" s="83"/>
      <c r="F29" s="83"/>
      <c r="G29" s="22" t="e">
        <f t="shared" si="0"/>
        <v>#DIV/0!</v>
      </c>
      <c r="H29" s="6"/>
      <c r="I29" s="6"/>
      <c r="J29" s="6"/>
      <c r="K29" s="24" t="e">
        <f t="shared" si="1"/>
        <v>#DIV/0!</v>
      </c>
      <c r="L29" s="6"/>
      <c r="M29" s="6"/>
      <c r="N29" s="6"/>
      <c r="O29" s="26" t="e">
        <f t="shared" si="2"/>
        <v>#DIV/0!</v>
      </c>
    </row>
    <row r="30" spans="1:15" ht="18" customHeight="1">
      <c r="A30" s="58">
        <f>Page1!A29</f>
        <v>0</v>
      </c>
      <c r="B30" s="59">
        <f>Page1!B29</f>
        <v>0</v>
      </c>
      <c r="C30" s="59">
        <f>Page1!C29</f>
        <v>0</v>
      </c>
      <c r="D30" s="83"/>
      <c r="E30" s="83"/>
      <c r="F30" s="83"/>
      <c r="G30" s="22" t="e">
        <f t="shared" si="0"/>
        <v>#DIV/0!</v>
      </c>
      <c r="H30" s="6"/>
      <c r="I30" s="6"/>
      <c r="J30" s="6"/>
      <c r="K30" s="24" t="e">
        <f t="shared" si="1"/>
        <v>#DIV/0!</v>
      </c>
      <c r="L30" s="6"/>
      <c r="M30" s="6"/>
      <c r="N30" s="6"/>
      <c r="O30" s="26" t="e">
        <f t="shared" si="2"/>
        <v>#DIV/0!</v>
      </c>
    </row>
    <row r="31" spans="1:15" ht="18" customHeight="1">
      <c r="A31" s="58">
        <f>Page1!A30</f>
        <v>0</v>
      </c>
      <c r="B31" s="59">
        <f>Page1!B30</f>
        <v>0</v>
      </c>
      <c r="C31" s="59">
        <f>Page1!C30</f>
        <v>0</v>
      </c>
      <c r="D31" s="83"/>
      <c r="E31" s="83"/>
      <c r="F31" s="83"/>
      <c r="G31" s="22" t="e">
        <f t="shared" si="0"/>
        <v>#DIV/0!</v>
      </c>
      <c r="H31" s="6"/>
      <c r="I31" s="6"/>
      <c r="J31" s="6"/>
      <c r="K31" s="24" t="e">
        <f t="shared" si="1"/>
        <v>#DIV/0!</v>
      </c>
      <c r="L31" s="6"/>
      <c r="M31" s="6"/>
      <c r="N31" s="6"/>
      <c r="O31" s="26" t="e">
        <f t="shared" si="2"/>
        <v>#DIV/0!</v>
      </c>
    </row>
    <row r="32" spans="1:15" ht="18" customHeight="1">
      <c r="A32" s="58">
        <f>Page1!A31</f>
        <v>0</v>
      </c>
      <c r="B32" s="59">
        <f>Page1!B31</f>
        <v>0</v>
      </c>
      <c r="C32" s="59">
        <f>Page1!C31</f>
        <v>0</v>
      </c>
      <c r="D32" s="83"/>
      <c r="E32" s="83"/>
      <c r="F32" s="83"/>
      <c r="G32" s="22" t="e">
        <f t="shared" si="0"/>
        <v>#DIV/0!</v>
      </c>
      <c r="H32" s="6"/>
      <c r="I32" s="6"/>
      <c r="J32" s="6"/>
      <c r="K32" s="24" t="e">
        <f t="shared" si="1"/>
        <v>#DIV/0!</v>
      </c>
      <c r="L32" s="6"/>
      <c r="M32" s="6"/>
      <c r="N32" s="6"/>
      <c r="O32" s="26" t="e">
        <f t="shared" si="2"/>
        <v>#DIV/0!</v>
      </c>
    </row>
    <row r="33" spans="1:15" ht="18" customHeight="1">
      <c r="A33" s="58">
        <f>Page1!A32</f>
        <v>0</v>
      </c>
      <c r="B33" s="59">
        <f>Page1!B32</f>
        <v>0</v>
      </c>
      <c r="C33" s="59">
        <f>Page1!C32</f>
        <v>0</v>
      </c>
      <c r="D33" s="83"/>
      <c r="E33" s="83"/>
      <c r="F33" s="83"/>
      <c r="G33" s="22" t="e">
        <f t="shared" si="0"/>
        <v>#DIV/0!</v>
      </c>
      <c r="H33" s="6"/>
      <c r="I33" s="6"/>
      <c r="J33" s="6"/>
      <c r="K33" s="24" t="e">
        <f t="shared" si="1"/>
        <v>#DIV/0!</v>
      </c>
      <c r="L33" s="6"/>
      <c r="M33" s="6"/>
      <c r="N33" s="6"/>
      <c r="O33" s="26" t="e">
        <f t="shared" si="2"/>
        <v>#DIV/0!</v>
      </c>
    </row>
    <row r="34" spans="1:15" ht="18" customHeight="1">
      <c r="A34" s="58">
        <f>Page1!A33</f>
        <v>0</v>
      </c>
      <c r="B34" s="59">
        <f>Page1!B33</f>
        <v>0</v>
      </c>
      <c r="C34" s="59">
        <f>Page1!C33</f>
        <v>0</v>
      </c>
      <c r="D34" s="83"/>
      <c r="E34" s="83"/>
      <c r="F34" s="83"/>
      <c r="G34" s="22" t="e">
        <f t="shared" si="0"/>
        <v>#DIV/0!</v>
      </c>
      <c r="H34" s="6"/>
      <c r="I34" s="6"/>
      <c r="J34" s="6"/>
      <c r="K34" s="24" t="e">
        <f t="shared" si="1"/>
        <v>#DIV/0!</v>
      </c>
      <c r="L34" s="6"/>
      <c r="M34" s="6"/>
      <c r="N34" s="6"/>
      <c r="O34" s="26" t="e">
        <f t="shared" si="2"/>
        <v>#DIV/0!</v>
      </c>
    </row>
    <row r="35" spans="1:15" ht="18" customHeight="1">
      <c r="A35" s="58">
        <f>Page1!A34</f>
        <v>0</v>
      </c>
      <c r="B35" s="59">
        <f>Page1!B34</f>
        <v>0</v>
      </c>
      <c r="C35" s="59">
        <f>Page1!C34</f>
        <v>0</v>
      </c>
      <c r="D35" s="83"/>
      <c r="E35" s="83"/>
      <c r="F35" s="83"/>
      <c r="G35" s="22" t="e">
        <f t="shared" si="0"/>
        <v>#DIV/0!</v>
      </c>
      <c r="H35" s="6"/>
      <c r="I35" s="6"/>
      <c r="J35" s="6"/>
      <c r="K35" s="24" t="e">
        <f t="shared" si="1"/>
        <v>#DIV/0!</v>
      </c>
      <c r="L35" s="6"/>
      <c r="M35" s="6"/>
      <c r="N35" s="6"/>
      <c r="O35" s="26" t="e">
        <f t="shared" si="2"/>
        <v>#DIV/0!</v>
      </c>
    </row>
    <row r="36" spans="1:15" ht="18" customHeight="1">
      <c r="A36" s="58">
        <f>Page1!A35</f>
        <v>0</v>
      </c>
      <c r="B36" s="59">
        <f>Page1!B35</f>
        <v>0</v>
      </c>
      <c r="C36" s="59">
        <f>Page1!C35</f>
        <v>0</v>
      </c>
      <c r="D36" s="83"/>
      <c r="E36" s="83"/>
      <c r="F36" s="83"/>
      <c r="G36" s="22" t="e">
        <f t="shared" si="0"/>
        <v>#DIV/0!</v>
      </c>
      <c r="H36" s="6"/>
      <c r="I36" s="6"/>
      <c r="J36" s="6"/>
      <c r="K36" s="24" t="e">
        <f t="shared" si="1"/>
        <v>#DIV/0!</v>
      </c>
      <c r="L36" s="7"/>
      <c r="M36" s="7"/>
      <c r="N36" s="7"/>
      <c r="O36" s="26" t="e">
        <f t="shared" si="2"/>
        <v>#DIV/0!</v>
      </c>
    </row>
    <row r="37" spans="1:15" ht="18" customHeight="1">
      <c r="A37" s="58">
        <f>Page1!A36</f>
        <v>0</v>
      </c>
      <c r="B37" s="59">
        <f>Page1!B36</f>
        <v>0</v>
      </c>
      <c r="C37" s="59">
        <f>Page1!C36</f>
        <v>0</v>
      </c>
      <c r="D37" s="83"/>
      <c r="E37" s="83"/>
      <c r="F37" s="83"/>
      <c r="G37" s="22" t="e">
        <f t="shared" si="0"/>
        <v>#DIV/0!</v>
      </c>
      <c r="H37" s="6"/>
      <c r="I37" s="6"/>
      <c r="J37" s="6"/>
      <c r="K37" s="24" t="e">
        <f t="shared" si="1"/>
        <v>#DIV/0!</v>
      </c>
      <c r="L37" s="6"/>
      <c r="M37" s="6"/>
      <c r="N37" s="6"/>
      <c r="O37" s="26" t="e">
        <f t="shared" si="2"/>
        <v>#DIV/0!</v>
      </c>
    </row>
    <row r="38" spans="1:15" ht="18" customHeight="1" thickBot="1">
      <c r="A38" s="58">
        <f>Page1!A37</f>
        <v>0</v>
      </c>
      <c r="B38" s="59">
        <f>Page1!B37</f>
        <v>0</v>
      </c>
      <c r="C38" s="59">
        <f>Page1!C37</f>
        <v>0</v>
      </c>
      <c r="D38" s="83"/>
      <c r="E38" s="83"/>
      <c r="F38" s="83"/>
      <c r="G38" s="23" t="e">
        <f t="shared" si="0"/>
        <v>#DIV/0!</v>
      </c>
      <c r="H38" s="6"/>
      <c r="I38" s="6"/>
      <c r="J38" s="6"/>
      <c r="K38" s="25" t="e">
        <f t="shared" si="1"/>
        <v>#DIV/0!</v>
      </c>
      <c r="L38" s="8"/>
      <c r="M38" s="8"/>
      <c r="N38" s="8"/>
      <c r="O38" s="27" t="e">
        <f t="shared" si="2"/>
        <v>#DIV/0!</v>
      </c>
    </row>
    <row r="39" spans="1:15" ht="18" customHeight="1">
      <c r="A39" s="14"/>
      <c r="B39" s="15"/>
      <c r="C39" s="15" t="s">
        <v>19</v>
      </c>
      <c r="D39" s="243" t="e">
        <f>AVERAGE(G9:G38)</f>
        <v>#DIV/0!</v>
      </c>
      <c r="E39" s="244"/>
      <c r="F39" s="244"/>
      <c r="G39" s="245"/>
      <c r="H39" s="246" t="e">
        <f>AVERAGE(K9:K38)</f>
        <v>#DIV/0!</v>
      </c>
      <c r="I39" s="247"/>
      <c r="J39" s="247"/>
      <c r="K39" s="248"/>
      <c r="L39" s="246" t="e">
        <f>AVERAGE(O9:O38)</f>
        <v>#DIV/0!</v>
      </c>
      <c r="M39" s="247"/>
      <c r="N39" s="247"/>
      <c r="O39" s="249"/>
    </row>
    <row r="40" spans="1:15" ht="18" customHeight="1">
      <c r="A40" s="16"/>
      <c r="B40" s="17"/>
      <c r="C40" s="13" t="s">
        <v>20</v>
      </c>
      <c r="D40" s="209" t="e">
        <f>MIN(G9:G38)</f>
        <v>#DIV/0!</v>
      </c>
      <c r="E40" s="210"/>
      <c r="F40" s="210"/>
      <c r="G40" s="211"/>
      <c r="H40" s="212" t="e">
        <f>MIN(K9:K38)</f>
        <v>#DIV/0!</v>
      </c>
      <c r="I40" s="213"/>
      <c r="J40" s="213"/>
      <c r="K40" s="214"/>
      <c r="L40" s="212" t="e">
        <f>MIN(O9:O38)</f>
        <v>#DIV/0!</v>
      </c>
      <c r="M40" s="213"/>
      <c r="N40" s="213"/>
      <c r="O40" s="215"/>
    </row>
    <row r="41" spans="1:15" ht="18" customHeight="1" thickBot="1">
      <c r="A41" s="18"/>
      <c r="B41" s="19"/>
      <c r="C41" s="20" t="s">
        <v>21</v>
      </c>
      <c r="D41" s="216" t="e">
        <f>MAX(G9:G38)</f>
        <v>#DIV/0!</v>
      </c>
      <c r="E41" s="217"/>
      <c r="F41" s="217"/>
      <c r="G41" s="218"/>
      <c r="H41" s="219" t="e">
        <f>MAX(K9:K38)</f>
        <v>#DIV/0!</v>
      </c>
      <c r="I41" s="220"/>
      <c r="J41" s="220"/>
      <c r="K41" s="221"/>
      <c r="L41" s="219" t="e">
        <f>MAX(O9:O38)</f>
        <v>#DIV/0!</v>
      </c>
      <c r="M41" s="220"/>
      <c r="N41" s="220"/>
      <c r="O41" s="222"/>
    </row>
    <row r="42" spans="1:15" ht="15.75" customHeight="1">
      <c r="A42" s="21" t="s">
        <v>11</v>
      </c>
      <c r="B42" s="223"/>
      <c r="C42" s="223"/>
      <c r="D42" s="224" t="s">
        <v>13</v>
      </c>
      <c r="E42" s="224"/>
      <c r="F42" s="224"/>
      <c r="G42" s="224"/>
      <c r="H42" s="21"/>
      <c r="I42" s="21"/>
      <c r="J42" s="21"/>
      <c r="K42" s="207" t="s">
        <v>14</v>
      </c>
      <c r="L42" s="207"/>
      <c r="M42" s="223"/>
      <c r="N42" s="223"/>
      <c r="O42" s="92" t="s">
        <v>15</v>
      </c>
    </row>
    <row r="43" spans="1:15" s="1" customFormat="1" ht="15.75" customHeight="1">
      <c r="A43" s="70"/>
      <c r="B43" s="179"/>
      <c r="C43" s="179"/>
      <c r="D43" s="63"/>
      <c r="E43" s="63"/>
      <c r="F43" s="70"/>
      <c r="G43" s="52"/>
      <c r="H43" s="52"/>
      <c r="I43" s="52"/>
      <c r="J43" s="52"/>
      <c r="K43" s="85"/>
      <c r="L43" s="85"/>
      <c r="M43" s="225"/>
      <c r="N43" s="225"/>
      <c r="O43" s="85"/>
    </row>
    <row r="44" spans="1:15" ht="15.75" customHeight="1">
      <c r="A44" s="206" t="s">
        <v>12</v>
      </c>
      <c r="B44" s="206"/>
      <c r="C44" s="206"/>
      <c r="D44" s="21"/>
      <c r="E44" s="1"/>
      <c r="F44" s="1"/>
      <c r="G44" s="66" t="str">
        <f>Page1!G43</f>
        <v>Reference:</v>
      </c>
      <c r="H44" s="178" t="str">
        <f>Page1!H43</f>
        <v>MRMP: 00004833.002 GCAS:21088174.001</v>
      </c>
      <c r="I44" s="178"/>
      <c r="J44" s="178"/>
      <c r="K44" s="178"/>
      <c r="L44" s="1"/>
      <c r="M44" s="21"/>
      <c r="N44" s="21"/>
      <c r="O44" s="21"/>
    </row>
    <row r="45" spans="1:15" ht="15.75" customHeight="1">
      <c r="A45" s="206" t="s">
        <v>17</v>
      </c>
      <c r="B45" s="206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08" t="s">
        <v>39</v>
      </c>
      <c r="O45" s="208"/>
    </row>
  </sheetData>
  <mergeCells count="41">
    <mergeCell ref="D39:G39"/>
    <mergeCell ref="H39:K39"/>
    <mergeCell ref="L39:O39"/>
    <mergeCell ref="N5:O5"/>
    <mergeCell ref="L5:M5"/>
    <mergeCell ref="B5:D5"/>
    <mergeCell ref="E5:F5"/>
    <mergeCell ref="L7:O7"/>
    <mergeCell ref="G5:H5"/>
    <mergeCell ref="J5:K5"/>
    <mergeCell ref="A7:C8"/>
    <mergeCell ref="D7:G7"/>
    <mergeCell ref="H7:K7"/>
    <mergeCell ref="A6:C6"/>
    <mergeCell ref="D6:O6"/>
    <mergeCell ref="A45:B45"/>
    <mergeCell ref="K42:L42"/>
    <mergeCell ref="N45:O45"/>
    <mergeCell ref="D40:G40"/>
    <mergeCell ref="H40:K40"/>
    <mergeCell ref="L40:O40"/>
    <mergeCell ref="D41:G41"/>
    <mergeCell ref="H41:K41"/>
    <mergeCell ref="L41:O41"/>
    <mergeCell ref="H44:K44"/>
    <mergeCell ref="B42:C42"/>
    <mergeCell ref="D42:G42"/>
    <mergeCell ref="M42:N42"/>
    <mergeCell ref="B43:C43"/>
    <mergeCell ref="M43:N43"/>
    <mergeCell ref="A44:C44"/>
    <mergeCell ref="A1:M1"/>
    <mergeCell ref="N1:O1"/>
    <mergeCell ref="A2:M3"/>
    <mergeCell ref="N2:O2"/>
    <mergeCell ref="B4:D4"/>
    <mergeCell ref="E4:F4"/>
    <mergeCell ref="G4:H4"/>
    <mergeCell ref="J4:K4"/>
    <mergeCell ref="N4:O4"/>
    <mergeCell ref="L4:M4"/>
  </mergeCells>
  <conditionalFormatting sqref="D9:G41">
    <cfRule type="cellIs" dxfId="9" priority="7" operator="lessThan">
      <formula>350</formula>
    </cfRule>
  </conditionalFormatting>
  <conditionalFormatting sqref="H9:K41">
    <cfRule type="cellIs" dxfId="8" priority="2" operator="lessThan">
      <formula>9</formula>
    </cfRule>
  </conditionalFormatting>
  <conditionalFormatting sqref="L9:O26 M27:O27 L28:O41">
    <cfRule type="cellIs" dxfId="7" priority="6" operator="notBetween">
      <formula>2.5</formula>
      <formula>5.5</formula>
    </cfRule>
  </conditionalFormatting>
  <dataValidations count="1">
    <dataValidation type="textLength" allowBlank="1" showInputMessage="1" showErrorMessage="1" sqref="A1:M3 A4:A5 E4:F5 I4:I5 L4:M5 D7:O8 N3 A42:A43 A6:C38 G9:G38 K9:K37 O9:O38 B39:O41 D42:G42 D43:E43 K42:L43 N1:O2 O42:O43 A44:A45 D44:O45 B45:C45" xr:uid="{79A37009-73BA-4BD0-957E-E0ABFFA9F858}">
      <formula1>0</formula1>
      <formula2>0</formula2>
    </dataValidation>
  </dataValidations>
  <pageMargins left="0.39370078740157483" right="0" top="0.39370078740157483" bottom="0" header="0" footer="0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9F09-3328-4242-82AD-DC9C32A8E820}">
  <sheetPr>
    <pageSetUpPr fitToPage="1"/>
  </sheetPr>
  <dimension ref="A1:O45"/>
  <sheetViews>
    <sheetView view="pageBreakPreview" zoomScaleNormal="100" zoomScaleSheetLayoutView="100" workbookViewId="0">
      <selection activeCell="A9" sqref="A9"/>
    </sheetView>
  </sheetViews>
  <sheetFormatPr defaultColWidth="9.140625" defaultRowHeight="12.75"/>
  <cols>
    <col min="1" max="3" width="14" style="35" customWidth="1"/>
    <col min="4" max="15" width="14.28515625" style="35" customWidth="1"/>
    <col min="16" max="16384" width="9.140625" style="35"/>
  </cols>
  <sheetData>
    <row r="1" spans="1:15" s="32" customFormat="1" ht="15.75" customHeight="1">
      <c r="A1" s="250" t="s">
        <v>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170" t="s">
        <v>22</v>
      </c>
      <c r="O1" s="170"/>
    </row>
    <row r="2" spans="1:15" s="32" customFormat="1" ht="15.75" customHeight="1">
      <c r="A2" s="151" t="s">
        <v>10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71" t="s">
        <v>23</v>
      </c>
      <c r="O2" s="171"/>
    </row>
    <row r="3" spans="1:15" s="32" customFormat="1" ht="16.5" thickBo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66" t="s">
        <v>16</v>
      </c>
      <c r="O3" s="63"/>
    </row>
    <row r="4" spans="1:15" s="5" customFormat="1" ht="23.25" customHeight="1">
      <c r="A4" s="28" t="s">
        <v>1</v>
      </c>
      <c r="B4" s="201">
        <f>Page1!C4</f>
        <v>0</v>
      </c>
      <c r="C4" s="202"/>
      <c r="D4" s="203"/>
      <c r="E4" s="168" t="s">
        <v>3</v>
      </c>
      <c r="F4" s="169"/>
      <c r="G4" s="201">
        <f>Page1!H4</f>
        <v>0</v>
      </c>
      <c r="H4" s="203"/>
      <c r="I4" s="29" t="s">
        <v>5</v>
      </c>
      <c r="J4" s="204">
        <f>Page1!K4</f>
        <v>0</v>
      </c>
      <c r="K4" s="204"/>
      <c r="L4" s="161" t="s">
        <v>7</v>
      </c>
      <c r="M4" s="161"/>
      <c r="N4" s="201">
        <f>Page1!N4</f>
        <v>0</v>
      </c>
      <c r="O4" s="205"/>
    </row>
    <row r="5" spans="1:15" s="5" customFormat="1" ht="23.25" customHeight="1" thickBot="1">
      <c r="A5" s="30" t="s">
        <v>2</v>
      </c>
      <c r="B5" s="142">
        <f>Page1!C5</f>
        <v>0</v>
      </c>
      <c r="C5" s="227"/>
      <c r="D5" s="146"/>
      <c r="E5" s="228" t="s">
        <v>4</v>
      </c>
      <c r="F5" s="229"/>
      <c r="G5" s="142">
        <f>Page1!H5</f>
        <v>0</v>
      </c>
      <c r="H5" s="146"/>
      <c r="I5" s="31" t="s">
        <v>6</v>
      </c>
      <c r="J5" s="141">
        <f>Page1!K5</f>
        <v>0</v>
      </c>
      <c r="K5" s="141"/>
      <c r="L5" s="226" t="s">
        <v>8</v>
      </c>
      <c r="M5" s="226"/>
      <c r="N5" s="142">
        <f>Page1!N5</f>
        <v>0</v>
      </c>
      <c r="O5" s="180"/>
    </row>
    <row r="6" spans="1:15" s="33" customFormat="1" ht="16.5" customHeight="1" thickBot="1">
      <c r="A6" s="140" t="s">
        <v>24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251"/>
    </row>
    <row r="7" spans="1:15" s="33" customFormat="1" ht="16.5" customHeight="1">
      <c r="A7" s="252" t="s">
        <v>0</v>
      </c>
      <c r="B7" s="253"/>
      <c r="C7" s="254"/>
      <c r="D7" s="258" t="s">
        <v>40</v>
      </c>
      <c r="E7" s="258"/>
      <c r="F7" s="258"/>
      <c r="G7" s="258"/>
      <c r="H7" s="259" t="s">
        <v>41</v>
      </c>
      <c r="I7" s="260"/>
      <c r="J7" s="260"/>
      <c r="K7" s="261"/>
      <c r="L7" s="259" t="s">
        <v>42</v>
      </c>
      <c r="M7" s="260"/>
      <c r="N7" s="260"/>
      <c r="O7" s="262"/>
    </row>
    <row r="8" spans="1:15" s="33" customFormat="1" ht="16.5" customHeight="1" thickBot="1">
      <c r="A8" s="255"/>
      <c r="B8" s="256"/>
      <c r="C8" s="257"/>
      <c r="D8" s="90">
        <v>1</v>
      </c>
      <c r="E8" s="90">
        <v>2</v>
      </c>
      <c r="F8" s="90">
        <v>3</v>
      </c>
      <c r="G8" s="90" t="s">
        <v>38</v>
      </c>
      <c r="H8" s="89">
        <v>1</v>
      </c>
      <c r="I8" s="90">
        <v>2</v>
      </c>
      <c r="J8" s="90">
        <v>3</v>
      </c>
      <c r="K8" s="90" t="s">
        <v>38</v>
      </c>
      <c r="L8" s="90">
        <v>1</v>
      </c>
      <c r="M8" s="90">
        <v>2</v>
      </c>
      <c r="N8" s="90">
        <v>3</v>
      </c>
      <c r="O8" s="91" t="s">
        <v>38</v>
      </c>
    </row>
    <row r="9" spans="1:15" ht="18" customHeight="1">
      <c r="A9" s="58">
        <f>Page1!A8</f>
        <v>0</v>
      </c>
      <c r="B9" s="59">
        <f>Page1!B8</f>
        <v>0</v>
      </c>
      <c r="C9" s="59">
        <f>Page1!C8</f>
        <v>0</v>
      </c>
      <c r="D9" s="83"/>
      <c r="E9" s="83"/>
      <c r="F9" s="83"/>
      <c r="G9" s="22" t="e">
        <f>AVERAGE(D9:F9)</f>
        <v>#DIV/0!</v>
      </c>
      <c r="H9" s="6"/>
      <c r="I9" s="6"/>
      <c r="J9" s="6"/>
      <c r="K9" s="24" t="e">
        <f>AVERAGE(H9:J9)</f>
        <v>#DIV/0!</v>
      </c>
      <c r="L9" s="6"/>
      <c r="M9" s="6"/>
      <c r="N9" s="6"/>
      <c r="O9" s="26" t="e">
        <f>AVERAGE(L9:N9)</f>
        <v>#DIV/0!</v>
      </c>
    </row>
    <row r="10" spans="1:15" ht="18" customHeight="1">
      <c r="A10" s="58">
        <f>Page1!A9</f>
        <v>0</v>
      </c>
      <c r="B10" s="59">
        <f>Page1!B9</f>
        <v>0</v>
      </c>
      <c r="C10" s="59">
        <f>Page1!C9</f>
        <v>0</v>
      </c>
      <c r="D10" s="83"/>
      <c r="E10" s="83"/>
      <c r="F10" s="83"/>
      <c r="G10" s="22" t="e">
        <f t="shared" ref="G10:G38" si="0">AVERAGE(D10:F10)</f>
        <v>#DIV/0!</v>
      </c>
      <c r="H10" s="6"/>
      <c r="I10" s="6"/>
      <c r="J10" s="6"/>
      <c r="K10" s="24" t="e">
        <f t="shared" ref="K10:K38" si="1">AVERAGE(H10:J10)</f>
        <v>#DIV/0!</v>
      </c>
      <c r="L10" s="6"/>
      <c r="M10" s="6"/>
      <c r="N10" s="6"/>
      <c r="O10" s="26" t="e">
        <f t="shared" ref="O10:O38" si="2">AVERAGE(L10:N10)</f>
        <v>#DIV/0!</v>
      </c>
    </row>
    <row r="11" spans="1:15" ht="18" customHeight="1">
      <c r="A11" s="58">
        <f>Page1!A10</f>
        <v>0</v>
      </c>
      <c r="B11" s="59">
        <f>Page1!B10</f>
        <v>0</v>
      </c>
      <c r="C11" s="59">
        <f>Page1!C10</f>
        <v>0</v>
      </c>
      <c r="D11" s="83"/>
      <c r="E11" s="83"/>
      <c r="F11" s="83"/>
      <c r="G11" s="22" t="e">
        <f t="shared" si="0"/>
        <v>#DIV/0!</v>
      </c>
      <c r="H11" s="6"/>
      <c r="I11" s="6"/>
      <c r="J11" s="6"/>
      <c r="K11" s="24" t="e">
        <f t="shared" si="1"/>
        <v>#DIV/0!</v>
      </c>
      <c r="L11" s="6"/>
      <c r="M11" s="6"/>
      <c r="N11" s="6"/>
      <c r="O11" s="26" t="e">
        <f t="shared" si="2"/>
        <v>#DIV/0!</v>
      </c>
    </row>
    <row r="12" spans="1:15" ht="18" customHeight="1">
      <c r="A12" s="58">
        <f>Page1!A11</f>
        <v>0</v>
      </c>
      <c r="B12" s="59">
        <f>Page1!B11</f>
        <v>0</v>
      </c>
      <c r="C12" s="59">
        <f>Page1!C11</f>
        <v>0</v>
      </c>
      <c r="D12" s="83"/>
      <c r="E12" s="83"/>
      <c r="F12" s="83"/>
      <c r="G12" s="22" t="e">
        <f t="shared" si="0"/>
        <v>#DIV/0!</v>
      </c>
      <c r="H12" s="6"/>
      <c r="I12" s="6"/>
      <c r="J12" s="6"/>
      <c r="K12" s="24" t="e">
        <f t="shared" si="1"/>
        <v>#DIV/0!</v>
      </c>
      <c r="L12" s="6"/>
      <c r="M12" s="6"/>
      <c r="N12" s="6"/>
      <c r="O12" s="26" t="e">
        <f t="shared" si="2"/>
        <v>#DIV/0!</v>
      </c>
    </row>
    <row r="13" spans="1:15" ht="18" customHeight="1">
      <c r="A13" s="58">
        <f>Page1!A12</f>
        <v>0</v>
      </c>
      <c r="B13" s="59">
        <f>Page1!B12</f>
        <v>0</v>
      </c>
      <c r="C13" s="59">
        <f>Page1!C12</f>
        <v>0</v>
      </c>
      <c r="D13" s="83"/>
      <c r="E13" s="83"/>
      <c r="F13" s="83"/>
      <c r="G13" s="22" t="e">
        <f t="shared" si="0"/>
        <v>#DIV/0!</v>
      </c>
      <c r="H13" s="6"/>
      <c r="I13" s="6"/>
      <c r="J13" s="6"/>
      <c r="K13" s="24" t="e">
        <f t="shared" si="1"/>
        <v>#DIV/0!</v>
      </c>
      <c r="L13" s="6"/>
      <c r="M13" s="6"/>
      <c r="N13" s="6"/>
      <c r="O13" s="26" t="e">
        <f t="shared" si="2"/>
        <v>#DIV/0!</v>
      </c>
    </row>
    <row r="14" spans="1:15" ht="18" customHeight="1">
      <c r="A14" s="58">
        <f>Page1!A13</f>
        <v>0</v>
      </c>
      <c r="B14" s="59">
        <f>Page1!B13</f>
        <v>0</v>
      </c>
      <c r="C14" s="59">
        <f>Page1!C13</f>
        <v>0</v>
      </c>
      <c r="D14" s="83"/>
      <c r="E14" s="83"/>
      <c r="F14" s="83"/>
      <c r="G14" s="22" t="e">
        <f t="shared" si="0"/>
        <v>#DIV/0!</v>
      </c>
      <c r="H14" s="6"/>
      <c r="I14" s="6"/>
      <c r="J14" s="6"/>
      <c r="K14" s="24" t="e">
        <f t="shared" si="1"/>
        <v>#DIV/0!</v>
      </c>
      <c r="L14" s="6"/>
      <c r="M14" s="6"/>
      <c r="N14" s="6"/>
      <c r="O14" s="26" t="e">
        <f t="shared" si="2"/>
        <v>#DIV/0!</v>
      </c>
    </row>
    <row r="15" spans="1:15" ht="18" customHeight="1">
      <c r="A15" s="58">
        <f>Page1!A14</f>
        <v>0</v>
      </c>
      <c r="B15" s="59">
        <f>Page1!B14</f>
        <v>0</v>
      </c>
      <c r="C15" s="59">
        <f>Page1!C14</f>
        <v>0</v>
      </c>
      <c r="D15" s="83"/>
      <c r="E15" s="83"/>
      <c r="F15" s="83"/>
      <c r="G15" s="22" t="e">
        <f t="shared" si="0"/>
        <v>#DIV/0!</v>
      </c>
      <c r="H15" s="6"/>
      <c r="I15" s="6"/>
      <c r="J15" s="6"/>
      <c r="K15" s="24" t="e">
        <f t="shared" si="1"/>
        <v>#DIV/0!</v>
      </c>
      <c r="L15" s="6"/>
      <c r="M15" s="6"/>
      <c r="N15" s="6"/>
      <c r="O15" s="26" t="e">
        <f t="shared" si="2"/>
        <v>#DIV/0!</v>
      </c>
    </row>
    <row r="16" spans="1:15" ht="18" customHeight="1">
      <c r="A16" s="58">
        <f>Page1!A15</f>
        <v>0</v>
      </c>
      <c r="B16" s="59">
        <f>Page1!B15</f>
        <v>0</v>
      </c>
      <c r="C16" s="59">
        <f>Page1!C15</f>
        <v>0</v>
      </c>
      <c r="D16" s="83"/>
      <c r="E16" s="83"/>
      <c r="F16" s="83"/>
      <c r="G16" s="22" t="e">
        <f>AVERAGE(D16:F16)</f>
        <v>#DIV/0!</v>
      </c>
      <c r="H16" s="6"/>
      <c r="I16" s="6"/>
      <c r="J16" s="6"/>
      <c r="K16" s="24" t="e">
        <f t="shared" si="1"/>
        <v>#DIV/0!</v>
      </c>
      <c r="L16" s="6"/>
      <c r="M16" s="6"/>
      <c r="N16" s="6"/>
      <c r="O16" s="26" t="e">
        <f t="shared" si="2"/>
        <v>#DIV/0!</v>
      </c>
    </row>
    <row r="17" spans="1:15" ht="18" customHeight="1">
      <c r="A17" s="58">
        <f>Page1!A16</f>
        <v>0</v>
      </c>
      <c r="B17" s="59">
        <f>Page1!B16</f>
        <v>0</v>
      </c>
      <c r="C17" s="59">
        <f>Page1!C16</f>
        <v>0</v>
      </c>
      <c r="D17" s="83"/>
      <c r="E17" s="83"/>
      <c r="F17" s="83"/>
      <c r="G17" s="22" t="e">
        <f t="shared" si="0"/>
        <v>#DIV/0!</v>
      </c>
      <c r="H17" s="6"/>
      <c r="I17" s="6"/>
      <c r="J17" s="6"/>
      <c r="K17" s="24" t="e">
        <f t="shared" si="1"/>
        <v>#DIV/0!</v>
      </c>
      <c r="L17" s="6"/>
      <c r="M17" s="6"/>
      <c r="N17" s="6"/>
      <c r="O17" s="26" t="e">
        <f t="shared" si="2"/>
        <v>#DIV/0!</v>
      </c>
    </row>
    <row r="18" spans="1:15" ht="18" customHeight="1">
      <c r="A18" s="58">
        <f>Page1!A17</f>
        <v>0</v>
      </c>
      <c r="B18" s="59">
        <f>Page1!B17</f>
        <v>0</v>
      </c>
      <c r="C18" s="59">
        <f>Page1!C17</f>
        <v>0</v>
      </c>
      <c r="D18" s="83"/>
      <c r="E18" s="83"/>
      <c r="F18" s="83"/>
      <c r="G18" s="22" t="e">
        <f t="shared" si="0"/>
        <v>#DIV/0!</v>
      </c>
      <c r="H18" s="6"/>
      <c r="I18" s="6"/>
      <c r="J18" s="6"/>
      <c r="K18" s="24" t="e">
        <f t="shared" si="1"/>
        <v>#DIV/0!</v>
      </c>
      <c r="L18" s="6"/>
      <c r="M18" s="6"/>
      <c r="N18" s="6"/>
      <c r="O18" s="26" t="e">
        <f t="shared" si="2"/>
        <v>#DIV/0!</v>
      </c>
    </row>
    <row r="19" spans="1:15" ht="18" customHeight="1">
      <c r="A19" s="58">
        <f>Page1!A18</f>
        <v>0</v>
      </c>
      <c r="B19" s="59">
        <f>Page1!B18</f>
        <v>0</v>
      </c>
      <c r="C19" s="59">
        <f>Page1!C18</f>
        <v>0</v>
      </c>
      <c r="D19" s="83"/>
      <c r="E19" s="83"/>
      <c r="F19" s="83"/>
      <c r="G19" s="22" t="e">
        <f t="shared" si="0"/>
        <v>#DIV/0!</v>
      </c>
      <c r="H19" s="6"/>
      <c r="I19" s="6"/>
      <c r="J19" s="6"/>
      <c r="K19" s="24" t="e">
        <f t="shared" si="1"/>
        <v>#DIV/0!</v>
      </c>
      <c r="L19" s="6"/>
      <c r="M19" s="6"/>
      <c r="N19" s="6"/>
      <c r="O19" s="26" t="e">
        <f t="shared" si="2"/>
        <v>#DIV/0!</v>
      </c>
    </row>
    <row r="20" spans="1:15" ht="18" customHeight="1">
      <c r="A20" s="58">
        <f>Page1!A19</f>
        <v>0</v>
      </c>
      <c r="B20" s="59">
        <f>Page1!B19</f>
        <v>0</v>
      </c>
      <c r="C20" s="59">
        <f>Page1!C19</f>
        <v>0</v>
      </c>
      <c r="D20" s="83"/>
      <c r="E20" s="83"/>
      <c r="F20" s="83"/>
      <c r="G20" s="22" t="e">
        <f t="shared" si="0"/>
        <v>#DIV/0!</v>
      </c>
      <c r="H20" s="6"/>
      <c r="I20" s="6"/>
      <c r="J20" s="6"/>
      <c r="K20" s="24" t="e">
        <f t="shared" si="1"/>
        <v>#DIV/0!</v>
      </c>
      <c r="L20" s="6"/>
      <c r="M20" s="6"/>
      <c r="N20" s="6"/>
      <c r="O20" s="26" t="e">
        <f t="shared" si="2"/>
        <v>#DIV/0!</v>
      </c>
    </row>
    <row r="21" spans="1:15" ht="18" customHeight="1">
      <c r="A21" s="58">
        <f>Page1!A20</f>
        <v>0</v>
      </c>
      <c r="B21" s="59">
        <f>Page1!B20</f>
        <v>0</v>
      </c>
      <c r="C21" s="59">
        <f>Page1!C20</f>
        <v>0</v>
      </c>
      <c r="D21" s="83"/>
      <c r="E21" s="83"/>
      <c r="F21" s="83"/>
      <c r="G21" s="22" t="e">
        <f t="shared" si="0"/>
        <v>#DIV/0!</v>
      </c>
      <c r="H21" s="6"/>
      <c r="I21" s="6"/>
      <c r="J21" s="6"/>
      <c r="K21" s="24" t="e">
        <f t="shared" si="1"/>
        <v>#DIV/0!</v>
      </c>
      <c r="L21" s="6"/>
      <c r="M21" s="6"/>
      <c r="N21" s="6"/>
      <c r="O21" s="26" t="e">
        <f t="shared" si="2"/>
        <v>#DIV/0!</v>
      </c>
    </row>
    <row r="22" spans="1:15" ht="18" customHeight="1">
      <c r="A22" s="58">
        <f>Page1!A21</f>
        <v>0</v>
      </c>
      <c r="B22" s="59">
        <f>Page1!B21</f>
        <v>0</v>
      </c>
      <c r="C22" s="59">
        <f>Page1!C21</f>
        <v>0</v>
      </c>
      <c r="D22" s="83"/>
      <c r="E22" s="83"/>
      <c r="F22" s="83"/>
      <c r="G22" s="22" t="e">
        <f t="shared" si="0"/>
        <v>#DIV/0!</v>
      </c>
      <c r="H22" s="6"/>
      <c r="I22" s="6"/>
      <c r="J22" s="6"/>
      <c r="K22" s="24" t="e">
        <f t="shared" si="1"/>
        <v>#DIV/0!</v>
      </c>
      <c r="L22" s="6"/>
      <c r="M22" s="6"/>
      <c r="N22" s="6"/>
      <c r="O22" s="26" t="e">
        <f t="shared" si="2"/>
        <v>#DIV/0!</v>
      </c>
    </row>
    <row r="23" spans="1:15" ht="18" customHeight="1">
      <c r="A23" s="58">
        <f>Page1!A22</f>
        <v>0</v>
      </c>
      <c r="B23" s="59">
        <f>Page1!B22</f>
        <v>0</v>
      </c>
      <c r="C23" s="59">
        <f>Page1!C22</f>
        <v>0</v>
      </c>
      <c r="D23" s="83"/>
      <c r="E23" s="83"/>
      <c r="F23" s="83"/>
      <c r="G23" s="22" t="e">
        <f t="shared" si="0"/>
        <v>#DIV/0!</v>
      </c>
      <c r="H23" s="6"/>
      <c r="I23" s="6"/>
      <c r="J23" s="6"/>
      <c r="K23" s="24" t="e">
        <f t="shared" si="1"/>
        <v>#DIV/0!</v>
      </c>
      <c r="L23" s="6"/>
      <c r="M23" s="6"/>
      <c r="N23" s="6"/>
      <c r="O23" s="26" t="e">
        <f t="shared" si="2"/>
        <v>#DIV/0!</v>
      </c>
    </row>
    <row r="24" spans="1:15" ht="18" customHeight="1">
      <c r="A24" s="58">
        <f>Page1!A23</f>
        <v>0</v>
      </c>
      <c r="B24" s="59">
        <f>Page1!B23</f>
        <v>0</v>
      </c>
      <c r="C24" s="59">
        <f>Page1!C23</f>
        <v>0</v>
      </c>
      <c r="D24" s="83"/>
      <c r="E24" s="83"/>
      <c r="F24" s="83"/>
      <c r="G24" s="22" t="e">
        <f t="shared" si="0"/>
        <v>#DIV/0!</v>
      </c>
      <c r="H24" s="6"/>
      <c r="I24" s="6"/>
      <c r="J24" s="6"/>
      <c r="K24" s="24" t="e">
        <f t="shared" si="1"/>
        <v>#DIV/0!</v>
      </c>
      <c r="L24" s="6"/>
      <c r="M24" s="6"/>
      <c r="N24" s="6"/>
      <c r="O24" s="26" t="e">
        <f t="shared" si="2"/>
        <v>#DIV/0!</v>
      </c>
    </row>
    <row r="25" spans="1:15" ht="18" customHeight="1">
      <c r="A25" s="58">
        <f>Page1!A24</f>
        <v>0</v>
      </c>
      <c r="B25" s="59">
        <f>Page1!B24</f>
        <v>0</v>
      </c>
      <c r="C25" s="59">
        <f>Page1!C24</f>
        <v>0</v>
      </c>
      <c r="D25" s="83"/>
      <c r="E25" s="83"/>
      <c r="F25" s="83"/>
      <c r="G25" s="22" t="e">
        <f t="shared" si="0"/>
        <v>#DIV/0!</v>
      </c>
      <c r="H25" s="6"/>
      <c r="I25" s="6"/>
      <c r="J25" s="6"/>
      <c r="K25" s="24" t="e">
        <f t="shared" si="1"/>
        <v>#DIV/0!</v>
      </c>
      <c r="L25" s="6"/>
      <c r="M25" s="6"/>
      <c r="N25" s="6"/>
      <c r="O25" s="26" t="e">
        <f t="shared" si="2"/>
        <v>#DIV/0!</v>
      </c>
    </row>
    <row r="26" spans="1:15" ht="18" customHeight="1">
      <c r="A26" s="58">
        <f>Page1!A25</f>
        <v>0</v>
      </c>
      <c r="B26" s="59">
        <f>Page1!B25</f>
        <v>0</v>
      </c>
      <c r="C26" s="59">
        <f>Page1!C25</f>
        <v>0</v>
      </c>
      <c r="D26" s="83"/>
      <c r="E26" s="83"/>
      <c r="F26" s="83"/>
      <c r="G26" s="22" t="e">
        <f t="shared" si="0"/>
        <v>#DIV/0!</v>
      </c>
      <c r="H26" s="6"/>
      <c r="I26" s="6"/>
      <c r="J26" s="6"/>
      <c r="K26" s="24" t="e">
        <f t="shared" si="1"/>
        <v>#DIV/0!</v>
      </c>
      <c r="L26" s="6"/>
      <c r="M26" s="6"/>
      <c r="N26" s="6"/>
      <c r="O26" s="26" t="e">
        <f t="shared" si="2"/>
        <v>#DIV/0!</v>
      </c>
    </row>
    <row r="27" spans="1:15" ht="18" customHeight="1">
      <c r="A27" s="58">
        <f>Page1!A26</f>
        <v>0</v>
      </c>
      <c r="B27" s="59">
        <f>Page1!B26</f>
        <v>0</v>
      </c>
      <c r="C27" s="59">
        <f>Page1!C26</f>
        <v>0</v>
      </c>
      <c r="D27" s="83"/>
      <c r="E27" s="83"/>
      <c r="F27" s="83"/>
      <c r="G27" s="22" t="e">
        <f t="shared" si="0"/>
        <v>#DIV/0!</v>
      </c>
      <c r="H27" s="6"/>
      <c r="I27" s="6"/>
      <c r="J27" s="6"/>
      <c r="K27" s="24" t="e">
        <f t="shared" si="1"/>
        <v>#DIV/0!</v>
      </c>
      <c r="L27" s="6"/>
      <c r="M27" s="6"/>
      <c r="N27" s="6"/>
      <c r="O27" s="26" t="e">
        <f t="shared" si="2"/>
        <v>#DIV/0!</v>
      </c>
    </row>
    <row r="28" spans="1:15" ht="18" customHeight="1">
      <c r="A28" s="58">
        <f>Page1!A27</f>
        <v>0</v>
      </c>
      <c r="B28" s="59">
        <f>Page1!B27</f>
        <v>0</v>
      </c>
      <c r="C28" s="59">
        <f>Page1!C27</f>
        <v>0</v>
      </c>
      <c r="D28" s="83"/>
      <c r="E28" s="83"/>
      <c r="F28" s="83"/>
      <c r="G28" s="22" t="e">
        <f t="shared" si="0"/>
        <v>#DIV/0!</v>
      </c>
      <c r="H28" s="6"/>
      <c r="I28" s="6"/>
      <c r="J28" s="6"/>
      <c r="K28" s="24" t="e">
        <f t="shared" si="1"/>
        <v>#DIV/0!</v>
      </c>
      <c r="L28" s="6"/>
      <c r="M28" s="6"/>
      <c r="N28" s="6"/>
      <c r="O28" s="26" t="e">
        <f t="shared" si="2"/>
        <v>#DIV/0!</v>
      </c>
    </row>
    <row r="29" spans="1:15" ht="18" customHeight="1">
      <c r="A29" s="58">
        <f>Page1!A28</f>
        <v>0</v>
      </c>
      <c r="B29" s="59">
        <f>Page1!B28</f>
        <v>0</v>
      </c>
      <c r="C29" s="59">
        <f>Page1!C28</f>
        <v>0</v>
      </c>
      <c r="D29" s="83"/>
      <c r="E29" s="83"/>
      <c r="F29" s="83"/>
      <c r="G29" s="22" t="e">
        <f>AVERAGE(D29:F29)</f>
        <v>#DIV/0!</v>
      </c>
      <c r="H29" s="6"/>
      <c r="I29" s="6"/>
      <c r="J29" s="6"/>
      <c r="K29" s="24" t="e">
        <f t="shared" si="1"/>
        <v>#DIV/0!</v>
      </c>
      <c r="L29" s="6"/>
      <c r="M29" s="6"/>
      <c r="N29" s="6"/>
      <c r="O29" s="26" t="e">
        <f t="shared" si="2"/>
        <v>#DIV/0!</v>
      </c>
    </row>
    <row r="30" spans="1:15" ht="18" customHeight="1">
      <c r="A30" s="58">
        <f>Page1!A29</f>
        <v>0</v>
      </c>
      <c r="B30" s="59">
        <f>Page1!B29</f>
        <v>0</v>
      </c>
      <c r="C30" s="59">
        <f>Page1!C29</f>
        <v>0</v>
      </c>
      <c r="D30" s="83"/>
      <c r="E30" s="83"/>
      <c r="F30" s="83"/>
      <c r="G30" s="22" t="e">
        <f>AVERAGE(D30:F30)</f>
        <v>#DIV/0!</v>
      </c>
      <c r="H30" s="6"/>
      <c r="I30" s="6"/>
      <c r="J30" s="6"/>
      <c r="K30" s="24" t="e">
        <f t="shared" si="1"/>
        <v>#DIV/0!</v>
      </c>
      <c r="L30" s="6"/>
      <c r="M30" s="6"/>
      <c r="N30" s="6"/>
      <c r="O30" s="26" t="e">
        <f t="shared" si="2"/>
        <v>#DIV/0!</v>
      </c>
    </row>
    <row r="31" spans="1:15" ht="18" customHeight="1">
      <c r="A31" s="58">
        <f>Page1!A30</f>
        <v>0</v>
      </c>
      <c r="B31" s="59">
        <f>Page1!B30</f>
        <v>0</v>
      </c>
      <c r="C31" s="59">
        <f>Page1!C30</f>
        <v>0</v>
      </c>
      <c r="D31" s="83"/>
      <c r="E31" s="83"/>
      <c r="F31" s="83"/>
      <c r="G31" s="22" t="e">
        <f>AVERAGE(D31:F31)</f>
        <v>#DIV/0!</v>
      </c>
      <c r="H31" s="6"/>
      <c r="I31" s="6"/>
      <c r="J31" s="6"/>
      <c r="K31" s="24" t="e">
        <f t="shared" si="1"/>
        <v>#DIV/0!</v>
      </c>
      <c r="L31" s="6"/>
      <c r="M31" s="6"/>
      <c r="N31" s="6"/>
      <c r="O31" s="26" t="e">
        <f t="shared" si="2"/>
        <v>#DIV/0!</v>
      </c>
    </row>
    <row r="32" spans="1:15" ht="18" customHeight="1">
      <c r="A32" s="58">
        <f>Page1!A31</f>
        <v>0</v>
      </c>
      <c r="B32" s="59">
        <f>Page1!B31</f>
        <v>0</v>
      </c>
      <c r="C32" s="59">
        <f>Page1!C31</f>
        <v>0</v>
      </c>
      <c r="D32" s="83"/>
      <c r="E32" s="83"/>
      <c r="F32" s="83"/>
      <c r="G32" s="22" t="e">
        <f>AVERAGE(D32:F32)</f>
        <v>#DIV/0!</v>
      </c>
      <c r="H32" s="6"/>
      <c r="I32" s="6"/>
      <c r="J32" s="6"/>
      <c r="K32" s="24" t="e">
        <f t="shared" si="1"/>
        <v>#DIV/0!</v>
      </c>
      <c r="L32" s="6"/>
      <c r="M32" s="6"/>
      <c r="N32" s="6"/>
      <c r="O32" s="26" t="e">
        <f t="shared" si="2"/>
        <v>#DIV/0!</v>
      </c>
    </row>
    <row r="33" spans="1:15" ht="18" customHeight="1">
      <c r="A33" s="58">
        <f>Page1!A32</f>
        <v>0</v>
      </c>
      <c r="B33" s="59">
        <f>Page1!B32</f>
        <v>0</v>
      </c>
      <c r="C33" s="59">
        <f>Page1!C32</f>
        <v>0</v>
      </c>
      <c r="D33" s="83"/>
      <c r="E33" s="83"/>
      <c r="F33" s="83"/>
      <c r="G33" s="22" t="e">
        <f t="shared" si="0"/>
        <v>#DIV/0!</v>
      </c>
      <c r="H33" s="6"/>
      <c r="I33" s="6"/>
      <c r="J33" s="6"/>
      <c r="K33" s="24" t="e">
        <f t="shared" si="1"/>
        <v>#DIV/0!</v>
      </c>
      <c r="L33" s="6"/>
      <c r="M33" s="6"/>
      <c r="N33" s="6"/>
      <c r="O33" s="26" t="e">
        <f t="shared" si="2"/>
        <v>#DIV/0!</v>
      </c>
    </row>
    <row r="34" spans="1:15" ht="18" customHeight="1">
      <c r="A34" s="58">
        <f>Page1!A33</f>
        <v>0</v>
      </c>
      <c r="B34" s="59">
        <f>Page1!B33</f>
        <v>0</v>
      </c>
      <c r="C34" s="59">
        <f>Page1!C33</f>
        <v>0</v>
      </c>
      <c r="D34" s="83"/>
      <c r="E34" s="83"/>
      <c r="F34" s="83"/>
      <c r="G34" s="22" t="e">
        <f>AVERAGE(D34:F34)</f>
        <v>#DIV/0!</v>
      </c>
      <c r="H34" s="6"/>
      <c r="I34" s="6"/>
      <c r="J34" s="6"/>
      <c r="K34" s="24" t="e">
        <f t="shared" si="1"/>
        <v>#DIV/0!</v>
      </c>
      <c r="L34" s="6"/>
      <c r="M34" s="6"/>
      <c r="N34" s="6"/>
      <c r="O34" s="26" t="e">
        <f t="shared" si="2"/>
        <v>#DIV/0!</v>
      </c>
    </row>
    <row r="35" spans="1:15" ht="18" customHeight="1">
      <c r="A35" s="58">
        <f>Page1!A34</f>
        <v>0</v>
      </c>
      <c r="B35" s="59">
        <f>Page1!B34</f>
        <v>0</v>
      </c>
      <c r="C35" s="59">
        <f>Page1!C34</f>
        <v>0</v>
      </c>
      <c r="D35" s="83"/>
      <c r="E35" s="83"/>
      <c r="F35" s="83"/>
      <c r="G35" s="22" t="e">
        <f>AVERAGE(D35:F35)</f>
        <v>#DIV/0!</v>
      </c>
      <c r="H35" s="6"/>
      <c r="I35" s="6"/>
      <c r="J35" s="6"/>
      <c r="K35" s="24" t="e">
        <f t="shared" si="1"/>
        <v>#DIV/0!</v>
      </c>
      <c r="L35" s="6"/>
      <c r="M35" s="6"/>
      <c r="N35" s="6"/>
      <c r="O35" s="26" t="e">
        <f t="shared" si="2"/>
        <v>#DIV/0!</v>
      </c>
    </row>
    <row r="36" spans="1:15" ht="18" customHeight="1">
      <c r="A36" s="58">
        <f>Page1!A35</f>
        <v>0</v>
      </c>
      <c r="B36" s="59">
        <f>Page1!B35</f>
        <v>0</v>
      </c>
      <c r="C36" s="59">
        <f>Page1!C35</f>
        <v>0</v>
      </c>
      <c r="D36" s="83"/>
      <c r="E36" s="83"/>
      <c r="F36" s="83"/>
      <c r="G36" s="22" t="e">
        <f>AVERAGE(D36:F36)</f>
        <v>#DIV/0!</v>
      </c>
      <c r="H36" s="6"/>
      <c r="I36" s="6"/>
      <c r="J36" s="6"/>
      <c r="K36" s="24" t="e">
        <f t="shared" si="1"/>
        <v>#DIV/0!</v>
      </c>
      <c r="L36" s="6"/>
      <c r="M36" s="6"/>
      <c r="N36" s="6"/>
      <c r="O36" s="26" t="e">
        <f t="shared" si="2"/>
        <v>#DIV/0!</v>
      </c>
    </row>
    <row r="37" spans="1:15" ht="18" customHeight="1">
      <c r="A37" s="58">
        <f>Page1!A36</f>
        <v>0</v>
      </c>
      <c r="B37" s="59">
        <f>Page1!B36</f>
        <v>0</v>
      </c>
      <c r="C37" s="59">
        <f>Page1!C36</f>
        <v>0</v>
      </c>
      <c r="D37" s="83"/>
      <c r="E37" s="83"/>
      <c r="F37" s="83"/>
      <c r="G37" s="22" t="e">
        <f>AVERAGE(D37:F37)</f>
        <v>#DIV/0!</v>
      </c>
      <c r="H37" s="6"/>
      <c r="I37" s="6"/>
      <c r="J37" s="6"/>
      <c r="K37" s="24" t="e">
        <f t="shared" si="1"/>
        <v>#DIV/0!</v>
      </c>
      <c r="L37" s="6"/>
      <c r="M37" s="6"/>
      <c r="N37" s="6"/>
      <c r="O37" s="26" t="e">
        <f t="shared" si="2"/>
        <v>#DIV/0!</v>
      </c>
    </row>
    <row r="38" spans="1:15" ht="18" customHeight="1" thickBot="1">
      <c r="A38" s="58">
        <f>Page1!A37</f>
        <v>0</v>
      </c>
      <c r="B38" s="59">
        <f>Page1!B37</f>
        <v>0</v>
      </c>
      <c r="C38" s="59">
        <f>Page1!C37</f>
        <v>0</v>
      </c>
      <c r="D38" s="83"/>
      <c r="E38" s="83"/>
      <c r="F38" s="83"/>
      <c r="G38" s="22" t="e">
        <f t="shared" si="0"/>
        <v>#DIV/0!</v>
      </c>
      <c r="H38" s="6"/>
      <c r="I38" s="6"/>
      <c r="J38" s="6"/>
      <c r="K38" s="24" t="e">
        <f t="shared" si="1"/>
        <v>#DIV/0!</v>
      </c>
      <c r="L38" s="6"/>
      <c r="M38" s="6"/>
      <c r="N38" s="6"/>
      <c r="O38" s="26" t="e">
        <f t="shared" si="2"/>
        <v>#DIV/0!</v>
      </c>
    </row>
    <row r="39" spans="1:15" s="38" customFormat="1" ht="18" customHeight="1">
      <c r="A39" s="36"/>
      <c r="B39" s="37"/>
      <c r="C39" s="37" t="s">
        <v>19</v>
      </c>
      <c r="D39" s="270" t="e">
        <f>AVERAGE(G9:G38)</f>
        <v>#DIV/0!</v>
      </c>
      <c r="E39" s="271"/>
      <c r="F39" s="271"/>
      <c r="G39" s="272"/>
      <c r="H39" s="273" t="e">
        <f>AVERAGE(K9:K38)</f>
        <v>#DIV/0!</v>
      </c>
      <c r="I39" s="274"/>
      <c r="J39" s="274"/>
      <c r="K39" s="275"/>
      <c r="L39" s="273" t="e">
        <f>AVERAGE(O9:O38)</f>
        <v>#DIV/0!</v>
      </c>
      <c r="M39" s="274"/>
      <c r="N39" s="274"/>
      <c r="O39" s="276"/>
    </row>
    <row r="40" spans="1:15" s="38" customFormat="1" ht="18" customHeight="1">
      <c r="A40" s="39"/>
      <c r="B40" s="40"/>
      <c r="C40" s="34" t="s">
        <v>20</v>
      </c>
      <c r="D40" s="277" t="e">
        <f>MIN(G9:G38)</f>
        <v>#DIV/0!</v>
      </c>
      <c r="E40" s="278"/>
      <c r="F40" s="278"/>
      <c r="G40" s="279"/>
      <c r="H40" s="280" t="e">
        <f>MIN(K9:K38)</f>
        <v>#DIV/0!</v>
      </c>
      <c r="I40" s="281"/>
      <c r="J40" s="281"/>
      <c r="K40" s="282"/>
      <c r="L40" s="280" t="e">
        <f>MIN(O9:O38)</f>
        <v>#DIV/0!</v>
      </c>
      <c r="M40" s="281"/>
      <c r="N40" s="281"/>
      <c r="O40" s="283"/>
    </row>
    <row r="41" spans="1:15" s="38" customFormat="1" ht="18" customHeight="1" thickBot="1">
      <c r="A41" s="41"/>
      <c r="B41" s="42"/>
      <c r="C41" s="43" t="s">
        <v>21</v>
      </c>
      <c r="D41" s="263" t="e">
        <f>MAX(G9:G38)</f>
        <v>#DIV/0!</v>
      </c>
      <c r="E41" s="264"/>
      <c r="F41" s="264"/>
      <c r="G41" s="265"/>
      <c r="H41" s="266" t="e">
        <f>MAX(K9:K38)</f>
        <v>#DIV/0!</v>
      </c>
      <c r="I41" s="267"/>
      <c r="J41" s="267"/>
      <c r="K41" s="268"/>
      <c r="L41" s="266" t="e">
        <f>MAX(O9:O38)</f>
        <v>#DIV/0!</v>
      </c>
      <c r="M41" s="267"/>
      <c r="N41" s="267"/>
      <c r="O41" s="269"/>
    </row>
    <row r="42" spans="1:15" s="4" customFormat="1" ht="15.75" customHeight="1">
      <c r="A42" s="21" t="s">
        <v>11</v>
      </c>
      <c r="B42" s="223"/>
      <c r="C42" s="223"/>
      <c r="D42" s="224" t="s">
        <v>13</v>
      </c>
      <c r="E42" s="224"/>
      <c r="F42" s="224"/>
      <c r="G42" s="224"/>
      <c r="H42" s="21"/>
      <c r="I42" s="21"/>
      <c r="J42" s="21"/>
      <c r="K42" s="207" t="s">
        <v>14</v>
      </c>
      <c r="L42" s="207"/>
      <c r="M42" s="223"/>
      <c r="N42" s="223"/>
      <c r="O42" s="92" t="s">
        <v>15</v>
      </c>
    </row>
    <row r="43" spans="1:15" s="1" customFormat="1" ht="15.75" customHeight="1">
      <c r="A43" s="70"/>
      <c r="B43" s="179"/>
      <c r="C43" s="179"/>
      <c r="D43" s="63"/>
      <c r="E43" s="63"/>
      <c r="F43" s="70"/>
      <c r="G43" s="52"/>
      <c r="H43" s="52"/>
      <c r="I43" s="52"/>
      <c r="J43" s="52"/>
      <c r="K43" s="85"/>
      <c r="L43" s="85"/>
      <c r="M43" s="225"/>
      <c r="N43" s="225"/>
      <c r="O43" s="85"/>
    </row>
    <row r="44" spans="1:15" s="4" customFormat="1" ht="15.75" customHeight="1">
      <c r="A44" s="206" t="s">
        <v>12</v>
      </c>
      <c r="B44" s="206"/>
      <c r="C44" s="206"/>
      <c r="D44" s="21"/>
      <c r="E44" s="1"/>
      <c r="F44" s="1"/>
      <c r="G44" s="66" t="str">
        <f>Page1!G43</f>
        <v>Reference:</v>
      </c>
      <c r="H44" s="178" t="str">
        <f>Page1!H43</f>
        <v>MRMP: 00004833.002 GCAS:21088174.001</v>
      </c>
      <c r="I44" s="178"/>
      <c r="J44" s="178"/>
      <c r="K44" s="1"/>
      <c r="L44" s="1"/>
      <c r="M44" s="21"/>
      <c r="N44" s="21"/>
      <c r="O44" s="21"/>
    </row>
    <row r="45" spans="1:15" s="4" customFormat="1" ht="15.75" customHeight="1">
      <c r="A45" s="206" t="s">
        <v>17</v>
      </c>
      <c r="B45" s="206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08" t="s">
        <v>43</v>
      </c>
      <c r="O45" s="208"/>
    </row>
  </sheetData>
  <mergeCells count="41">
    <mergeCell ref="A44:C44"/>
    <mergeCell ref="B43:C43"/>
    <mergeCell ref="M43:N43"/>
    <mergeCell ref="L41:O41"/>
    <mergeCell ref="D39:G39"/>
    <mergeCell ref="H39:K39"/>
    <mergeCell ref="L39:O39"/>
    <mergeCell ref="D40:G40"/>
    <mergeCell ref="H40:K40"/>
    <mergeCell ref="L40:O40"/>
    <mergeCell ref="B42:C42"/>
    <mergeCell ref="D42:G42"/>
    <mergeCell ref="M42:N42"/>
    <mergeCell ref="N5:O5"/>
    <mergeCell ref="K42:L42"/>
    <mergeCell ref="N45:O45"/>
    <mergeCell ref="A1:M1"/>
    <mergeCell ref="A2:M3"/>
    <mergeCell ref="A45:B45"/>
    <mergeCell ref="A6:C6"/>
    <mergeCell ref="D6:O6"/>
    <mergeCell ref="A7:C8"/>
    <mergeCell ref="D7:G7"/>
    <mergeCell ref="H7:K7"/>
    <mergeCell ref="L7:O7"/>
    <mergeCell ref="D41:G41"/>
    <mergeCell ref="H41:K41"/>
    <mergeCell ref="H44:J44"/>
    <mergeCell ref="N1:O1"/>
    <mergeCell ref="N2:O2"/>
    <mergeCell ref="B4:D4"/>
    <mergeCell ref="E4:F4"/>
    <mergeCell ref="G4:H4"/>
    <mergeCell ref="J4:K4"/>
    <mergeCell ref="L4:M4"/>
    <mergeCell ref="N4:O4"/>
    <mergeCell ref="B5:D5"/>
    <mergeCell ref="E5:F5"/>
    <mergeCell ref="G5:H5"/>
    <mergeCell ref="J5:K5"/>
    <mergeCell ref="L5:M5"/>
  </mergeCells>
  <conditionalFormatting sqref="D9:G41">
    <cfRule type="cellIs" dxfId="6" priority="5" operator="lessThan">
      <formula>400</formula>
    </cfRule>
  </conditionalFormatting>
  <conditionalFormatting sqref="H9:K41">
    <cfRule type="cellIs" dxfId="5" priority="1" operator="lessThan">
      <formula>6</formula>
    </cfRule>
  </conditionalFormatting>
  <conditionalFormatting sqref="L9:O41">
    <cfRule type="cellIs" dxfId="4" priority="4" operator="notBetween">
      <formula>20</formula>
      <formula>40</formula>
    </cfRule>
  </conditionalFormatting>
  <dataValidations count="1">
    <dataValidation type="textLength" allowBlank="1" showInputMessage="1" showErrorMessage="1" sqref="A1:M3 A42:A43 N3 A4:A5 E4:F5 I4:I5 L4:M5 D7:O8 A6:C38 G9:G38 K9:K38 O9:O38 A39:O41 D42:G42 D43:E43 K42:L43 N1:O2 O42:O43 A44:A45 D44:O45 B45:C45" xr:uid="{A24E62CC-CB0E-454E-88E1-8FD1FE40E2CF}">
      <formula1>0</formula1>
      <formula2>0</formula2>
    </dataValidation>
  </dataValidations>
  <pageMargins left="0.39370078740157483" right="0" top="0.39370078740157483" bottom="0" header="0" footer="0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DA05-19F0-4BA4-9019-69776A05B62A}">
  <sheetPr>
    <pageSetUpPr fitToPage="1"/>
  </sheetPr>
  <dimension ref="A1:O71"/>
  <sheetViews>
    <sheetView view="pageBreakPreview" zoomScaleNormal="100" zoomScaleSheetLayoutView="100" workbookViewId="0">
      <selection activeCell="A9" sqref="A9"/>
    </sheetView>
  </sheetViews>
  <sheetFormatPr defaultColWidth="9.140625" defaultRowHeight="12.75"/>
  <cols>
    <col min="1" max="3" width="14" style="35" customWidth="1"/>
    <col min="4" max="15" width="14.28515625" style="35" customWidth="1"/>
    <col min="16" max="16384" width="9.140625" style="35"/>
  </cols>
  <sheetData>
    <row r="1" spans="1:15" s="32" customFormat="1" ht="15.75" customHeight="1">
      <c r="A1" s="250" t="s">
        <v>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170" t="s">
        <v>22</v>
      </c>
      <c r="O1" s="170"/>
    </row>
    <row r="2" spans="1:15" s="32" customFormat="1" ht="15.75" customHeight="1">
      <c r="A2" s="151" t="s">
        <v>10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71" t="s">
        <v>23</v>
      </c>
      <c r="O2" s="171"/>
    </row>
    <row r="3" spans="1:15" s="32" customFormat="1" ht="16.5" thickBo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66" t="s">
        <v>16</v>
      </c>
      <c r="O3" s="63"/>
    </row>
    <row r="4" spans="1:15" s="5" customFormat="1" ht="23.25" customHeight="1">
      <c r="A4" s="28" t="s">
        <v>1</v>
      </c>
      <c r="B4" s="201">
        <f>Page1!C4</f>
        <v>0</v>
      </c>
      <c r="C4" s="202"/>
      <c r="D4" s="203"/>
      <c r="E4" s="168" t="s">
        <v>3</v>
      </c>
      <c r="F4" s="169"/>
      <c r="G4" s="201">
        <f>Page1!H4</f>
        <v>0</v>
      </c>
      <c r="H4" s="203"/>
      <c r="I4" s="29" t="s">
        <v>5</v>
      </c>
      <c r="J4" s="204">
        <f>Page1!K4</f>
        <v>0</v>
      </c>
      <c r="K4" s="204"/>
      <c r="L4" s="161" t="s">
        <v>7</v>
      </c>
      <c r="M4" s="161"/>
      <c r="N4" s="284">
        <f>Page1!N4</f>
        <v>0</v>
      </c>
      <c r="O4" s="285"/>
    </row>
    <row r="5" spans="1:15" s="5" customFormat="1" ht="23.25" customHeight="1" thickBot="1">
      <c r="A5" s="30" t="s">
        <v>2</v>
      </c>
      <c r="B5" s="142">
        <f>Page1!C5</f>
        <v>0</v>
      </c>
      <c r="C5" s="227"/>
      <c r="D5" s="146"/>
      <c r="E5" s="228" t="s">
        <v>4</v>
      </c>
      <c r="F5" s="229"/>
      <c r="G5" s="142">
        <f>Page1!H5</f>
        <v>0</v>
      </c>
      <c r="H5" s="146"/>
      <c r="I5" s="31" t="s">
        <v>6</v>
      </c>
      <c r="J5" s="141">
        <f>Page1!K5</f>
        <v>0</v>
      </c>
      <c r="K5" s="141"/>
      <c r="L5" s="226" t="s">
        <v>8</v>
      </c>
      <c r="M5" s="226"/>
      <c r="N5" s="286">
        <f>Page1!N5</f>
        <v>0</v>
      </c>
      <c r="O5" s="180"/>
    </row>
    <row r="6" spans="1:15" s="33" customFormat="1" ht="16.5" customHeight="1" thickBot="1">
      <c r="A6" s="287" t="s">
        <v>24</v>
      </c>
      <c r="B6" s="288"/>
      <c r="C6" s="288"/>
      <c r="D6" s="289"/>
      <c r="E6" s="289"/>
      <c r="F6" s="289"/>
      <c r="G6" s="290"/>
      <c r="H6" s="304"/>
      <c r="I6" s="290"/>
      <c r="J6" s="294"/>
      <c r="K6" s="302"/>
      <c r="L6" s="302"/>
      <c r="M6" s="302"/>
      <c r="N6" s="302"/>
      <c r="O6" s="295"/>
    </row>
    <row r="7" spans="1:15" s="38" customFormat="1" ht="30" customHeight="1">
      <c r="A7" s="293" t="s">
        <v>0</v>
      </c>
      <c r="B7" s="204"/>
      <c r="C7" s="204"/>
      <c r="D7" s="202" t="s">
        <v>44</v>
      </c>
      <c r="E7" s="202"/>
      <c r="F7" s="202"/>
      <c r="G7" s="202"/>
      <c r="H7" s="294" t="s">
        <v>45</v>
      </c>
      <c r="I7" s="295"/>
      <c r="J7" s="233"/>
      <c r="K7" s="208"/>
      <c r="L7" s="208"/>
      <c r="M7" s="208"/>
      <c r="N7" s="208"/>
      <c r="O7" s="303"/>
    </row>
    <row r="8" spans="1:15" s="38" customFormat="1" ht="30" customHeight="1" thickBot="1">
      <c r="A8" s="140"/>
      <c r="B8" s="141"/>
      <c r="C8" s="141"/>
      <c r="D8" s="95">
        <v>1</v>
      </c>
      <c r="E8" s="96">
        <v>2</v>
      </c>
      <c r="F8" s="96">
        <v>3</v>
      </c>
      <c r="G8" s="97" t="s">
        <v>38</v>
      </c>
      <c r="H8" s="235"/>
      <c r="I8" s="296"/>
      <c r="J8" s="233"/>
      <c r="K8" s="208"/>
      <c r="L8" s="208"/>
      <c r="M8" s="208"/>
      <c r="N8" s="208"/>
      <c r="O8" s="303"/>
    </row>
    <row r="9" spans="1:15" ht="18" customHeight="1">
      <c r="A9" s="58">
        <f>Page1!A8</f>
        <v>0</v>
      </c>
      <c r="B9" s="59">
        <f>Page1!B8</f>
        <v>0</v>
      </c>
      <c r="C9" s="59">
        <f>Page1!C8</f>
        <v>0</v>
      </c>
      <c r="D9" s="61"/>
      <c r="E9" s="44"/>
      <c r="F9" s="44"/>
      <c r="G9" s="45" t="e">
        <f t="shared" ref="G9:G38" si="0">AVERAGE(D9:F9)</f>
        <v>#DIV/0!</v>
      </c>
      <c r="H9" s="297">
        <v>0</v>
      </c>
      <c r="I9" s="298"/>
      <c r="J9" s="233"/>
      <c r="K9" s="208"/>
      <c r="L9" s="208"/>
      <c r="M9" s="208"/>
      <c r="N9" s="208"/>
      <c r="O9" s="303"/>
    </row>
    <row r="10" spans="1:15" ht="18" customHeight="1">
      <c r="A10" s="58">
        <f>Page1!A9</f>
        <v>0</v>
      </c>
      <c r="B10" s="59">
        <f>Page1!B9</f>
        <v>0</v>
      </c>
      <c r="C10" s="59">
        <f>Page1!C9</f>
        <v>0</v>
      </c>
      <c r="D10" s="6"/>
      <c r="E10" s="6"/>
      <c r="F10" s="6"/>
      <c r="G10" s="45" t="e">
        <f t="shared" si="0"/>
        <v>#DIV/0!</v>
      </c>
      <c r="H10" s="291">
        <v>0</v>
      </c>
      <c r="I10" s="292"/>
      <c r="J10" s="233"/>
      <c r="K10" s="208"/>
      <c r="L10" s="208"/>
      <c r="M10" s="208"/>
      <c r="N10" s="208"/>
      <c r="O10" s="303"/>
    </row>
    <row r="11" spans="1:15" ht="18" customHeight="1">
      <c r="A11" s="58">
        <f>Page1!A10</f>
        <v>0</v>
      </c>
      <c r="B11" s="59">
        <f>Page1!B10</f>
        <v>0</v>
      </c>
      <c r="C11" s="59">
        <f>Page1!C10</f>
        <v>0</v>
      </c>
      <c r="D11" s="44"/>
      <c r="E11" s="44"/>
      <c r="F11" s="44"/>
      <c r="G11" s="45" t="e">
        <f t="shared" si="0"/>
        <v>#DIV/0!</v>
      </c>
      <c r="H11" s="291">
        <v>0</v>
      </c>
      <c r="I11" s="292"/>
      <c r="J11" s="233"/>
      <c r="K11" s="208"/>
      <c r="L11" s="208"/>
      <c r="M11" s="208"/>
      <c r="N11" s="208"/>
      <c r="O11" s="303"/>
    </row>
    <row r="12" spans="1:15" ht="18" customHeight="1">
      <c r="A12" s="58">
        <f>Page1!A11</f>
        <v>0</v>
      </c>
      <c r="B12" s="59">
        <f>Page1!B11</f>
        <v>0</v>
      </c>
      <c r="C12" s="59">
        <f>Page1!C11</f>
        <v>0</v>
      </c>
      <c r="D12" s="6"/>
      <c r="E12" s="6"/>
      <c r="F12" s="6"/>
      <c r="G12" s="45" t="e">
        <f t="shared" si="0"/>
        <v>#DIV/0!</v>
      </c>
      <c r="H12" s="291">
        <v>0</v>
      </c>
      <c r="I12" s="292"/>
      <c r="J12" s="233"/>
      <c r="K12" s="208"/>
      <c r="L12" s="208"/>
      <c r="M12" s="208"/>
      <c r="N12" s="208"/>
      <c r="O12" s="303"/>
    </row>
    <row r="13" spans="1:15" ht="18" customHeight="1">
      <c r="A13" s="58">
        <f>Page1!A12</f>
        <v>0</v>
      </c>
      <c r="B13" s="59">
        <f>Page1!B12</f>
        <v>0</v>
      </c>
      <c r="C13" s="59">
        <f>Page1!C12</f>
        <v>0</v>
      </c>
      <c r="D13" s="46"/>
      <c r="E13" s="46"/>
      <c r="F13" s="46"/>
      <c r="G13" s="45" t="e">
        <f t="shared" si="0"/>
        <v>#DIV/0!</v>
      </c>
      <c r="H13" s="291">
        <v>0</v>
      </c>
      <c r="I13" s="292"/>
      <c r="J13" s="233"/>
      <c r="K13" s="208"/>
      <c r="L13" s="208"/>
      <c r="M13" s="208"/>
      <c r="N13" s="208"/>
      <c r="O13" s="303"/>
    </row>
    <row r="14" spans="1:15" ht="18" customHeight="1">
      <c r="A14" s="58">
        <f>Page1!A13</f>
        <v>0</v>
      </c>
      <c r="B14" s="59">
        <f>Page1!B13</f>
        <v>0</v>
      </c>
      <c r="C14" s="59">
        <f>Page1!C13</f>
        <v>0</v>
      </c>
      <c r="D14" s="6"/>
      <c r="E14" s="6"/>
      <c r="F14" s="6"/>
      <c r="G14" s="45" t="e">
        <f t="shared" si="0"/>
        <v>#DIV/0!</v>
      </c>
      <c r="H14" s="291">
        <v>0</v>
      </c>
      <c r="I14" s="292"/>
      <c r="J14" s="233"/>
      <c r="K14" s="208"/>
      <c r="L14" s="208"/>
      <c r="M14" s="208"/>
      <c r="N14" s="208"/>
      <c r="O14" s="303"/>
    </row>
    <row r="15" spans="1:15" ht="18" customHeight="1">
      <c r="A15" s="58">
        <f>Page1!A14</f>
        <v>0</v>
      </c>
      <c r="B15" s="59">
        <f>Page1!B14</f>
        <v>0</v>
      </c>
      <c r="C15" s="59">
        <f>Page1!C14</f>
        <v>0</v>
      </c>
      <c r="D15" s="44"/>
      <c r="E15" s="44"/>
      <c r="F15" s="44"/>
      <c r="G15" s="45" t="e">
        <f t="shared" si="0"/>
        <v>#DIV/0!</v>
      </c>
      <c r="H15" s="291">
        <v>0</v>
      </c>
      <c r="I15" s="292"/>
      <c r="J15" s="233"/>
      <c r="K15" s="208"/>
      <c r="L15" s="208"/>
      <c r="M15" s="208"/>
      <c r="N15" s="208"/>
      <c r="O15" s="303"/>
    </row>
    <row r="16" spans="1:15" ht="18" customHeight="1">
      <c r="A16" s="58">
        <f>Page1!A15</f>
        <v>0</v>
      </c>
      <c r="B16" s="59">
        <f>Page1!B15</f>
        <v>0</v>
      </c>
      <c r="C16" s="59">
        <f>Page1!C15</f>
        <v>0</v>
      </c>
      <c r="D16" s="44"/>
      <c r="E16" s="44"/>
      <c r="F16" s="44"/>
      <c r="G16" s="45" t="e">
        <f t="shared" si="0"/>
        <v>#DIV/0!</v>
      </c>
      <c r="H16" s="291">
        <v>0</v>
      </c>
      <c r="I16" s="292"/>
      <c r="J16" s="233"/>
      <c r="K16" s="208"/>
      <c r="L16" s="208"/>
      <c r="M16" s="208"/>
      <c r="N16" s="208"/>
      <c r="O16" s="303"/>
    </row>
    <row r="17" spans="1:15" ht="18" customHeight="1">
      <c r="A17" s="58">
        <f>Page1!A16</f>
        <v>0</v>
      </c>
      <c r="B17" s="59">
        <f>Page1!B16</f>
        <v>0</v>
      </c>
      <c r="C17" s="59">
        <f>Page1!C16</f>
        <v>0</v>
      </c>
      <c r="D17" s="6"/>
      <c r="E17" s="6"/>
      <c r="F17" s="6"/>
      <c r="G17" s="45" t="e">
        <f t="shared" si="0"/>
        <v>#DIV/0!</v>
      </c>
      <c r="H17" s="291">
        <v>0</v>
      </c>
      <c r="I17" s="292"/>
      <c r="J17" s="233"/>
      <c r="K17" s="208"/>
      <c r="L17" s="208"/>
      <c r="M17" s="208"/>
      <c r="N17" s="208"/>
      <c r="O17" s="303"/>
    </row>
    <row r="18" spans="1:15" ht="18" customHeight="1">
      <c r="A18" s="58">
        <f>Page1!A17</f>
        <v>0</v>
      </c>
      <c r="B18" s="59">
        <f>Page1!B17</f>
        <v>0</v>
      </c>
      <c r="C18" s="59">
        <f>Page1!C17</f>
        <v>0</v>
      </c>
      <c r="D18" s="44"/>
      <c r="E18" s="44"/>
      <c r="F18" s="44"/>
      <c r="G18" s="45" t="e">
        <f t="shared" si="0"/>
        <v>#DIV/0!</v>
      </c>
      <c r="H18" s="291">
        <v>0</v>
      </c>
      <c r="I18" s="292"/>
      <c r="J18" s="233"/>
      <c r="K18" s="208"/>
      <c r="L18" s="208"/>
      <c r="M18" s="208"/>
      <c r="N18" s="208"/>
      <c r="O18" s="303"/>
    </row>
    <row r="19" spans="1:15" ht="18" customHeight="1">
      <c r="A19" s="58">
        <f>Page1!A18</f>
        <v>0</v>
      </c>
      <c r="B19" s="59">
        <f>Page1!B18</f>
        <v>0</v>
      </c>
      <c r="C19" s="59">
        <f>Page1!C18</f>
        <v>0</v>
      </c>
      <c r="D19" s="44"/>
      <c r="E19" s="44"/>
      <c r="F19" s="44"/>
      <c r="G19" s="45" t="e">
        <f t="shared" si="0"/>
        <v>#DIV/0!</v>
      </c>
      <c r="H19" s="291">
        <v>0</v>
      </c>
      <c r="I19" s="292"/>
      <c r="J19" s="233"/>
      <c r="K19" s="208"/>
      <c r="L19" s="208"/>
      <c r="M19" s="208"/>
      <c r="N19" s="208"/>
      <c r="O19" s="303"/>
    </row>
    <row r="20" spans="1:15" ht="18" customHeight="1">
      <c r="A20" s="58">
        <f>Page1!A19</f>
        <v>0</v>
      </c>
      <c r="B20" s="59">
        <f>Page1!B19</f>
        <v>0</v>
      </c>
      <c r="C20" s="59">
        <f>Page1!C19</f>
        <v>0</v>
      </c>
      <c r="D20" s="6"/>
      <c r="E20" s="6"/>
      <c r="F20" s="6"/>
      <c r="G20" s="45" t="e">
        <f t="shared" si="0"/>
        <v>#DIV/0!</v>
      </c>
      <c r="H20" s="291">
        <v>0</v>
      </c>
      <c r="I20" s="292"/>
      <c r="J20" s="233"/>
      <c r="K20" s="208"/>
      <c r="L20" s="208"/>
      <c r="M20" s="208"/>
      <c r="N20" s="208"/>
      <c r="O20" s="303"/>
    </row>
    <row r="21" spans="1:15" ht="18" customHeight="1">
      <c r="A21" s="58">
        <f>Page1!A20</f>
        <v>0</v>
      </c>
      <c r="B21" s="59">
        <f>Page1!B20</f>
        <v>0</v>
      </c>
      <c r="C21" s="59">
        <f>Page1!C20</f>
        <v>0</v>
      </c>
      <c r="D21" s="44"/>
      <c r="E21" s="44"/>
      <c r="F21" s="44"/>
      <c r="G21" s="45" t="e">
        <f t="shared" si="0"/>
        <v>#DIV/0!</v>
      </c>
      <c r="H21" s="291">
        <v>0</v>
      </c>
      <c r="I21" s="292"/>
      <c r="J21" s="233"/>
      <c r="K21" s="208"/>
      <c r="L21" s="208"/>
      <c r="M21" s="208"/>
      <c r="N21" s="208"/>
      <c r="O21" s="303"/>
    </row>
    <row r="22" spans="1:15" ht="18" customHeight="1">
      <c r="A22" s="58">
        <f>Page1!A21</f>
        <v>0</v>
      </c>
      <c r="B22" s="59">
        <f>Page1!B21</f>
        <v>0</v>
      </c>
      <c r="C22" s="59">
        <f>Page1!C21</f>
        <v>0</v>
      </c>
      <c r="D22" s="44"/>
      <c r="E22" s="44"/>
      <c r="F22" s="44"/>
      <c r="G22" s="45" t="e">
        <f t="shared" si="0"/>
        <v>#DIV/0!</v>
      </c>
      <c r="H22" s="291">
        <v>0</v>
      </c>
      <c r="I22" s="292"/>
      <c r="J22" s="233"/>
      <c r="K22" s="208"/>
      <c r="L22" s="208"/>
      <c r="M22" s="208"/>
      <c r="N22" s="208"/>
      <c r="O22" s="303"/>
    </row>
    <row r="23" spans="1:15" ht="18" customHeight="1">
      <c r="A23" s="58">
        <f>Page1!A22</f>
        <v>0</v>
      </c>
      <c r="B23" s="59">
        <f>Page1!B22</f>
        <v>0</v>
      </c>
      <c r="C23" s="59">
        <f>Page1!C22</f>
        <v>0</v>
      </c>
      <c r="D23" s="6"/>
      <c r="E23" s="6"/>
      <c r="F23" s="6"/>
      <c r="G23" s="45" t="e">
        <f t="shared" si="0"/>
        <v>#DIV/0!</v>
      </c>
      <c r="H23" s="291">
        <v>0</v>
      </c>
      <c r="I23" s="292"/>
      <c r="J23" s="233"/>
      <c r="K23" s="208"/>
      <c r="L23" s="208"/>
      <c r="M23" s="208"/>
      <c r="N23" s="208"/>
      <c r="O23" s="303"/>
    </row>
    <row r="24" spans="1:15" ht="18" customHeight="1">
      <c r="A24" s="58">
        <f>Page1!A23</f>
        <v>0</v>
      </c>
      <c r="B24" s="59">
        <f>Page1!B23</f>
        <v>0</v>
      </c>
      <c r="C24" s="59">
        <f>Page1!C23</f>
        <v>0</v>
      </c>
      <c r="D24" s="44"/>
      <c r="E24" s="44"/>
      <c r="F24" s="44"/>
      <c r="G24" s="45" t="e">
        <f t="shared" si="0"/>
        <v>#DIV/0!</v>
      </c>
      <c r="H24" s="291">
        <v>0</v>
      </c>
      <c r="I24" s="292"/>
      <c r="J24" s="233"/>
      <c r="K24" s="208"/>
      <c r="L24" s="208"/>
      <c r="M24" s="208"/>
      <c r="N24" s="208"/>
      <c r="O24" s="303"/>
    </row>
    <row r="25" spans="1:15" ht="18" customHeight="1">
      <c r="A25" s="58">
        <f>Page1!A24</f>
        <v>0</v>
      </c>
      <c r="B25" s="59">
        <f>Page1!B24</f>
        <v>0</v>
      </c>
      <c r="C25" s="59">
        <f>Page1!C24</f>
        <v>0</v>
      </c>
      <c r="D25" s="6"/>
      <c r="E25" s="6"/>
      <c r="F25" s="6"/>
      <c r="G25" s="47" t="e">
        <f t="shared" si="0"/>
        <v>#DIV/0!</v>
      </c>
      <c r="H25" s="291">
        <v>0</v>
      </c>
      <c r="I25" s="292"/>
      <c r="J25" s="233"/>
      <c r="K25" s="208"/>
      <c r="L25" s="208"/>
      <c r="M25" s="208"/>
      <c r="N25" s="208"/>
      <c r="O25" s="303"/>
    </row>
    <row r="26" spans="1:15" ht="18" customHeight="1">
      <c r="A26" s="58">
        <f>Page1!A25</f>
        <v>0</v>
      </c>
      <c r="B26" s="59">
        <f>Page1!B25</f>
        <v>0</v>
      </c>
      <c r="C26" s="59">
        <f>Page1!C25</f>
        <v>0</v>
      </c>
      <c r="D26" s="46"/>
      <c r="E26" s="46"/>
      <c r="F26" s="46"/>
      <c r="G26" s="45" t="e">
        <f t="shared" si="0"/>
        <v>#DIV/0!</v>
      </c>
      <c r="H26" s="291">
        <v>0</v>
      </c>
      <c r="I26" s="292"/>
      <c r="J26" s="233"/>
      <c r="K26" s="208"/>
      <c r="L26" s="208"/>
      <c r="M26" s="208"/>
      <c r="N26" s="208"/>
      <c r="O26" s="303"/>
    </row>
    <row r="27" spans="1:15" ht="18" customHeight="1">
      <c r="A27" s="58">
        <f>Page1!A26</f>
        <v>0</v>
      </c>
      <c r="B27" s="59">
        <f>Page1!B26</f>
        <v>0</v>
      </c>
      <c r="C27" s="59">
        <f>Page1!C26</f>
        <v>0</v>
      </c>
      <c r="D27" s="6"/>
      <c r="E27" s="6"/>
      <c r="F27" s="6"/>
      <c r="G27" s="45" t="e">
        <f t="shared" si="0"/>
        <v>#DIV/0!</v>
      </c>
      <c r="H27" s="291">
        <v>0</v>
      </c>
      <c r="I27" s="292"/>
      <c r="J27" s="233"/>
      <c r="K27" s="208"/>
      <c r="L27" s="208"/>
      <c r="M27" s="208"/>
      <c r="N27" s="208"/>
      <c r="O27" s="303"/>
    </row>
    <row r="28" spans="1:15" ht="18" customHeight="1">
      <c r="A28" s="58">
        <f>Page1!A27</f>
        <v>0</v>
      </c>
      <c r="B28" s="59">
        <f>Page1!B27</f>
        <v>0</v>
      </c>
      <c r="C28" s="59">
        <f>Page1!C27</f>
        <v>0</v>
      </c>
      <c r="D28" s="44"/>
      <c r="E28" s="44"/>
      <c r="F28" s="44"/>
      <c r="G28" s="45" t="e">
        <f t="shared" si="0"/>
        <v>#DIV/0!</v>
      </c>
      <c r="H28" s="291">
        <v>0</v>
      </c>
      <c r="I28" s="292"/>
      <c r="J28" s="233"/>
      <c r="K28" s="208"/>
      <c r="L28" s="208"/>
      <c r="M28" s="208"/>
      <c r="N28" s="208"/>
      <c r="O28" s="303"/>
    </row>
    <row r="29" spans="1:15" ht="18" customHeight="1">
      <c r="A29" s="58">
        <f>Page1!A28</f>
        <v>0</v>
      </c>
      <c r="B29" s="59">
        <f>Page1!B28</f>
        <v>0</v>
      </c>
      <c r="C29" s="59">
        <f>Page1!C28</f>
        <v>0</v>
      </c>
      <c r="D29" s="44"/>
      <c r="E29" s="44"/>
      <c r="F29" s="44"/>
      <c r="G29" s="45" t="e">
        <f t="shared" si="0"/>
        <v>#DIV/0!</v>
      </c>
      <c r="H29" s="291">
        <v>0</v>
      </c>
      <c r="I29" s="292"/>
      <c r="J29" s="233"/>
      <c r="K29" s="208"/>
      <c r="L29" s="208"/>
      <c r="M29" s="208"/>
      <c r="N29" s="208"/>
      <c r="O29" s="303"/>
    </row>
    <row r="30" spans="1:15" ht="18" customHeight="1">
      <c r="A30" s="58">
        <f>Page1!A29</f>
        <v>0</v>
      </c>
      <c r="B30" s="59">
        <f>Page1!B29</f>
        <v>0</v>
      </c>
      <c r="C30" s="59">
        <f>Page1!C29</f>
        <v>0</v>
      </c>
      <c r="D30" s="6"/>
      <c r="E30" s="6"/>
      <c r="F30" s="6"/>
      <c r="G30" s="45" t="e">
        <f t="shared" si="0"/>
        <v>#DIV/0!</v>
      </c>
      <c r="H30" s="291">
        <v>0</v>
      </c>
      <c r="I30" s="292"/>
      <c r="J30" s="233"/>
      <c r="K30" s="208"/>
      <c r="L30" s="208"/>
      <c r="M30" s="208"/>
      <c r="N30" s="208"/>
      <c r="O30" s="303"/>
    </row>
    <row r="31" spans="1:15" ht="18" customHeight="1">
      <c r="A31" s="58">
        <f>Page1!A30</f>
        <v>0</v>
      </c>
      <c r="B31" s="59">
        <f>Page1!B30</f>
        <v>0</v>
      </c>
      <c r="C31" s="59">
        <f>Page1!C30</f>
        <v>0</v>
      </c>
      <c r="D31" s="44"/>
      <c r="E31" s="44"/>
      <c r="F31" s="44"/>
      <c r="G31" s="45" t="e">
        <f t="shared" si="0"/>
        <v>#DIV/0!</v>
      </c>
      <c r="H31" s="291">
        <v>0</v>
      </c>
      <c r="I31" s="292"/>
      <c r="J31" s="233"/>
      <c r="K31" s="208"/>
      <c r="L31" s="208"/>
      <c r="M31" s="208"/>
      <c r="N31" s="208"/>
      <c r="O31" s="303"/>
    </row>
    <row r="32" spans="1:15" ht="18" customHeight="1">
      <c r="A32" s="58">
        <f>Page1!A31</f>
        <v>0</v>
      </c>
      <c r="B32" s="59">
        <f>Page1!B31</f>
        <v>0</v>
      </c>
      <c r="C32" s="59">
        <f>Page1!C31</f>
        <v>0</v>
      </c>
      <c r="D32" s="44"/>
      <c r="E32" s="44"/>
      <c r="F32" s="44"/>
      <c r="G32" s="45" t="e">
        <f t="shared" si="0"/>
        <v>#DIV/0!</v>
      </c>
      <c r="H32" s="291">
        <v>0</v>
      </c>
      <c r="I32" s="292"/>
      <c r="J32" s="233"/>
      <c r="K32" s="208"/>
      <c r="L32" s="208"/>
      <c r="M32" s="208"/>
      <c r="N32" s="208"/>
      <c r="O32" s="303"/>
    </row>
    <row r="33" spans="1:15" ht="18" customHeight="1">
      <c r="A33" s="58">
        <f>Page1!A32</f>
        <v>0</v>
      </c>
      <c r="B33" s="59">
        <f>Page1!B32</f>
        <v>0</v>
      </c>
      <c r="C33" s="59">
        <f>Page1!C32</f>
        <v>0</v>
      </c>
      <c r="D33" s="6"/>
      <c r="E33" s="6"/>
      <c r="F33" s="6"/>
      <c r="G33" s="45" t="e">
        <f t="shared" si="0"/>
        <v>#DIV/0!</v>
      </c>
      <c r="H33" s="291">
        <v>0</v>
      </c>
      <c r="I33" s="292"/>
      <c r="J33" s="233"/>
      <c r="K33" s="208"/>
      <c r="L33" s="208"/>
      <c r="M33" s="208"/>
      <c r="N33" s="208"/>
      <c r="O33" s="303"/>
    </row>
    <row r="34" spans="1:15" ht="18" customHeight="1">
      <c r="A34" s="58">
        <f>Page1!A33</f>
        <v>0</v>
      </c>
      <c r="B34" s="59">
        <f>Page1!B33</f>
        <v>0</v>
      </c>
      <c r="C34" s="59">
        <f>Page1!C33</f>
        <v>0</v>
      </c>
      <c r="D34" s="44"/>
      <c r="E34" s="44"/>
      <c r="F34" s="44"/>
      <c r="G34" s="45" t="e">
        <f t="shared" si="0"/>
        <v>#DIV/0!</v>
      </c>
      <c r="H34" s="291">
        <v>0</v>
      </c>
      <c r="I34" s="292"/>
      <c r="J34" s="233"/>
      <c r="K34" s="208"/>
      <c r="L34" s="208"/>
      <c r="M34" s="208"/>
      <c r="N34" s="208"/>
      <c r="O34" s="303"/>
    </row>
    <row r="35" spans="1:15" ht="18" customHeight="1">
      <c r="A35" s="58">
        <f>Page1!A34</f>
        <v>0</v>
      </c>
      <c r="B35" s="59">
        <f>Page1!B34</f>
        <v>0</v>
      </c>
      <c r="C35" s="59">
        <f>Page1!C34</f>
        <v>0</v>
      </c>
      <c r="D35" s="44"/>
      <c r="E35" s="44"/>
      <c r="F35" s="44"/>
      <c r="G35" s="45" t="e">
        <f t="shared" si="0"/>
        <v>#DIV/0!</v>
      </c>
      <c r="H35" s="291">
        <v>0</v>
      </c>
      <c r="I35" s="292"/>
      <c r="J35" s="233"/>
      <c r="K35" s="208"/>
      <c r="L35" s="208"/>
      <c r="M35" s="208"/>
      <c r="N35" s="208"/>
      <c r="O35" s="303"/>
    </row>
    <row r="36" spans="1:15" ht="18" customHeight="1">
      <c r="A36" s="58">
        <f>Page1!A35</f>
        <v>0</v>
      </c>
      <c r="B36" s="59">
        <f>Page1!B35</f>
        <v>0</v>
      </c>
      <c r="C36" s="59">
        <f>Page1!C35</f>
        <v>0</v>
      </c>
      <c r="D36" s="6"/>
      <c r="E36" s="6"/>
      <c r="F36" s="6"/>
      <c r="G36" s="45" t="e">
        <f t="shared" si="0"/>
        <v>#DIV/0!</v>
      </c>
      <c r="H36" s="291">
        <v>0</v>
      </c>
      <c r="I36" s="292"/>
      <c r="J36" s="233"/>
      <c r="K36" s="208"/>
      <c r="L36" s="208"/>
      <c r="M36" s="208"/>
      <c r="N36" s="208"/>
      <c r="O36" s="303"/>
    </row>
    <row r="37" spans="1:15" ht="18" customHeight="1">
      <c r="A37" s="58">
        <f>Page1!A36</f>
        <v>0</v>
      </c>
      <c r="B37" s="59">
        <f>Page1!B36</f>
        <v>0</v>
      </c>
      <c r="C37" s="59">
        <f>Page1!C36</f>
        <v>0</v>
      </c>
      <c r="D37" s="44"/>
      <c r="E37" s="44"/>
      <c r="F37" s="44"/>
      <c r="G37" s="45" t="e">
        <f t="shared" si="0"/>
        <v>#DIV/0!</v>
      </c>
      <c r="H37" s="291">
        <v>0</v>
      </c>
      <c r="I37" s="292"/>
      <c r="J37" s="233"/>
      <c r="K37" s="208"/>
      <c r="L37" s="208"/>
      <c r="M37" s="208"/>
      <c r="N37" s="208"/>
      <c r="O37" s="303"/>
    </row>
    <row r="38" spans="1:15" ht="18" customHeight="1" thickBot="1">
      <c r="A38" s="58">
        <f>Page1!A37</f>
        <v>0</v>
      </c>
      <c r="B38" s="59">
        <f>Page1!B37</f>
        <v>0</v>
      </c>
      <c r="C38" s="59">
        <f>Page1!C37</f>
        <v>0</v>
      </c>
      <c r="D38" s="8"/>
      <c r="E38" s="44"/>
      <c r="F38" s="8"/>
      <c r="G38" s="48" t="e">
        <f t="shared" si="0"/>
        <v>#DIV/0!</v>
      </c>
      <c r="H38" s="305">
        <v>0</v>
      </c>
      <c r="I38" s="306"/>
      <c r="J38" s="233"/>
      <c r="K38" s="208"/>
      <c r="L38" s="208"/>
      <c r="M38" s="208"/>
      <c r="N38" s="208"/>
      <c r="O38" s="303"/>
    </row>
    <row r="39" spans="1:15" s="38" customFormat="1" ht="18" customHeight="1">
      <c r="A39" s="36"/>
      <c r="B39" s="37"/>
      <c r="C39" s="37" t="s">
        <v>19</v>
      </c>
      <c r="D39" s="273" t="e">
        <f>AVERAGE(G9:G38)</f>
        <v>#DIV/0!</v>
      </c>
      <c r="E39" s="274"/>
      <c r="F39" s="274"/>
      <c r="G39" s="276"/>
      <c r="H39" s="307">
        <f>AVERAGE(H9:I38)</f>
        <v>0</v>
      </c>
      <c r="I39" s="308"/>
      <c r="J39" s="233"/>
      <c r="K39" s="208"/>
      <c r="L39" s="208"/>
      <c r="M39" s="208"/>
      <c r="N39" s="208"/>
      <c r="O39" s="303"/>
    </row>
    <row r="40" spans="1:15" s="38" customFormat="1" ht="18" customHeight="1">
      <c r="A40" s="39"/>
      <c r="B40" s="34"/>
      <c r="C40" s="34" t="s">
        <v>20</v>
      </c>
      <c r="D40" s="280" t="e">
        <f>MIN(G9:G38)</f>
        <v>#DIV/0!</v>
      </c>
      <c r="E40" s="281"/>
      <c r="F40" s="281"/>
      <c r="G40" s="283"/>
      <c r="H40" s="309">
        <f>MIN(I9:I38)</f>
        <v>0</v>
      </c>
      <c r="I40" s="310"/>
      <c r="J40" s="233"/>
      <c r="K40" s="208"/>
      <c r="L40" s="208"/>
      <c r="M40" s="208"/>
      <c r="N40" s="208"/>
      <c r="O40" s="303"/>
    </row>
    <row r="41" spans="1:15" s="38" customFormat="1" ht="18" customHeight="1" thickBot="1">
      <c r="A41" s="41"/>
      <c r="B41" s="43"/>
      <c r="C41" s="43" t="s">
        <v>21</v>
      </c>
      <c r="D41" s="266" t="e">
        <f>MAX(G9:G38)</f>
        <v>#DIV/0!</v>
      </c>
      <c r="E41" s="267"/>
      <c r="F41" s="267"/>
      <c r="G41" s="269"/>
      <c r="H41" s="300">
        <f>MAX(I9:I38)</f>
        <v>0</v>
      </c>
      <c r="I41" s="301"/>
      <c r="J41" s="235"/>
      <c r="K41" s="236"/>
      <c r="L41" s="236"/>
      <c r="M41" s="236"/>
      <c r="N41" s="236"/>
      <c r="O41" s="296"/>
    </row>
    <row r="42" spans="1:15" s="4" customFormat="1" ht="15.75" customHeight="1">
      <c r="A42" s="21" t="s">
        <v>11</v>
      </c>
      <c r="B42" s="223"/>
      <c r="C42" s="223"/>
      <c r="D42" s="224" t="s">
        <v>13</v>
      </c>
      <c r="E42" s="224"/>
      <c r="F42" s="224"/>
      <c r="G42" s="224"/>
      <c r="H42" s="21"/>
      <c r="I42" s="21"/>
      <c r="J42" s="21"/>
      <c r="K42" s="207" t="s">
        <v>14</v>
      </c>
      <c r="L42" s="207"/>
      <c r="M42" s="223"/>
      <c r="N42" s="223"/>
      <c r="O42" s="92" t="s">
        <v>15</v>
      </c>
    </row>
    <row r="43" spans="1:15" s="1" customFormat="1" ht="15.75" customHeight="1">
      <c r="A43" s="70"/>
      <c r="B43" s="179"/>
      <c r="C43" s="179"/>
      <c r="D43" s="63"/>
      <c r="E43" s="63"/>
      <c r="F43" s="70"/>
      <c r="G43" s="52"/>
      <c r="H43" s="52"/>
      <c r="I43" s="52"/>
      <c r="J43" s="52"/>
      <c r="K43" s="85"/>
      <c r="L43" s="85"/>
      <c r="M43" s="225"/>
      <c r="N43" s="225"/>
      <c r="O43" s="85"/>
    </row>
    <row r="44" spans="1:15" s="4" customFormat="1" ht="15.75" customHeight="1">
      <c r="A44" s="206" t="s">
        <v>12</v>
      </c>
      <c r="B44" s="206"/>
      <c r="C44" s="206"/>
      <c r="D44" s="21"/>
      <c r="E44" s="1"/>
      <c r="F44" s="1"/>
      <c r="G44" s="66" t="str">
        <f>Page1!G43</f>
        <v>Reference:</v>
      </c>
      <c r="H44" s="178" t="str">
        <f>Page1!H43</f>
        <v>MRMP: 00004833.002 GCAS:21088174.001</v>
      </c>
      <c r="I44" s="178"/>
      <c r="J44" s="178"/>
      <c r="K44" s="1"/>
      <c r="L44" s="1"/>
      <c r="M44" s="21"/>
      <c r="N44" s="21"/>
      <c r="O44" s="21"/>
    </row>
    <row r="45" spans="1:15" s="4" customFormat="1" ht="15.75" customHeight="1">
      <c r="A45" s="206" t="s">
        <v>17</v>
      </c>
      <c r="B45" s="206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08" t="s">
        <v>46</v>
      </c>
      <c r="O45" s="208"/>
    </row>
    <row r="46" spans="1:15" s="38" customFormat="1"/>
    <row r="47" spans="1:15" s="38" customFormat="1"/>
    <row r="57" spans="4:15"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</row>
    <row r="58" spans="4:15"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</row>
    <row r="59" spans="4:15"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</row>
    <row r="60" spans="4:15"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</row>
    <row r="61" spans="4:15"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</row>
    <row r="62" spans="4:15"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</row>
    <row r="63" spans="4:15"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9"/>
    </row>
    <row r="64" spans="4:15"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</row>
    <row r="65" spans="4:15"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</row>
    <row r="66" spans="4:15"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</row>
    <row r="67" spans="4:15"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299"/>
    </row>
    <row r="68" spans="4:15"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</row>
    <row r="69" spans="4:15"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9"/>
    </row>
    <row r="70" spans="4:15"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</row>
    <row r="71" spans="4:15"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9"/>
    </row>
  </sheetData>
  <mergeCells count="114">
    <mergeCell ref="A44:C44"/>
    <mergeCell ref="B43:C43"/>
    <mergeCell ref="M43:N43"/>
    <mergeCell ref="D70:G70"/>
    <mergeCell ref="H70:K70"/>
    <mergeCell ref="L70:O70"/>
    <mergeCell ref="D71:G71"/>
    <mergeCell ref="H71:K71"/>
    <mergeCell ref="L71:O71"/>
    <mergeCell ref="D68:G68"/>
    <mergeCell ref="H68:K68"/>
    <mergeCell ref="L68:O68"/>
    <mergeCell ref="D69:G69"/>
    <mergeCell ref="H69:K69"/>
    <mergeCell ref="L69:O69"/>
    <mergeCell ref="D66:G66"/>
    <mergeCell ref="H66:K66"/>
    <mergeCell ref="L66:O66"/>
    <mergeCell ref="D67:G67"/>
    <mergeCell ref="H67:K67"/>
    <mergeCell ref="L67:O67"/>
    <mergeCell ref="D64:G64"/>
    <mergeCell ref="H64:K64"/>
    <mergeCell ref="L64:O64"/>
    <mergeCell ref="D65:G65"/>
    <mergeCell ref="D39:G39"/>
    <mergeCell ref="H39:I39"/>
    <mergeCell ref="D40:G40"/>
    <mergeCell ref="H40:I40"/>
    <mergeCell ref="H30:I30"/>
    <mergeCell ref="H65:K65"/>
    <mergeCell ref="L65:O65"/>
    <mergeCell ref="D62:G62"/>
    <mergeCell ref="H62:K62"/>
    <mergeCell ref="L62:O62"/>
    <mergeCell ref="D63:G63"/>
    <mergeCell ref="H63:K63"/>
    <mergeCell ref="L63:O63"/>
    <mergeCell ref="D60:G60"/>
    <mergeCell ref="H60:K60"/>
    <mergeCell ref="L60:O60"/>
    <mergeCell ref="D61:G61"/>
    <mergeCell ref="H61:K61"/>
    <mergeCell ref="L61:O61"/>
    <mergeCell ref="H31:I31"/>
    <mergeCell ref="H7:I8"/>
    <mergeCell ref="H9:I9"/>
    <mergeCell ref="H10:I10"/>
    <mergeCell ref="H11:I11"/>
    <mergeCell ref="H18:I18"/>
    <mergeCell ref="D58:G58"/>
    <mergeCell ref="H58:K58"/>
    <mergeCell ref="L58:O58"/>
    <mergeCell ref="D59:G59"/>
    <mergeCell ref="H59:K59"/>
    <mergeCell ref="L59:O59"/>
    <mergeCell ref="D41:G41"/>
    <mergeCell ref="H41:I41"/>
    <mergeCell ref="N45:O45"/>
    <mergeCell ref="D57:G57"/>
    <mergeCell ref="H57:K57"/>
    <mergeCell ref="L57:O57"/>
    <mergeCell ref="K42:L42"/>
    <mergeCell ref="H44:J44"/>
    <mergeCell ref="J6:O41"/>
    <mergeCell ref="H6:I6"/>
    <mergeCell ref="H36:I36"/>
    <mergeCell ref="H37:I37"/>
    <mergeCell ref="H38:I38"/>
    <mergeCell ref="H16:I16"/>
    <mergeCell ref="H17:I17"/>
    <mergeCell ref="H32:I32"/>
    <mergeCell ref="H33:I33"/>
    <mergeCell ref="H34:I34"/>
    <mergeCell ref="H24:I24"/>
    <mergeCell ref="H25:I25"/>
    <mergeCell ref="H26:I26"/>
    <mergeCell ref="H27:I27"/>
    <mergeCell ref="H28:I28"/>
    <mergeCell ref="H29:I29"/>
    <mergeCell ref="A45:B45"/>
    <mergeCell ref="A6:C6"/>
    <mergeCell ref="D6:G6"/>
    <mergeCell ref="A1:M1"/>
    <mergeCell ref="A2:M3"/>
    <mergeCell ref="H12:I12"/>
    <mergeCell ref="H13:I13"/>
    <mergeCell ref="H14:I14"/>
    <mergeCell ref="H15:I15"/>
    <mergeCell ref="A7:C8"/>
    <mergeCell ref="D7:G7"/>
    <mergeCell ref="B42:C42"/>
    <mergeCell ref="D42:G42"/>
    <mergeCell ref="H19:I19"/>
    <mergeCell ref="H20:I20"/>
    <mergeCell ref="H21:I21"/>
    <mergeCell ref="H22:I22"/>
    <mergeCell ref="H23:I23"/>
    <mergeCell ref="H35:I35"/>
    <mergeCell ref="M42:N42"/>
    <mergeCell ref="G5:H5"/>
    <mergeCell ref="J5:K5"/>
    <mergeCell ref="L5:M5"/>
    <mergeCell ref="N1:O1"/>
    <mergeCell ref="N2:O2"/>
    <mergeCell ref="B4:D4"/>
    <mergeCell ref="E4:F4"/>
    <mergeCell ref="G4:H4"/>
    <mergeCell ref="J4:K4"/>
    <mergeCell ref="L4:M4"/>
    <mergeCell ref="N4:O4"/>
    <mergeCell ref="B5:D5"/>
    <mergeCell ref="E5:F5"/>
    <mergeCell ref="N5:O5"/>
  </mergeCells>
  <conditionalFormatting sqref="D9:G38">
    <cfRule type="cellIs" dxfId="3" priority="4" operator="greaterThan">
      <formula>11</formula>
    </cfRule>
  </conditionalFormatting>
  <conditionalFormatting sqref="H9:I41">
    <cfRule type="cellIs" dxfId="2" priority="1" operator="equal">
      <formula>1</formula>
    </cfRule>
  </conditionalFormatting>
  <dataValidations count="1">
    <dataValidation type="textLength" allowBlank="1" showInputMessage="1" showErrorMessage="1" sqref="A1:M3 N3 A4:A5 E4:F5 I4:I5 L4:M5 D43:E43 A7:I8 A9:C41 G9:G38 D39:I41 N1:O2 D42:G42 A6:C6 K42:L43 O42:O43 A42:A43 A44:A45 D44:O45 B45:C45" xr:uid="{45AA03E7-926C-423A-BDFE-A2DF2A6DCF8E}">
      <formula1>0</formula1>
      <formula2>0</formula2>
    </dataValidation>
  </dataValidations>
  <pageMargins left="0.39370078740157483" right="0" top="0.39370078740157483" bottom="0" header="0" footer="0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1345-2CEC-4DBD-BF1B-B219CDD3BCB6}">
  <dimension ref="A1:R32"/>
  <sheetViews>
    <sheetView workbookViewId="0">
      <selection activeCell="A3" sqref="A3"/>
    </sheetView>
  </sheetViews>
  <sheetFormatPr defaultRowHeight="15"/>
  <cols>
    <col min="1" max="1" width="15.7109375" style="64" customWidth="1"/>
    <col min="2" max="2" width="10.140625" style="64" customWidth="1"/>
    <col min="3" max="3" width="10.5703125" style="64" customWidth="1"/>
    <col min="4" max="4" width="27.42578125" style="64" customWidth="1"/>
    <col min="5" max="5" width="23" style="64" customWidth="1"/>
    <col min="6" max="6" width="15.140625" style="64" customWidth="1"/>
    <col min="7" max="7" width="26.85546875" style="64" customWidth="1"/>
    <col min="8" max="8" width="21.7109375" style="64" customWidth="1"/>
    <col min="9" max="9" width="22.7109375" style="64" customWidth="1"/>
    <col min="10" max="10" width="23" style="64" customWidth="1"/>
    <col min="11" max="11" width="27.28515625" style="64" customWidth="1"/>
    <col min="12" max="12" width="28.140625" style="64" customWidth="1"/>
    <col min="13" max="13" width="47.140625" style="64" customWidth="1"/>
    <col min="14" max="14" width="22.85546875" style="64" customWidth="1"/>
    <col min="15" max="15" width="31.42578125" style="64" customWidth="1"/>
    <col min="16" max="16" width="21.7109375" style="64" customWidth="1"/>
    <col min="17" max="17" width="28.7109375" style="64" customWidth="1"/>
    <col min="18" max="18" width="32.28515625" style="64" customWidth="1"/>
    <col min="19" max="16384" width="9.140625" style="64"/>
  </cols>
  <sheetData>
    <row r="1" spans="1:18" ht="15" customHeight="1">
      <c r="C1" s="64" t="s">
        <v>47</v>
      </c>
      <c r="D1" s="64" t="s">
        <v>48</v>
      </c>
      <c r="E1" s="64" t="s">
        <v>49</v>
      </c>
      <c r="F1" s="64" t="s">
        <v>50</v>
      </c>
      <c r="G1" s="64" t="s">
        <v>51</v>
      </c>
      <c r="H1" s="64" t="s">
        <v>52</v>
      </c>
      <c r="I1" s="64" t="s">
        <v>53</v>
      </c>
      <c r="J1" s="64" t="s">
        <v>54</v>
      </c>
      <c r="K1" s="64" t="s">
        <v>55</v>
      </c>
      <c r="L1" s="64" t="s">
        <v>56</v>
      </c>
      <c r="M1" s="64" t="s">
        <v>57</v>
      </c>
      <c r="N1" s="64" t="s">
        <v>58</v>
      </c>
      <c r="O1" s="64" t="s">
        <v>59</v>
      </c>
      <c r="P1" s="64" t="s">
        <v>60</v>
      </c>
      <c r="Q1" s="64" t="s">
        <v>61</v>
      </c>
      <c r="R1" s="64" t="s">
        <v>62</v>
      </c>
    </row>
    <row r="2" spans="1:18" ht="30">
      <c r="A2" s="64" t="s">
        <v>63</v>
      </c>
      <c r="B2" s="64" t="s">
        <v>64</v>
      </c>
      <c r="C2" s="64" t="s">
        <v>65</v>
      </c>
      <c r="D2" s="64" t="s">
        <v>66</v>
      </c>
      <c r="E2" s="64" t="s">
        <v>67</v>
      </c>
      <c r="F2" s="64" t="s">
        <v>68</v>
      </c>
      <c r="G2" s="64" t="s">
        <v>69</v>
      </c>
      <c r="H2" s="64" t="s">
        <v>70</v>
      </c>
      <c r="I2" s="64" t="s">
        <v>71</v>
      </c>
      <c r="J2" s="64" t="s">
        <v>72</v>
      </c>
      <c r="K2" s="64" t="s">
        <v>73</v>
      </c>
      <c r="L2" s="64" t="s">
        <v>74</v>
      </c>
      <c r="M2" s="64" t="s">
        <v>75</v>
      </c>
      <c r="N2" s="64" t="s">
        <v>76</v>
      </c>
      <c r="O2" s="64" t="s">
        <v>77</v>
      </c>
      <c r="P2" s="64" t="s">
        <v>78</v>
      </c>
      <c r="Q2" s="64" t="s">
        <v>79</v>
      </c>
      <c r="R2" s="64" t="s">
        <v>80</v>
      </c>
    </row>
    <row r="3" spans="1:18">
      <c r="A3" s="311"/>
      <c r="B3" s="64">
        <f>Page1!C8</f>
        <v>0</v>
      </c>
      <c r="D3" s="71">
        <f>Page1!L8</f>
        <v>0</v>
      </c>
      <c r="E3" s="73" t="e">
        <f>Page4!G9</f>
        <v>#DIV/0!</v>
      </c>
      <c r="F3" s="73">
        <f>Page1!H8</f>
        <v>0</v>
      </c>
      <c r="G3" s="72">
        <f>Page1!N8</f>
        <v>0</v>
      </c>
      <c r="H3" s="72">
        <f>Page1!D8</f>
        <v>0</v>
      </c>
      <c r="I3" s="71" t="e">
        <f>Page3!G9</f>
        <v>#DIV/0!</v>
      </c>
      <c r="J3" s="71" t="e">
        <f>Page2!G9</f>
        <v>#DIV/0!</v>
      </c>
      <c r="K3" s="73" t="e">
        <f>Page3!K9</f>
        <v>#DIV/0!</v>
      </c>
      <c r="L3" s="73" t="e">
        <f>Page2!K9</f>
        <v>#DIV/0!</v>
      </c>
      <c r="M3" s="73" t="e">
        <f>Page2!O9</f>
        <v>#DIV/0!</v>
      </c>
      <c r="N3" s="74">
        <f>Page1!F8</f>
        <v>0</v>
      </c>
      <c r="O3" s="73" t="e">
        <f>Page3!O9</f>
        <v>#DIV/0!</v>
      </c>
      <c r="P3" s="65">
        <v>0</v>
      </c>
      <c r="Q3" s="71">
        <f>Page4!H9</f>
        <v>0</v>
      </c>
      <c r="R3" s="65">
        <v>0</v>
      </c>
    </row>
    <row r="4" spans="1:18">
      <c r="A4" s="311"/>
      <c r="B4" s="64">
        <f>Page1!C9</f>
        <v>0</v>
      </c>
      <c r="D4" s="71">
        <f>Page1!L9</f>
        <v>0</v>
      </c>
      <c r="E4" s="73" t="e">
        <f>Page4!G10</f>
        <v>#DIV/0!</v>
      </c>
      <c r="F4" s="73">
        <f>Page1!H9</f>
        <v>0</v>
      </c>
      <c r="G4" s="72">
        <f>Page1!N9</f>
        <v>0</v>
      </c>
      <c r="H4" s="72">
        <f>Page1!D9</f>
        <v>0</v>
      </c>
      <c r="I4" s="71" t="e">
        <f>Page3!G10</f>
        <v>#DIV/0!</v>
      </c>
      <c r="J4" s="71" t="e">
        <f>Page2!G10</f>
        <v>#DIV/0!</v>
      </c>
      <c r="K4" s="73" t="e">
        <f>Page3!K10</f>
        <v>#DIV/0!</v>
      </c>
      <c r="L4" s="73" t="e">
        <f>Page2!K10</f>
        <v>#DIV/0!</v>
      </c>
      <c r="M4" s="73" t="e">
        <f>Page2!O10</f>
        <v>#DIV/0!</v>
      </c>
      <c r="N4" s="74">
        <f>Page1!F9</f>
        <v>0</v>
      </c>
      <c r="O4" s="73" t="e">
        <f>Page3!O10</f>
        <v>#DIV/0!</v>
      </c>
      <c r="P4" s="64">
        <f>P3</f>
        <v>0</v>
      </c>
      <c r="Q4" s="71">
        <f>Page4!H10</f>
        <v>0</v>
      </c>
      <c r="R4" s="64">
        <f>R3</f>
        <v>0</v>
      </c>
    </row>
    <row r="5" spans="1:18">
      <c r="A5" s="311"/>
      <c r="B5" s="64">
        <f>Page1!C10</f>
        <v>0</v>
      </c>
      <c r="D5" s="71">
        <f>Page1!L10</f>
        <v>0</v>
      </c>
      <c r="E5" s="73" t="e">
        <f>Page4!G11</f>
        <v>#DIV/0!</v>
      </c>
      <c r="F5" s="73">
        <f>Page1!H10</f>
        <v>0</v>
      </c>
      <c r="G5" s="72">
        <f>Page1!N10</f>
        <v>0</v>
      </c>
      <c r="H5" s="72">
        <f>Page1!D10</f>
        <v>0</v>
      </c>
      <c r="I5" s="71" t="e">
        <f>Page3!G11</f>
        <v>#DIV/0!</v>
      </c>
      <c r="J5" s="71" t="e">
        <f>Page2!G11</f>
        <v>#DIV/0!</v>
      </c>
      <c r="K5" s="73" t="e">
        <f>Page3!K11</f>
        <v>#DIV/0!</v>
      </c>
      <c r="L5" s="73" t="e">
        <f>Page2!K11</f>
        <v>#DIV/0!</v>
      </c>
      <c r="M5" s="73" t="e">
        <f>Page2!O11</f>
        <v>#DIV/0!</v>
      </c>
      <c r="N5" s="74">
        <f>Page1!F10</f>
        <v>0</v>
      </c>
      <c r="O5" s="73" t="e">
        <f>Page3!O11</f>
        <v>#DIV/0!</v>
      </c>
      <c r="P5" s="64">
        <f t="shared" ref="P5:P8" si="0">P4</f>
        <v>0</v>
      </c>
      <c r="Q5" s="71">
        <f>Page4!H11</f>
        <v>0</v>
      </c>
      <c r="R5" s="64">
        <f t="shared" ref="R5:R8" si="1">R4</f>
        <v>0</v>
      </c>
    </row>
    <row r="6" spans="1:18">
      <c r="A6" s="311"/>
      <c r="B6" s="64">
        <f>Page1!C11</f>
        <v>0</v>
      </c>
      <c r="D6" s="71">
        <f>Page1!L11</f>
        <v>0</v>
      </c>
      <c r="E6" s="73" t="e">
        <f>Page4!G12</f>
        <v>#DIV/0!</v>
      </c>
      <c r="F6" s="73">
        <f>Page1!H11</f>
        <v>0</v>
      </c>
      <c r="G6" s="72">
        <f>Page1!N11</f>
        <v>0</v>
      </c>
      <c r="H6" s="72">
        <f>Page1!D11</f>
        <v>0</v>
      </c>
      <c r="I6" s="71" t="e">
        <f>Page3!G12</f>
        <v>#DIV/0!</v>
      </c>
      <c r="J6" s="71" t="e">
        <f>Page2!G12</f>
        <v>#DIV/0!</v>
      </c>
      <c r="K6" s="73" t="e">
        <f>Page3!K12</f>
        <v>#DIV/0!</v>
      </c>
      <c r="L6" s="73" t="e">
        <f>Page2!K12</f>
        <v>#DIV/0!</v>
      </c>
      <c r="M6" s="73" t="e">
        <f>Page2!O12</f>
        <v>#DIV/0!</v>
      </c>
      <c r="N6" s="74">
        <f>Page1!F11</f>
        <v>0</v>
      </c>
      <c r="O6" s="73" t="e">
        <f>Page3!O12</f>
        <v>#DIV/0!</v>
      </c>
      <c r="P6" s="64">
        <f t="shared" si="0"/>
        <v>0</v>
      </c>
      <c r="Q6" s="71">
        <f>Page4!H12</f>
        <v>0</v>
      </c>
      <c r="R6" s="64">
        <f t="shared" si="1"/>
        <v>0</v>
      </c>
    </row>
    <row r="7" spans="1:18">
      <c r="A7" s="311"/>
      <c r="B7" s="64">
        <f>Page1!C12</f>
        <v>0</v>
      </c>
      <c r="D7" s="71">
        <f>Page1!L12</f>
        <v>0</v>
      </c>
      <c r="E7" s="73" t="e">
        <f>Page4!G13</f>
        <v>#DIV/0!</v>
      </c>
      <c r="F7" s="73">
        <f>Page1!H12</f>
        <v>0</v>
      </c>
      <c r="G7" s="72">
        <f>Page1!N12</f>
        <v>0</v>
      </c>
      <c r="H7" s="72">
        <f>Page1!D12</f>
        <v>0</v>
      </c>
      <c r="I7" s="71" t="e">
        <f>Page3!G13</f>
        <v>#DIV/0!</v>
      </c>
      <c r="J7" s="71" t="e">
        <f>Page2!G13</f>
        <v>#DIV/0!</v>
      </c>
      <c r="K7" s="73" t="e">
        <f>Page3!K13</f>
        <v>#DIV/0!</v>
      </c>
      <c r="L7" s="73" t="e">
        <f>Page2!K13</f>
        <v>#DIV/0!</v>
      </c>
      <c r="M7" s="73" t="e">
        <f>Page2!O13</f>
        <v>#DIV/0!</v>
      </c>
      <c r="N7" s="74">
        <f>Page1!F12</f>
        <v>0</v>
      </c>
      <c r="O7" s="73" t="e">
        <f>Page3!O13</f>
        <v>#DIV/0!</v>
      </c>
      <c r="P7" s="64">
        <f t="shared" si="0"/>
        <v>0</v>
      </c>
      <c r="Q7" s="71">
        <f>Page4!H13</f>
        <v>0</v>
      </c>
      <c r="R7" s="64">
        <f t="shared" si="1"/>
        <v>0</v>
      </c>
    </row>
    <row r="8" spans="1:18">
      <c r="A8" s="311"/>
      <c r="B8" s="64">
        <f>Page1!C13</f>
        <v>0</v>
      </c>
      <c r="D8" s="71">
        <f>Page1!L13</f>
        <v>0</v>
      </c>
      <c r="E8" s="73" t="e">
        <f>Page4!G14</f>
        <v>#DIV/0!</v>
      </c>
      <c r="F8" s="73">
        <f>Page1!H13</f>
        <v>0</v>
      </c>
      <c r="G8" s="72">
        <f>Page1!N13</f>
        <v>0</v>
      </c>
      <c r="H8" s="72">
        <f>Page1!D13</f>
        <v>0</v>
      </c>
      <c r="I8" s="71" t="e">
        <f>Page3!G14</f>
        <v>#DIV/0!</v>
      </c>
      <c r="J8" s="71" t="e">
        <f>Page2!G14</f>
        <v>#DIV/0!</v>
      </c>
      <c r="K8" s="73" t="e">
        <f>Page3!K14</f>
        <v>#DIV/0!</v>
      </c>
      <c r="L8" s="73" t="e">
        <f>Page2!K14</f>
        <v>#DIV/0!</v>
      </c>
      <c r="M8" s="73" t="e">
        <f>Page2!O14</f>
        <v>#DIV/0!</v>
      </c>
      <c r="N8" s="74">
        <f>Page1!F13</f>
        <v>0</v>
      </c>
      <c r="O8" s="73" t="e">
        <f>Page3!O14</f>
        <v>#DIV/0!</v>
      </c>
      <c r="P8" s="64">
        <f t="shared" si="0"/>
        <v>0</v>
      </c>
      <c r="Q8" s="71">
        <f>Page4!H14</f>
        <v>0</v>
      </c>
      <c r="R8" s="64">
        <f t="shared" si="1"/>
        <v>0</v>
      </c>
    </row>
    <row r="9" spans="1:18">
      <c r="A9" s="311"/>
      <c r="B9" s="64">
        <f>Page1!C14</f>
        <v>0</v>
      </c>
      <c r="D9" s="71">
        <f>Page1!L14</f>
        <v>0</v>
      </c>
      <c r="E9" s="73" t="e">
        <f>Page4!G15</f>
        <v>#DIV/0!</v>
      </c>
      <c r="F9" s="73">
        <f>Page1!H14</f>
        <v>0</v>
      </c>
      <c r="G9" s="72">
        <f>Page1!N14</f>
        <v>0</v>
      </c>
      <c r="H9" s="72">
        <f>Page1!D14</f>
        <v>0</v>
      </c>
      <c r="I9" s="71" t="e">
        <f>Page3!G15</f>
        <v>#DIV/0!</v>
      </c>
      <c r="J9" s="71" t="e">
        <f>Page2!G15</f>
        <v>#DIV/0!</v>
      </c>
      <c r="K9" s="73" t="e">
        <f>Page3!K15</f>
        <v>#DIV/0!</v>
      </c>
      <c r="L9" s="73" t="e">
        <f>Page2!K15</f>
        <v>#DIV/0!</v>
      </c>
      <c r="M9" s="73" t="e">
        <f>Page2!O15</f>
        <v>#DIV/0!</v>
      </c>
      <c r="N9" s="74">
        <f>Page1!F14</f>
        <v>0</v>
      </c>
      <c r="O9" s="73" t="e">
        <f>Page3!O15</f>
        <v>#DIV/0!</v>
      </c>
      <c r="P9" s="64">
        <f>P3</f>
        <v>0</v>
      </c>
      <c r="Q9" s="71">
        <f>Page4!H15</f>
        <v>0</v>
      </c>
      <c r="R9" s="64">
        <f>R3</f>
        <v>0</v>
      </c>
    </row>
    <row r="10" spans="1:18">
      <c r="A10" s="311"/>
      <c r="B10" s="64">
        <f>Page1!C15</f>
        <v>0</v>
      </c>
      <c r="D10" s="71">
        <f>Page1!L15</f>
        <v>0</v>
      </c>
      <c r="E10" s="73" t="e">
        <f>Page4!G16</f>
        <v>#DIV/0!</v>
      </c>
      <c r="F10" s="73">
        <f>Page1!H15</f>
        <v>0</v>
      </c>
      <c r="G10" s="72">
        <f>Page1!N15</f>
        <v>0</v>
      </c>
      <c r="H10" s="72">
        <f>Page1!D15</f>
        <v>0</v>
      </c>
      <c r="I10" s="71" t="e">
        <f>Page3!G16</f>
        <v>#DIV/0!</v>
      </c>
      <c r="J10" s="71" t="e">
        <f>Page2!G16</f>
        <v>#DIV/0!</v>
      </c>
      <c r="K10" s="73" t="e">
        <f>Page3!K16</f>
        <v>#DIV/0!</v>
      </c>
      <c r="L10" s="73" t="e">
        <f>Page2!K16</f>
        <v>#DIV/0!</v>
      </c>
      <c r="M10" s="73" t="e">
        <f>Page2!O16</f>
        <v>#DIV/0!</v>
      </c>
      <c r="N10" s="74">
        <f>Page1!F15</f>
        <v>0</v>
      </c>
      <c r="O10" s="73" t="e">
        <f>Page3!O16</f>
        <v>#DIV/0!</v>
      </c>
      <c r="P10" s="64">
        <f>P3</f>
        <v>0</v>
      </c>
      <c r="Q10" s="71">
        <f>Page4!H16</f>
        <v>0</v>
      </c>
      <c r="R10" s="64">
        <f>R3</f>
        <v>0</v>
      </c>
    </row>
    <row r="11" spans="1:18">
      <c r="A11" s="311"/>
      <c r="B11" s="64">
        <f>Page1!C16</f>
        <v>0</v>
      </c>
      <c r="D11" s="71">
        <f>Page1!L16</f>
        <v>0</v>
      </c>
      <c r="E11" s="73" t="e">
        <f>Page4!G17</f>
        <v>#DIV/0!</v>
      </c>
      <c r="F11" s="73">
        <f>Page1!H16</f>
        <v>0</v>
      </c>
      <c r="G11" s="72">
        <f>Page1!N16</f>
        <v>0</v>
      </c>
      <c r="H11" s="72">
        <f>Page1!D16</f>
        <v>0</v>
      </c>
      <c r="I11" s="71" t="e">
        <f>Page3!G17</f>
        <v>#DIV/0!</v>
      </c>
      <c r="J11" s="71" t="e">
        <f>Page2!G17</f>
        <v>#DIV/0!</v>
      </c>
      <c r="K11" s="73" t="e">
        <f>Page3!K17</f>
        <v>#DIV/0!</v>
      </c>
      <c r="L11" s="73" t="e">
        <f>Page2!K17</f>
        <v>#DIV/0!</v>
      </c>
      <c r="M11" s="73" t="e">
        <f>Page2!O17</f>
        <v>#DIV/0!</v>
      </c>
      <c r="N11" s="74">
        <f>Page1!F16</f>
        <v>0</v>
      </c>
      <c r="O11" s="73" t="e">
        <f>Page3!O17</f>
        <v>#DIV/0!</v>
      </c>
      <c r="P11" s="64">
        <f>P3</f>
        <v>0</v>
      </c>
      <c r="Q11" s="71">
        <f>Page4!H17</f>
        <v>0</v>
      </c>
      <c r="R11" s="64">
        <f>R3</f>
        <v>0</v>
      </c>
    </row>
    <row r="12" spans="1:18">
      <c r="A12" s="311"/>
      <c r="B12" s="64">
        <f>Page1!C17</f>
        <v>0</v>
      </c>
      <c r="D12" s="71">
        <f>Page1!L17</f>
        <v>0</v>
      </c>
      <c r="E12" s="73" t="e">
        <f>Page4!G18</f>
        <v>#DIV/0!</v>
      </c>
      <c r="F12" s="73">
        <f>Page1!H17</f>
        <v>0</v>
      </c>
      <c r="G12" s="72">
        <f>Page1!N17</f>
        <v>0</v>
      </c>
      <c r="H12" s="72">
        <f>Page1!D17</f>
        <v>0</v>
      </c>
      <c r="I12" s="71" t="e">
        <f>Page3!G18</f>
        <v>#DIV/0!</v>
      </c>
      <c r="J12" s="71" t="e">
        <f>Page2!G18</f>
        <v>#DIV/0!</v>
      </c>
      <c r="K12" s="73" t="e">
        <f>Page3!K18</f>
        <v>#DIV/0!</v>
      </c>
      <c r="L12" s="73" t="e">
        <f>Page2!K18</f>
        <v>#DIV/0!</v>
      </c>
      <c r="M12" s="73" t="e">
        <f>Page2!O18</f>
        <v>#DIV/0!</v>
      </c>
      <c r="N12" s="74">
        <f>Page1!F17</f>
        <v>0</v>
      </c>
      <c r="O12" s="73" t="e">
        <f>Page3!O18</f>
        <v>#DIV/0!</v>
      </c>
      <c r="P12" s="64">
        <f>P3</f>
        <v>0</v>
      </c>
      <c r="Q12" s="71">
        <f>Page4!H18</f>
        <v>0</v>
      </c>
      <c r="R12" s="64">
        <f>R3</f>
        <v>0</v>
      </c>
    </row>
    <row r="13" spans="1:18">
      <c r="A13" s="311"/>
      <c r="B13" s="64">
        <f>Page1!C18</f>
        <v>0</v>
      </c>
      <c r="D13" s="71">
        <f>Page1!L18</f>
        <v>0</v>
      </c>
      <c r="E13" s="73" t="e">
        <f>Page4!G19</f>
        <v>#DIV/0!</v>
      </c>
      <c r="F13" s="73">
        <f>Page1!H18</f>
        <v>0</v>
      </c>
      <c r="G13" s="72">
        <f>Page1!N18</f>
        <v>0</v>
      </c>
      <c r="H13" s="72">
        <f>Page1!D18</f>
        <v>0</v>
      </c>
      <c r="I13" s="71" t="e">
        <f>Page3!G19</f>
        <v>#DIV/0!</v>
      </c>
      <c r="J13" s="71" t="e">
        <f>Page2!G19</f>
        <v>#DIV/0!</v>
      </c>
      <c r="K13" s="73" t="e">
        <f>Page3!K19</f>
        <v>#DIV/0!</v>
      </c>
      <c r="L13" s="73" t="e">
        <f>Page2!K19</f>
        <v>#DIV/0!</v>
      </c>
      <c r="M13" s="73" t="e">
        <f>Page2!O19</f>
        <v>#DIV/0!</v>
      </c>
      <c r="N13" s="74">
        <f>Page1!F18</f>
        <v>0</v>
      </c>
      <c r="O13" s="73" t="e">
        <f>Page3!O19</f>
        <v>#DIV/0!</v>
      </c>
      <c r="P13" s="64">
        <f>P3</f>
        <v>0</v>
      </c>
      <c r="Q13" s="71">
        <f>Page4!H19</f>
        <v>0</v>
      </c>
      <c r="R13" s="64">
        <f>R3</f>
        <v>0</v>
      </c>
    </row>
    <row r="14" spans="1:18">
      <c r="A14" s="311"/>
      <c r="B14" s="64">
        <f>Page1!C19</f>
        <v>0</v>
      </c>
      <c r="D14" s="71">
        <f>Page1!L19</f>
        <v>0</v>
      </c>
      <c r="E14" s="73" t="e">
        <f>Page4!G20</f>
        <v>#DIV/0!</v>
      </c>
      <c r="F14" s="73">
        <f>Page1!H19</f>
        <v>0</v>
      </c>
      <c r="G14" s="72">
        <f>Page1!N19</f>
        <v>0</v>
      </c>
      <c r="H14" s="72">
        <f>Page1!D19</f>
        <v>0</v>
      </c>
      <c r="I14" s="71" t="e">
        <f>Page3!G20</f>
        <v>#DIV/0!</v>
      </c>
      <c r="J14" s="71" t="e">
        <f>Page2!G20</f>
        <v>#DIV/0!</v>
      </c>
      <c r="K14" s="73" t="e">
        <f>Page3!K20</f>
        <v>#DIV/0!</v>
      </c>
      <c r="L14" s="73" t="e">
        <f>Page2!K20</f>
        <v>#DIV/0!</v>
      </c>
      <c r="M14" s="73" t="e">
        <f>Page2!O20</f>
        <v>#DIV/0!</v>
      </c>
      <c r="N14" s="74">
        <f>Page1!F19</f>
        <v>0</v>
      </c>
      <c r="O14" s="73" t="e">
        <f>Page3!O20</f>
        <v>#DIV/0!</v>
      </c>
      <c r="P14" s="64">
        <f>P3</f>
        <v>0</v>
      </c>
      <c r="Q14" s="71">
        <f>Page4!H20</f>
        <v>0</v>
      </c>
      <c r="R14" s="64">
        <f>R3</f>
        <v>0</v>
      </c>
    </row>
    <row r="15" spans="1:18">
      <c r="A15" s="311"/>
      <c r="B15" s="64">
        <f>Page1!C20</f>
        <v>0</v>
      </c>
      <c r="D15" s="71">
        <f>Page1!L20</f>
        <v>0</v>
      </c>
      <c r="E15" s="73" t="e">
        <f>Page4!G21</f>
        <v>#DIV/0!</v>
      </c>
      <c r="F15" s="73">
        <f>Page1!H20</f>
        <v>0</v>
      </c>
      <c r="G15" s="72">
        <f>Page1!N20</f>
        <v>0</v>
      </c>
      <c r="H15" s="72">
        <f>Page1!D20</f>
        <v>0</v>
      </c>
      <c r="I15" s="71" t="e">
        <f>Page3!G21</f>
        <v>#DIV/0!</v>
      </c>
      <c r="J15" s="71" t="e">
        <f>Page2!G21</f>
        <v>#DIV/0!</v>
      </c>
      <c r="K15" s="73" t="e">
        <f>Page3!K21</f>
        <v>#DIV/0!</v>
      </c>
      <c r="L15" s="73" t="e">
        <f>Page2!K21</f>
        <v>#DIV/0!</v>
      </c>
      <c r="M15" s="73" t="e">
        <f>Page2!O21</f>
        <v>#DIV/0!</v>
      </c>
      <c r="N15" s="74">
        <f>Page1!F20</f>
        <v>0</v>
      </c>
      <c r="O15" s="73" t="e">
        <f>Page3!O21</f>
        <v>#DIV/0!</v>
      </c>
      <c r="P15" s="64">
        <f>P3</f>
        <v>0</v>
      </c>
      <c r="Q15" s="71">
        <f>Page4!H21</f>
        <v>0</v>
      </c>
      <c r="R15" s="64">
        <f>R3</f>
        <v>0</v>
      </c>
    </row>
    <row r="16" spans="1:18">
      <c r="A16" s="311"/>
      <c r="B16" s="64">
        <f>Page1!C21</f>
        <v>0</v>
      </c>
      <c r="D16" s="71">
        <f>Page1!L21</f>
        <v>0</v>
      </c>
      <c r="E16" s="73" t="e">
        <f>Page4!G22</f>
        <v>#DIV/0!</v>
      </c>
      <c r="F16" s="73">
        <f>Page1!H21</f>
        <v>0</v>
      </c>
      <c r="G16" s="72">
        <f>Page1!N21</f>
        <v>0</v>
      </c>
      <c r="H16" s="72">
        <f>Page1!D21</f>
        <v>0</v>
      </c>
      <c r="I16" s="71" t="e">
        <f>Page3!G22</f>
        <v>#DIV/0!</v>
      </c>
      <c r="J16" s="71" t="e">
        <f>Page2!G22</f>
        <v>#DIV/0!</v>
      </c>
      <c r="K16" s="73" t="e">
        <f>Page3!K22</f>
        <v>#DIV/0!</v>
      </c>
      <c r="L16" s="73" t="e">
        <f>Page2!K22</f>
        <v>#DIV/0!</v>
      </c>
      <c r="M16" s="73" t="e">
        <f>Page2!O22</f>
        <v>#DIV/0!</v>
      </c>
      <c r="N16" s="74">
        <f>Page1!F21</f>
        <v>0</v>
      </c>
      <c r="O16" s="73" t="e">
        <f>Page3!O22</f>
        <v>#DIV/0!</v>
      </c>
      <c r="P16" s="64">
        <f>P3</f>
        <v>0</v>
      </c>
      <c r="Q16" s="71">
        <f>Page4!H22</f>
        <v>0</v>
      </c>
      <c r="R16" s="64">
        <f>R3</f>
        <v>0</v>
      </c>
    </row>
    <row r="17" spans="1:18">
      <c r="A17" s="311"/>
      <c r="B17" s="64">
        <f>Page1!C22</f>
        <v>0</v>
      </c>
      <c r="D17" s="71">
        <f>Page1!L22</f>
        <v>0</v>
      </c>
      <c r="E17" s="73" t="e">
        <f>Page4!G23</f>
        <v>#DIV/0!</v>
      </c>
      <c r="F17" s="73">
        <f>Page1!H22</f>
        <v>0</v>
      </c>
      <c r="G17" s="72">
        <f>Page1!N22</f>
        <v>0</v>
      </c>
      <c r="H17" s="72">
        <f>Page1!D22</f>
        <v>0</v>
      </c>
      <c r="I17" s="71" t="e">
        <f>Page3!G23</f>
        <v>#DIV/0!</v>
      </c>
      <c r="J17" s="71" t="e">
        <f>Page2!G23</f>
        <v>#DIV/0!</v>
      </c>
      <c r="K17" s="73" t="e">
        <f>Page3!K23</f>
        <v>#DIV/0!</v>
      </c>
      <c r="L17" s="73" t="e">
        <f>Page2!K23</f>
        <v>#DIV/0!</v>
      </c>
      <c r="M17" s="73" t="e">
        <f>Page2!O23</f>
        <v>#DIV/0!</v>
      </c>
      <c r="N17" s="74">
        <f>Page1!F22</f>
        <v>0</v>
      </c>
      <c r="O17" s="73" t="e">
        <f>Page3!O23</f>
        <v>#DIV/0!</v>
      </c>
      <c r="P17" s="64">
        <f>P3</f>
        <v>0</v>
      </c>
      <c r="Q17" s="71">
        <f>Page4!H23</f>
        <v>0</v>
      </c>
      <c r="R17" s="64">
        <f>R3</f>
        <v>0</v>
      </c>
    </row>
    <row r="18" spans="1:18">
      <c r="A18" s="311"/>
      <c r="B18" s="64">
        <f>Page1!C23</f>
        <v>0</v>
      </c>
      <c r="D18" s="71">
        <f>Page1!L23</f>
        <v>0</v>
      </c>
      <c r="E18" s="73" t="e">
        <f>Page4!G24</f>
        <v>#DIV/0!</v>
      </c>
      <c r="F18" s="73">
        <f>Page1!H23</f>
        <v>0</v>
      </c>
      <c r="G18" s="72">
        <f>Page1!N23</f>
        <v>0</v>
      </c>
      <c r="H18" s="72">
        <f>Page1!D23</f>
        <v>0</v>
      </c>
      <c r="I18" s="71" t="e">
        <f>Page3!G24</f>
        <v>#DIV/0!</v>
      </c>
      <c r="J18" s="71" t="e">
        <f>Page2!G24</f>
        <v>#DIV/0!</v>
      </c>
      <c r="K18" s="73" t="e">
        <f>Page3!K24</f>
        <v>#DIV/0!</v>
      </c>
      <c r="L18" s="73" t="e">
        <f>Page2!K24</f>
        <v>#DIV/0!</v>
      </c>
      <c r="M18" s="73" t="e">
        <f>Page2!O24</f>
        <v>#DIV/0!</v>
      </c>
      <c r="N18" s="74">
        <f>Page1!F23</f>
        <v>0</v>
      </c>
      <c r="O18" s="73" t="e">
        <f>Page3!O24</f>
        <v>#DIV/0!</v>
      </c>
      <c r="P18" s="64">
        <f>P3</f>
        <v>0</v>
      </c>
      <c r="Q18" s="71">
        <f>Page4!H24</f>
        <v>0</v>
      </c>
      <c r="R18" s="64">
        <f>R3</f>
        <v>0</v>
      </c>
    </row>
    <row r="19" spans="1:18">
      <c r="A19" s="311"/>
      <c r="B19" s="64">
        <f>Page1!C24</f>
        <v>0</v>
      </c>
      <c r="D19" s="71">
        <f>Page1!L24</f>
        <v>0</v>
      </c>
      <c r="E19" s="73" t="e">
        <f>Page4!G25</f>
        <v>#DIV/0!</v>
      </c>
      <c r="F19" s="73">
        <f>Page1!H24</f>
        <v>0</v>
      </c>
      <c r="G19" s="72">
        <f>Page1!N24</f>
        <v>0</v>
      </c>
      <c r="H19" s="72">
        <f>Page1!D24</f>
        <v>0</v>
      </c>
      <c r="I19" s="71" t="e">
        <f>Page3!G25</f>
        <v>#DIV/0!</v>
      </c>
      <c r="J19" s="71" t="e">
        <f>Page2!G25</f>
        <v>#DIV/0!</v>
      </c>
      <c r="K19" s="73" t="e">
        <f>Page3!K25</f>
        <v>#DIV/0!</v>
      </c>
      <c r="L19" s="73" t="e">
        <f>Page2!K25</f>
        <v>#DIV/0!</v>
      </c>
      <c r="M19" s="73" t="e">
        <f>Page2!O25</f>
        <v>#DIV/0!</v>
      </c>
      <c r="N19" s="74">
        <f>Page1!F24</f>
        <v>0</v>
      </c>
      <c r="O19" s="73" t="e">
        <f>Page3!O25</f>
        <v>#DIV/0!</v>
      </c>
      <c r="P19" s="64">
        <f>P3</f>
        <v>0</v>
      </c>
      <c r="Q19" s="71">
        <f>Page4!H25</f>
        <v>0</v>
      </c>
      <c r="R19" s="64">
        <f>R3</f>
        <v>0</v>
      </c>
    </row>
    <row r="20" spans="1:18">
      <c r="A20" s="311"/>
      <c r="B20" s="64">
        <f>Page1!C25</f>
        <v>0</v>
      </c>
      <c r="D20" s="71">
        <f>Page1!L25</f>
        <v>0</v>
      </c>
      <c r="E20" s="73" t="e">
        <f>Page4!G26</f>
        <v>#DIV/0!</v>
      </c>
      <c r="F20" s="73">
        <f>Page1!H25</f>
        <v>0</v>
      </c>
      <c r="G20" s="72">
        <f>Page1!N25</f>
        <v>0</v>
      </c>
      <c r="H20" s="72">
        <f>Page1!D25</f>
        <v>0</v>
      </c>
      <c r="I20" s="71" t="e">
        <f>Page3!G26</f>
        <v>#DIV/0!</v>
      </c>
      <c r="J20" s="71" t="e">
        <f>Page2!G26</f>
        <v>#DIV/0!</v>
      </c>
      <c r="K20" s="73" t="e">
        <f>Page3!K26</f>
        <v>#DIV/0!</v>
      </c>
      <c r="L20" s="73" t="e">
        <f>Page2!K26</f>
        <v>#DIV/0!</v>
      </c>
      <c r="M20" s="73" t="e">
        <f>Page2!O26</f>
        <v>#DIV/0!</v>
      </c>
      <c r="N20" s="74">
        <f>Page1!F25</f>
        <v>0</v>
      </c>
      <c r="O20" s="73" t="e">
        <f>Page3!O26</f>
        <v>#DIV/0!</v>
      </c>
      <c r="P20" s="64">
        <f>P3</f>
        <v>0</v>
      </c>
      <c r="Q20" s="71">
        <f>Page4!H26</f>
        <v>0</v>
      </c>
      <c r="R20" s="64">
        <f>R3</f>
        <v>0</v>
      </c>
    </row>
    <row r="21" spans="1:18">
      <c r="A21" s="311"/>
      <c r="B21" s="64">
        <f>Page1!C26</f>
        <v>0</v>
      </c>
      <c r="D21" s="71">
        <f>Page1!L26</f>
        <v>0</v>
      </c>
      <c r="E21" s="73" t="e">
        <f>Page4!G27</f>
        <v>#DIV/0!</v>
      </c>
      <c r="F21" s="73">
        <f>Page1!H26</f>
        <v>0</v>
      </c>
      <c r="G21" s="72">
        <f>Page1!N26</f>
        <v>0</v>
      </c>
      <c r="H21" s="72">
        <f>Page1!D26</f>
        <v>0</v>
      </c>
      <c r="I21" s="71" t="e">
        <f>Page3!G27</f>
        <v>#DIV/0!</v>
      </c>
      <c r="J21" s="71" t="e">
        <f>Page2!G27</f>
        <v>#DIV/0!</v>
      </c>
      <c r="K21" s="73" t="e">
        <f>Page3!K27</f>
        <v>#DIV/0!</v>
      </c>
      <c r="L21" s="73" t="e">
        <f>Page2!K27</f>
        <v>#DIV/0!</v>
      </c>
      <c r="M21" s="73" t="e">
        <f>Page2!O27</f>
        <v>#DIV/0!</v>
      </c>
      <c r="N21" s="74">
        <f>Page1!F26</f>
        <v>0</v>
      </c>
      <c r="O21" s="73" t="e">
        <f>Page3!O27</f>
        <v>#DIV/0!</v>
      </c>
      <c r="P21" s="64">
        <f>P3</f>
        <v>0</v>
      </c>
      <c r="Q21" s="71">
        <f>Page4!H27</f>
        <v>0</v>
      </c>
      <c r="R21" s="64">
        <f>R3</f>
        <v>0</v>
      </c>
    </row>
    <row r="22" spans="1:18">
      <c r="A22" s="311"/>
      <c r="B22" s="64">
        <f>Page1!C27</f>
        <v>0</v>
      </c>
      <c r="D22" s="71">
        <f>Page1!L27</f>
        <v>0</v>
      </c>
      <c r="E22" s="73" t="e">
        <f>Page4!G28</f>
        <v>#DIV/0!</v>
      </c>
      <c r="F22" s="73">
        <f>Page1!H27</f>
        <v>0</v>
      </c>
      <c r="G22" s="72">
        <f>Page1!N27</f>
        <v>0</v>
      </c>
      <c r="H22" s="72">
        <f>Page1!D27</f>
        <v>0</v>
      </c>
      <c r="I22" s="71" t="e">
        <f>Page3!G28</f>
        <v>#DIV/0!</v>
      </c>
      <c r="J22" s="71" t="e">
        <f>Page2!G28</f>
        <v>#DIV/0!</v>
      </c>
      <c r="K22" s="73" t="e">
        <f>Page3!K28</f>
        <v>#DIV/0!</v>
      </c>
      <c r="L22" s="73" t="e">
        <f>Page2!K28</f>
        <v>#DIV/0!</v>
      </c>
      <c r="M22" s="73" t="e">
        <f>Page2!O28</f>
        <v>#DIV/0!</v>
      </c>
      <c r="N22" s="74">
        <f>Page1!F27</f>
        <v>0</v>
      </c>
      <c r="O22" s="73" t="e">
        <f>Page3!O28</f>
        <v>#DIV/0!</v>
      </c>
      <c r="P22" s="64">
        <f>P3</f>
        <v>0</v>
      </c>
      <c r="Q22" s="71">
        <f>Page4!H28</f>
        <v>0</v>
      </c>
      <c r="R22" s="64">
        <f>R3</f>
        <v>0</v>
      </c>
    </row>
    <row r="23" spans="1:18">
      <c r="A23" s="311"/>
      <c r="B23" s="64">
        <f>Page1!C28</f>
        <v>0</v>
      </c>
      <c r="D23" s="71">
        <f>Page1!L28</f>
        <v>0</v>
      </c>
      <c r="E23" s="73" t="e">
        <f>Page4!G29</f>
        <v>#DIV/0!</v>
      </c>
      <c r="F23" s="73">
        <f>Page1!H28</f>
        <v>0</v>
      </c>
      <c r="G23" s="72">
        <f>Page1!N28</f>
        <v>0</v>
      </c>
      <c r="H23" s="72">
        <f>Page1!D28</f>
        <v>0</v>
      </c>
      <c r="I23" s="71" t="e">
        <f>Page3!G29</f>
        <v>#DIV/0!</v>
      </c>
      <c r="J23" s="71" t="e">
        <f>Page2!G29</f>
        <v>#DIV/0!</v>
      </c>
      <c r="K23" s="73" t="e">
        <f>Page3!K29</f>
        <v>#DIV/0!</v>
      </c>
      <c r="L23" s="73" t="e">
        <f>Page2!K29</f>
        <v>#DIV/0!</v>
      </c>
      <c r="M23" s="73" t="e">
        <f>Page2!O29</f>
        <v>#DIV/0!</v>
      </c>
      <c r="N23" s="74">
        <f>Page1!F28</f>
        <v>0</v>
      </c>
      <c r="O23" s="73" t="e">
        <f>Page3!O29</f>
        <v>#DIV/0!</v>
      </c>
      <c r="P23" s="64">
        <f>P3</f>
        <v>0</v>
      </c>
      <c r="Q23" s="71">
        <f>Page4!H29</f>
        <v>0</v>
      </c>
      <c r="R23" s="64">
        <f>R3</f>
        <v>0</v>
      </c>
    </row>
    <row r="24" spans="1:18">
      <c r="A24" s="311"/>
      <c r="B24" s="64">
        <f>Page1!C29</f>
        <v>0</v>
      </c>
      <c r="D24" s="71">
        <f>Page1!L29</f>
        <v>0</v>
      </c>
      <c r="E24" s="73" t="e">
        <f>Page4!G30</f>
        <v>#DIV/0!</v>
      </c>
      <c r="F24" s="73">
        <f>Page1!H29</f>
        <v>0</v>
      </c>
      <c r="G24" s="72">
        <f>Page1!N29</f>
        <v>0</v>
      </c>
      <c r="H24" s="72">
        <f>Page1!D29</f>
        <v>0</v>
      </c>
      <c r="I24" s="71" t="e">
        <f>Page3!G30</f>
        <v>#DIV/0!</v>
      </c>
      <c r="J24" s="71" t="e">
        <f>Page2!G30</f>
        <v>#DIV/0!</v>
      </c>
      <c r="K24" s="73" t="e">
        <f>Page3!K30</f>
        <v>#DIV/0!</v>
      </c>
      <c r="L24" s="73" t="e">
        <f>Page2!K30</f>
        <v>#DIV/0!</v>
      </c>
      <c r="M24" s="73" t="e">
        <f>Page2!O30</f>
        <v>#DIV/0!</v>
      </c>
      <c r="N24" s="74">
        <f>Page1!F29</f>
        <v>0</v>
      </c>
      <c r="O24" s="73" t="e">
        <f>Page3!O30</f>
        <v>#DIV/0!</v>
      </c>
      <c r="P24" s="64">
        <f>P3</f>
        <v>0</v>
      </c>
      <c r="Q24" s="71">
        <f>Page4!H30</f>
        <v>0</v>
      </c>
      <c r="R24" s="64">
        <f>R3</f>
        <v>0</v>
      </c>
    </row>
    <row r="25" spans="1:18">
      <c r="A25" s="311"/>
      <c r="B25" s="64">
        <f>Page1!C30</f>
        <v>0</v>
      </c>
      <c r="D25" s="71">
        <f>Page1!L30</f>
        <v>0</v>
      </c>
      <c r="E25" s="73" t="e">
        <f>Page4!G31</f>
        <v>#DIV/0!</v>
      </c>
      <c r="F25" s="73">
        <f>Page1!H30</f>
        <v>0</v>
      </c>
      <c r="G25" s="72">
        <f>Page1!N30</f>
        <v>0</v>
      </c>
      <c r="H25" s="72">
        <f>Page1!D30</f>
        <v>0</v>
      </c>
      <c r="I25" s="71" t="e">
        <f>Page3!G31</f>
        <v>#DIV/0!</v>
      </c>
      <c r="J25" s="71" t="e">
        <f>Page2!G31</f>
        <v>#DIV/0!</v>
      </c>
      <c r="K25" s="73" t="e">
        <f>Page3!K31</f>
        <v>#DIV/0!</v>
      </c>
      <c r="L25" s="73" t="e">
        <f>Page2!K31</f>
        <v>#DIV/0!</v>
      </c>
      <c r="M25" s="73" t="e">
        <f>Page2!O31</f>
        <v>#DIV/0!</v>
      </c>
      <c r="N25" s="74">
        <f>Page1!F30</f>
        <v>0</v>
      </c>
      <c r="O25" s="73" t="e">
        <f>Page3!O31</f>
        <v>#DIV/0!</v>
      </c>
      <c r="P25" s="64">
        <f>P3</f>
        <v>0</v>
      </c>
      <c r="Q25" s="71">
        <f>Page4!H31</f>
        <v>0</v>
      </c>
      <c r="R25" s="64">
        <f>R3</f>
        <v>0</v>
      </c>
    </row>
    <row r="26" spans="1:18">
      <c r="A26" s="311"/>
      <c r="B26" s="64">
        <f>Page1!C31</f>
        <v>0</v>
      </c>
      <c r="D26" s="71">
        <f>Page1!L31</f>
        <v>0</v>
      </c>
      <c r="E26" s="73" t="e">
        <f>Page4!G32</f>
        <v>#DIV/0!</v>
      </c>
      <c r="F26" s="73">
        <f>Page1!H31</f>
        <v>0</v>
      </c>
      <c r="G26" s="72">
        <f>Page1!N31</f>
        <v>0</v>
      </c>
      <c r="H26" s="72">
        <f>Page1!D31</f>
        <v>0</v>
      </c>
      <c r="I26" s="71" t="e">
        <f>Page3!G32</f>
        <v>#DIV/0!</v>
      </c>
      <c r="J26" s="71" t="e">
        <f>Page2!G32</f>
        <v>#DIV/0!</v>
      </c>
      <c r="K26" s="73" t="e">
        <f>Page3!K32</f>
        <v>#DIV/0!</v>
      </c>
      <c r="L26" s="73" t="e">
        <f>Page2!K32</f>
        <v>#DIV/0!</v>
      </c>
      <c r="M26" s="73" t="e">
        <f>Page2!O32</f>
        <v>#DIV/0!</v>
      </c>
      <c r="N26" s="74">
        <f>Page1!F31</f>
        <v>0</v>
      </c>
      <c r="O26" s="73" t="e">
        <f>Page3!O32</f>
        <v>#DIV/0!</v>
      </c>
      <c r="P26" s="64">
        <f>P3</f>
        <v>0</v>
      </c>
      <c r="Q26" s="71">
        <f>Page4!H32</f>
        <v>0</v>
      </c>
      <c r="R26" s="64">
        <f>R3</f>
        <v>0</v>
      </c>
    </row>
    <row r="27" spans="1:18">
      <c r="A27" s="311"/>
      <c r="B27" s="64">
        <f>Page1!C32</f>
        <v>0</v>
      </c>
      <c r="D27" s="71">
        <f>Page1!L32</f>
        <v>0</v>
      </c>
      <c r="E27" s="73" t="e">
        <f>Page4!G33</f>
        <v>#DIV/0!</v>
      </c>
      <c r="F27" s="73">
        <f>Page1!H32</f>
        <v>0</v>
      </c>
      <c r="G27" s="72">
        <f>Page1!N32</f>
        <v>0</v>
      </c>
      <c r="H27" s="72">
        <f>Page1!D32</f>
        <v>0</v>
      </c>
      <c r="I27" s="71" t="e">
        <f>Page3!G33</f>
        <v>#DIV/0!</v>
      </c>
      <c r="J27" s="71" t="e">
        <f>Page2!G33</f>
        <v>#DIV/0!</v>
      </c>
      <c r="K27" s="73" t="e">
        <f>Page3!K33</f>
        <v>#DIV/0!</v>
      </c>
      <c r="L27" s="73" t="e">
        <f>Page2!K33</f>
        <v>#DIV/0!</v>
      </c>
      <c r="M27" s="73" t="e">
        <f>Page2!O33</f>
        <v>#DIV/0!</v>
      </c>
      <c r="N27" s="74">
        <f>Page1!F32</f>
        <v>0</v>
      </c>
      <c r="O27" s="73" t="e">
        <f>Page3!O33</f>
        <v>#DIV/0!</v>
      </c>
      <c r="P27" s="64">
        <f>P3</f>
        <v>0</v>
      </c>
      <c r="Q27" s="71">
        <f>Page4!H33</f>
        <v>0</v>
      </c>
      <c r="R27" s="64">
        <f>R3</f>
        <v>0</v>
      </c>
    </row>
    <row r="28" spans="1:18">
      <c r="A28" s="311"/>
      <c r="B28" s="64">
        <f>Page1!C33</f>
        <v>0</v>
      </c>
      <c r="D28" s="71">
        <f>Page1!L33</f>
        <v>0</v>
      </c>
      <c r="E28" s="73" t="e">
        <f>Page4!G34</f>
        <v>#DIV/0!</v>
      </c>
      <c r="F28" s="73">
        <f>Page1!H33</f>
        <v>0</v>
      </c>
      <c r="G28" s="72">
        <f>Page1!N33</f>
        <v>0</v>
      </c>
      <c r="H28" s="72">
        <f>Page1!D33</f>
        <v>0</v>
      </c>
      <c r="I28" s="71" t="e">
        <f>Page3!G34</f>
        <v>#DIV/0!</v>
      </c>
      <c r="J28" s="71" t="e">
        <f>Page2!G34</f>
        <v>#DIV/0!</v>
      </c>
      <c r="K28" s="73" t="e">
        <f>Page3!K34</f>
        <v>#DIV/0!</v>
      </c>
      <c r="L28" s="73" t="e">
        <f>Page2!K34</f>
        <v>#DIV/0!</v>
      </c>
      <c r="M28" s="73" t="e">
        <f>Page2!O34</f>
        <v>#DIV/0!</v>
      </c>
      <c r="N28" s="74">
        <f>Page1!F33</f>
        <v>0</v>
      </c>
      <c r="O28" s="73" t="e">
        <f>Page3!O34</f>
        <v>#DIV/0!</v>
      </c>
      <c r="P28" s="64">
        <f>P3</f>
        <v>0</v>
      </c>
      <c r="Q28" s="71">
        <f>Page4!H34</f>
        <v>0</v>
      </c>
      <c r="R28" s="64">
        <f>R3</f>
        <v>0</v>
      </c>
    </row>
    <row r="29" spans="1:18">
      <c r="A29" s="311"/>
      <c r="B29" s="64">
        <f>Page1!C34</f>
        <v>0</v>
      </c>
      <c r="D29" s="71">
        <f>Page1!L34</f>
        <v>0</v>
      </c>
      <c r="E29" s="73" t="e">
        <f>Page4!G35</f>
        <v>#DIV/0!</v>
      </c>
      <c r="F29" s="73">
        <f>Page1!H34</f>
        <v>0</v>
      </c>
      <c r="G29" s="72">
        <f>Page1!N34</f>
        <v>0</v>
      </c>
      <c r="H29" s="72">
        <f>Page1!D34</f>
        <v>0</v>
      </c>
      <c r="I29" s="71" t="e">
        <f>Page3!G35</f>
        <v>#DIV/0!</v>
      </c>
      <c r="J29" s="71" t="e">
        <f>Page2!G35</f>
        <v>#DIV/0!</v>
      </c>
      <c r="K29" s="73" t="e">
        <f>Page3!K35</f>
        <v>#DIV/0!</v>
      </c>
      <c r="L29" s="73" t="e">
        <f>Page2!K35</f>
        <v>#DIV/0!</v>
      </c>
      <c r="M29" s="73" t="e">
        <f>Page2!O35</f>
        <v>#DIV/0!</v>
      </c>
      <c r="N29" s="74">
        <f>Page1!F34</f>
        <v>0</v>
      </c>
      <c r="O29" s="73" t="e">
        <f>Page3!O35</f>
        <v>#DIV/0!</v>
      </c>
      <c r="P29" s="64">
        <f>P3</f>
        <v>0</v>
      </c>
      <c r="Q29" s="71">
        <f>Page4!H35</f>
        <v>0</v>
      </c>
      <c r="R29" s="64">
        <f>R3</f>
        <v>0</v>
      </c>
    </row>
    <row r="30" spans="1:18">
      <c r="A30" s="311"/>
      <c r="B30" s="64">
        <f>Page1!C35</f>
        <v>0</v>
      </c>
      <c r="D30" s="71">
        <f>Page1!L35</f>
        <v>0</v>
      </c>
      <c r="E30" s="73" t="e">
        <f>Page4!G36</f>
        <v>#DIV/0!</v>
      </c>
      <c r="F30" s="73">
        <f>Page1!H35</f>
        <v>0</v>
      </c>
      <c r="G30" s="72">
        <f>Page1!N35</f>
        <v>0</v>
      </c>
      <c r="H30" s="72">
        <f>Page1!D35</f>
        <v>0</v>
      </c>
      <c r="I30" s="71" t="e">
        <f>Page3!G36</f>
        <v>#DIV/0!</v>
      </c>
      <c r="J30" s="71" t="e">
        <f>Page2!G36</f>
        <v>#DIV/0!</v>
      </c>
      <c r="K30" s="73" t="e">
        <f>Page3!K36</f>
        <v>#DIV/0!</v>
      </c>
      <c r="L30" s="73" t="e">
        <f>Page2!K36</f>
        <v>#DIV/0!</v>
      </c>
      <c r="M30" s="73" t="e">
        <f>Page2!O36</f>
        <v>#DIV/0!</v>
      </c>
      <c r="N30" s="74">
        <f>Page1!F35</f>
        <v>0</v>
      </c>
      <c r="O30" s="73" t="e">
        <f>Page3!O36</f>
        <v>#DIV/0!</v>
      </c>
      <c r="P30" s="64">
        <f>P3</f>
        <v>0</v>
      </c>
      <c r="Q30" s="71">
        <f>Page4!H36</f>
        <v>0</v>
      </c>
      <c r="R30" s="64">
        <f>R3</f>
        <v>0</v>
      </c>
    </row>
    <row r="31" spans="1:18">
      <c r="A31" s="311"/>
      <c r="B31" s="64">
        <f>Page1!C36</f>
        <v>0</v>
      </c>
      <c r="D31" s="71">
        <f>Page1!L36</f>
        <v>0</v>
      </c>
      <c r="E31" s="73" t="e">
        <f>Page4!G37</f>
        <v>#DIV/0!</v>
      </c>
      <c r="F31" s="73">
        <f>Page1!H36</f>
        <v>0</v>
      </c>
      <c r="G31" s="72">
        <f>Page1!N36</f>
        <v>0</v>
      </c>
      <c r="H31" s="72">
        <f>Page1!D36</f>
        <v>0</v>
      </c>
      <c r="I31" s="71" t="e">
        <f>Page3!G37</f>
        <v>#DIV/0!</v>
      </c>
      <c r="J31" s="71" t="e">
        <f>Page2!G37</f>
        <v>#DIV/0!</v>
      </c>
      <c r="K31" s="73" t="e">
        <f>Page3!K37</f>
        <v>#DIV/0!</v>
      </c>
      <c r="L31" s="73" t="e">
        <f>Page2!K37</f>
        <v>#DIV/0!</v>
      </c>
      <c r="M31" s="73" t="e">
        <f>Page2!O37</f>
        <v>#DIV/0!</v>
      </c>
      <c r="N31" s="74">
        <f>Page1!F36</f>
        <v>0</v>
      </c>
      <c r="O31" s="73" t="e">
        <f>Page3!O37</f>
        <v>#DIV/0!</v>
      </c>
      <c r="P31" s="64">
        <f>P3</f>
        <v>0</v>
      </c>
      <c r="Q31" s="71">
        <f>Page4!H37</f>
        <v>0</v>
      </c>
      <c r="R31" s="64">
        <f>R3</f>
        <v>0</v>
      </c>
    </row>
    <row r="32" spans="1:18">
      <c r="A32" s="311"/>
      <c r="B32" s="64">
        <f>Page1!C37</f>
        <v>0</v>
      </c>
      <c r="D32" s="71">
        <f>Page1!L37</f>
        <v>0</v>
      </c>
      <c r="E32" s="73" t="e">
        <f>Page4!G38</f>
        <v>#DIV/0!</v>
      </c>
      <c r="F32" s="73">
        <f>Page1!H37</f>
        <v>0</v>
      </c>
      <c r="G32" s="72">
        <f>Page1!N37</f>
        <v>0</v>
      </c>
      <c r="H32" s="72">
        <f>Page1!D37</f>
        <v>0</v>
      </c>
      <c r="I32" s="71" t="e">
        <f>Page3!G38</f>
        <v>#DIV/0!</v>
      </c>
      <c r="J32" s="71" t="e">
        <f>Page2!G38</f>
        <v>#DIV/0!</v>
      </c>
      <c r="K32" s="73" t="e">
        <f>Page3!K38</f>
        <v>#DIV/0!</v>
      </c>
      <c r="L32" s="73" t="e">
        <f>Page2!K38</f>
        <v>#DIV/0!</v>
      </c>
      <c r="M32" s="73" t="e">
        <f>Page2!O38</f>
        <v>#DIV/0!</v>
      </c>
      <c r="N32" s="74">
        <f>Page1!F37</f>
        <v>0</v>
      </c>
      <c r="O32" s="73" t="e">
        <f>Page3!O38</f>
        <v>#DIV/0!</v>
      </c>
      <c r="P32" s="64">
        <f>P3</f>
        <v>0</v>
      </c>
      <c r="Q32" s="71">
        <f>Page4!H38</f>
        <v>0</v>
      </c>
      <c r="R32" s="64">
        <f>R3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F544-FD28-404D-9524-773BC4F36D40}">
  <dimension ref="A1:AT53"/>
  <sheetViews>
    <sheetView zoomScaleNormal="100" workbookViewId="0">
      <selection activeCell="G18" sqref="G18"/>
    </sheetView>
  </sheetViews>
  <sheetFormatPr defaultRowHeight="11.25"/>
  <cols>
    <col min="1" max="1" width="5" style="75" customWidth="1"/>
    <col min="2" max="2" width="35.7109375" style="75" customWidth="1"/>
    <col min="3" max="4" width="17.140625" style="75" customWidth="1"/>
    <col min="5" max="10" width="7.85546875" style="75" customWidth="1"/>
    <col min="11" max="40" width="9.28515625" style="75" customWidth="1"/>
    <col min="41" max="42" width="9.28515625" style="76" customWidth="1"/>
    <col min="43" max="43" width="9.28515625" style="75" customWidth="1"/>
    <col min="44" max="45" width="9.28515625" style="76" customWidth="1"/>
    <col min="46" max="46" width="9.28515625" style="75" customWidth="1"/>
    <col min="47" max="16384" width="9.140625" style="75"/>
  </cols>
  <sheetData>
    <row r="1" spans="1:46" ht="15.75" customHeight="1">
      <c r="B1" s="98"/>
      <c r="C1" s="99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1"/>
      <c r="Y1" s="101"/>
      <c r="Z1" s="101"/>
      <c r="AA1" s="101"/>
      <c r="AB1" s="101"/>
      <c r="AC1" s="101"/>
      <c r="AD1" s="102"/>
      <c r="AE1" s="102"/>
      <c r="AF1" s="102"/>
      <c r="AG1" s="102"/>
      <c r="AH1" s="102"/>
      <c r="AI1" s="102"/>
      <c r="AJ1" s="101"/>
      <c r="AK1" s="102"/>
      <c r="AL1" s="103"/>
      <c r="AM1" s="101"/>
    </row>
    <row r="2" spans="1:46" s="107" customFormat="1" ht="24">
      <c r="A2" s="105" t="s">
        <v>81</v>
      </c>
      <c r="B2" s="105" t="s">
        <v>82</v>
      </c>
      <c r="C2" s="105" t="s">
        <v>83</v>
      </c>
      <c r="D2" s="105" t="s">
        <v>84</v>
      </c>
      <c r="E2" s="105" t="s">
        <v>85</v>
      </c>
      <c r="F2" s="105" t="s">
        <v>86</v>
      </c>
      <c r="G2" s="105" t="s">
        <v>87</v>
      </c>
      <c r="H2" s="105" t="s">
        <v>88</v>
      </c>
      <c r="I2" s="105" t="s">
        <v>89</v>
      </c>
      <c r="J2" s="105" t="s">
        <v>90</v>
      </c>
      <c r="K2" s="105">
        <v>1</v>
      </c>
      <c r="L2" s="105">
        <v>2</v>
      </c>
      <c r="M2" s="105">
        <v>3</v>
      </c>
      <c r="N2" s="105">
        <v>4</v>
      </c>
      <c r="O2" s="105">
        <v>5</v>
      </c>
      <c r="P2" s="105">
        <v>6</v>
      </c>
      <c r="Q2" s="105">
        <v>7</v>
      </c>
      <c r="R2" s="105">
        <v>8</v>
      </c>
      <c r="S2" s="105">
        <v>9</v>
      </c>
      <c r="T2" s="105">
        <v>10</v>
      </c>
      <c r="U2" s="105">
        <v>11</v>
      </c>
      <c r="V2" s="105">
        <v>12</v>
      </c>
      <c r="W2" s="105">
        <v>13</v>
      </c>
      <c r="X2" s="105">
        <v>14</v>
      </c>
      <c r="Y2" s="105">
        <v>15</v>
      </c>
      <c r="Z2" s="105">
        <v>16</v>
      </c>
      <c r="AA2" s="105">
        <v>17</v>
      </c>
      <c r="AB2" s="105">
        <v>18</v>
      </c>
      <c r="AC2" s="105">
        <v>19</v>
      </c>
      <c r="AD2" s="105">
        <v>20</v>
      </c>
      <c r="AE2" s="105">
        <v>21</v>
      </c>
      <c r="AF2" s="105">
        <v>22</v>
      </c>
      <c r="AG2" s="105">
        <v>23</v>
      </c>
      <c r="AH2" s="105">
        <v>24</v>
      </c>
      <c r="AI2" s="105">
        <v>25</v>
      </c>
      <c r="AJ2" s="105">
        <v>26</v>
      </c>
      <c r="AK2" s="105">
        <v>27</v>
      </c>
      <c r="AL2" s="105">
        <v>28</v>
      </c>
      <c r="AM2" s="105">
        <v>29</v>
      </c>
      <c r="AN2" s="105">
        <v>30</v>
      </c>
      <c r="AO2" s="106" t="s">
        <v>19</v>
      </c>
      <c r="AP2" s="106" t="s">
        <v>91</v>
      </c>
      <c r="AQ2" s="105" t="s">
        <v>92</v>
      </c>
      <c r="AR2" s="106" t="s">
        <v>93</v>
      </c>
      <c r="AS2" s="106" t="s">
        <v>94</v>
      </c>
      <c r="AT2" s="105" t="s">
        <v>95</v>
      </c>
    </row>
    <row r="3" spans="1:46" s="118" customFormat="1" ht="15" customHeight="1">
      <c r="A3" s="108">
        <v>1</v>
      </c>
      <c r="B3" s="109" t="s">
        <v>96</v>
      </c>
      <c r="C3" s="110" t="s">
        <v>97</v>
      </c>
      <c r="D3" s="111" t="s">
        <v>98</v>
      </c>
      <c r="E3" s="111" t="s">
        <v>99</v>
      </c>
      <c r="F3" s="111" t="s">
        <v>99</v>
      </c>
      <c r="G3" s="112" t="s">
        <v>100</v>
      </c>
      <c r="H3" s="112" t="s">
        <v>101</v>
      </c>
      <c r="I3" s="112" t="s">
        <v>102</v>
      </c>
      <c r="J3" s="112" t="s">
        <v>103</v>
      </c>
      <c r="K3" s="113" cm="1">
        <f t="array" ref="K3">INDEX(Page1!$L$8:$L$37, COLUMN(K3)-10)</f>
        <v>0</v>
      </c>
      <c r="L3" s="113" cm="1">
        <f t="array" ref="L3">INDEX(Page1!$L$8:$L$37, COLUMN(L3)-10)</f>
        <v>0</v>
      </c>
      <c r="M3" s="113" cm="1">
        <f t="array" ref="M3">INDEX(Page1!$L$8:$L$37, COLUMN(M3)-10)</f>
        <v>0</v>
      </c>
      <c r="N3" s="113" cm="1">
        <f t="array" ref="N3">INDEX(Page1!$L$8:$L$37, COLUMN(N3)-10)</f>
        <v>0</v>
      </c>
      <c r="O3" s="113" cm="1">
        <f t="array" ref="O3">INDEX(Page1!$L$8:$L$37, COLUMN(O3)-10)</f>
        <v>0</v>
      </c>
      <c r="P3" s="113" cm="1">
        <f t="array" ref="P3">INDEX(Page1!$L$8:$L$37, COLUMN(P3)-10)</f>
        <v>0</v>
      </c>
      <c r="Q3" s="113" cm="1">
        <f t="array" ref="Q3">INDEX(Page1!$L$8:$L$37, COLUMN(Q3)-10)</f>
        <v>0</v>
      </c>
      <c r="R3" s="113" cm="1">
        <f t="array" ref="R3">INDEX(Page1!$L$8:$L$37, COLUMN(R3)-10)</f>
        <v>0</v>
      </c>
      <c r="S3" s="113" cm="1">
        <f t="array" ref="S3">INDEX(Page1!$L$8:$L$37, COLUMN(S3)-10)</f>
        <v>0</v>
      </c>
      <c r="T3" s="113" cm="1">
        <f t="array" ref="T3">INDEX(Page1!$L$8:$L$37, COLUMN(T3)-10)</f>
        <v>0</v>
      </c>
      <c r="U3" s="113" cm="1">
        <f t="array" ref="U3">INDEX(Page1!$L$8:$L$37, COLUMN(U3)-10)</f>
        <v>0</v>
      </c>
      <c r="V3" s="113" cm="1">
        <f t="array" ref="V3">INDEX(Page1!$L$8:$L$37, COLUMN(V3)-10)</f>
        <v>0</v>
      </c>
      <c r="W3" s="113" cm="1">
        <f t="array" ref="W3">INDEX(Page1!$L$8:$L$37, COLUMN(W3)-10)</f>
        <v>0</v>
      </c>
      <c r="X3" s="113" cm="1">
        <f t="array" ref="X3">INDEX(Page1!$L$8:$L$37, COLUMN(X3)-10)</f>
        <v>0</v>
      </c>
      <c r="Y3" s="113" cm="1">
        <f t="array" ref="Y3">INDEX(Page1!$L$8:$L$37, COLUMN(Y3)-10)</f>
        <v>0</v>
      </c>
      <c r="Z3" s="113" cm="1">
        <f t="array" ref="Z3">INDEX(Page1!$L$8:$L$37, COLUMN(Z3)-10)</f>
        <v>0</v>
      </c>
      <c r="AA3" s="113" cm="1">
        <f t="array" ref="AA3">INDEX(Page1!$L$8:$L$37, COLUMN(AA3)-10)</f>
        <v>0</v>
      </c>
      <c r="AB3" s="113" cm="1">
        <f t="array" ref="AB3">INDEX(Page1!$L$8:$L$37, COLUMN(AB3)-10)</f>
        <v>0</v>
      </c>
      <c r="AC3" s="113" cm="1">
        <f t="array" ref="AC3">INDEX(Page1!$L$8:$L$37, COLUMN(AC3)-10)</f>
        <v>0</v>
      </c>
      <c r="AD3" s="113" cm="1">
        <f t="array" ref="AD3">INDEX(Page1!$L$8:$L$37, COLUMN(AD3)-10)</f>
        <v>0</v>
      </c>
      <c r="AE3" s="113" cm="1">
        <f t="array" ref="AE3">INDEX(Page1!$L$8:$L$37, COLUMN(AE3)-10)</f>
        <v>0</v>
      </c>
      <c r="AF3" s="113" cm="1">
        <f t="array" ref="AF3">INDEX(Page1!$L$8:$L$37, COLUMN(AF3)-10)</f>
        <v>0</v>
      </c>
      <c r="AG3" s="113" cm="1">
        <f t="array" ref="AG3">INDEX(Page1!$L$8:$L$37, COLUMN(AG3)-10)</f>
        <v>0</v>
      </c>
      <c r="AH3" s="113" cm="1">
        <f t="array" ref="AH3">INDEX(Page1!$L$8:$L$37, COLUMN(AH3)-10)</f>
        <v>0</v>
      </c>
      <c r="AI3" s="113" cm="1">
        <f t="array" ref="AI3">INDEX(Page1!$L$8:$L$37, COLUMN(AI3)-10)</f>
        <v>0</v>
      </c>
      <c r="AJ3" s="113" cm="1">
        <f t="array" ref="AJ3">INDEX(Page1!$L$8:$L$37, COLUMN(AJ3)-10)</f>
        <v>0</v>
      </c>
      <c r="AK3" s="113" cm="1">
        <f t="array" ref="AK3">INDEX(Page1!$L$8:$L$37, COLUMN(AK3)-10)</f>
        <v>0</v>
      </c>
      <c r="AL3" s="113" cm="1">
        <f t="array" ref="AL3">INDEX(Page1!$L$8:$L$37, COLUMN(AL3)-10)</f>
        <v>0</v>
      </c>
      <c r="AM3" s="113" cm="1">
        <f t="array" ref="AM3">INDEX(Page1!$L$8:$L$37, COLUMN(AM3)-10)</f>
        <v>0</v>
      </c>
      <c r="AN3" s="113" cm="1">
        <f t="array" ref="AN3">INDEX(Page1!$L$8:$L$37, COLUMN(AN3)-10)</f>
        <v>0</v>
      </c>
      <c r="AO3" s="114">
        <f t="shared" ref="AO3:AO16" si="0">AVERAGE(K3:AN3)</f>
        <v>0</v>
      </c>
      <c r="AP3" s="115">
        <f>STDEV(K3:AN3)</f>
        <v>0</v>
      </c>
      <c r="AQ3" s="116" t="e">
        <f>MIN((AO3-H3)/(3*AP3), (I3-AO3)/(3*AP3))</f>
        <v>#DIV/0!</v>
      </c>
      <c r="AR3" s="117">
        <f t="shared" ref="AR3:AR16" si="1">MIN(K3:AN3)</f>
        <v>0</v>
      </c>
      <c r="AS3" s="117">
        <f>MAX(K3:AN3)</f>
        <v>0</v>
      </c>
      <c r="AT3" s="104" t="e">
        <f>IF(AQ3&gt;=1.33,"Pass","Fail")</f>
        <v>#DIV/0!</v>
      </c>
    </row>
    <row r="4" spans="1:46" s="118" customFormat="1" ht="15" customHeight="1">
      <c r="A4" s="108">
        <v>2</v>
      </c>
      <c r="B4" s="109" t="s">
        <v>104</v>
      </c>
      <c r="C4" s="110" t="s">
        <v>97</v>
      </c>
      <c r="D4" s="111" t="s">
        <v>105</v>
      </c>
      <c r="E4" s="111" t="s">
        <v>106</v>
      </c>
      <c r="F4" s="111" t="s">
        <v>107</v>
      </c>
      <c r="G4" s="112" t="s">
        <v>108</v>
      </c>
      <c r="H4" s="112"/>
      <c r="I4" s="112" t="s">
        <v>109</v>
      </c>
      <c r="J4" s="112" t="s">
        <v>103</v>
      </c>
      <c r="K4" s="119" t="e" cm="1">
        <f t="array" ref="K4">INDEX(Page4!$G$9:$G$38, COLUMN(K4)-10)</f>
        <v>#DIV/0!</v>
      </c>
      <c r="L4" s="119" t="e" cm="1">
        <f t="array" ref="L4">INDEX(Page4!$G$9:$G$38, COLUMN(L4)-10)</f>
        <v>#DIV/0!</v>
      </c>
      <c r="M4" s="119" t="e" cm="1">
        <f t="array" ref="M4">INDEX(Page4!$G$9:$G$38, COLUMN(M4)-10)</f>
        <v>#DIV/0!</v>
      </c>
      <c r="N4" s="119" t="e" cm="1">
        <f t="array" ref="N4">INDEX(Page4!$G$9:$G$38, COLUMN(N4)-10)</f>
        <v>#DIV/0!</v>
      </c>
      <c r="O4" s="119" t="e" cm="1">
        <f t="array" ref="O4">INDEX(Page4!$G$9:$G$38, COLUMN(O4)-10)</f>
        <v>#DIV/0!</v>
      </c>
      <c r="P4" s="119" t="e" cm="1">
        <f t="array" ref="P4">INDEX(Page4!$G$9:$G$38, COLUMN(P4)-10)</f>
        <v>#DIV/0!</v>
      </c>
      <c r="Q4" s="119" t="e" cm="1">
        <f t="array" ref="Q4">INDEX(Page4!$G$9:$G$38, COLUMN(Q4)-10)</f>
        <v>#DIV/0!</v>
      </c>
      <c r="R4" s="119" t="e" cm="1">
        <f t="array" ref="R4">INDEX(Page4!$G$9:$G$38, COLUMN(R4)-10)</f>
        <v>#DIV/0!</v>
      </c>
      <c r="S4" s="119" t="e" cm="1">
        <f t="array" ref="S4">INDEX(Page4!$G$9:$G$38, COLUMN(S4)-10)</f>
        <v>#DIV/0!</v>
      </c>
      <c r="T4" s="119" t="e" cm="1">
        <f t="array" ref="T4">INDEX(Page4!$G$9:$G$38, COLUMN(T4)-10)</f>
        <v>#DIV/0!</v>
      </c>
      <c r="U4" s="119" t="e" cm="1">
        <f t="array" ref="U4">INDEX(Page4!$G$9:$G$38, COLUMN(U4)-10)</f>
        <v>#DIV/0!</v>
      </c>
      <c r="V4" s="119" t="e" cm="1">
        <f t="array" ref="V4">INDEX(Page4!$G$9:$G$38, COLUMN(V4)-10)</f>
        <v>#DIV/0!</v>
      </c>
      <c r="W4" s="119" t="e" cm="1">
        <f t="array" ref="W4">INDEX(Page4!$G$9:$G$38, COLUMN(W4)-10)</f>
        <v>#DIV/0!</v>
      </c>
      <c r="X4" s="119" t="e" cm="1">
        <f t="array" ref="X4">INDEX(Page4!$G$9:$G$38, COLUMN(X4)-10)</f>
        <v>#DIV/0!</v>
      </c>
      <c r="Y4" s="119" t="e" cm="1">
        <f t="array" ref="Y4">INDEX(Page4!$G$9:$G$38, COLUMN(Y4)-10)</f>
        <v>#DIV/0!</v>
      </c>
      <c r="Z4" s="119" t="e" cm="1">
        <f t="array" ref="Z4">INDEX(Page4!$G$9:$G$38, COLUMN(Z4)-10)</f>
        <v>#DIV/0!</v>
      </c>
      <c r="AA4" s="119" t="e" cm="1">
        <f t="array" ref="AA4">INDEX(Page4!$G$9:$G$38, COLUMN(AA4)-10)</f>
        <v>#DIV/0!</v>
      </c>
      <c r="AB4" s="119" t="e" cm="1">
        <f t="array" ref="AB4">INDEX(Page4!$G$9:$G$38, COLUMN(AB4)-10)</f>
        <v>#DIV/0!</v>
      </c>
      <c r="AC4" s="119" t="e" cm="1">
        <f t="array" ref="AC4">INDEX(Page4!$G$9:$G$38, COLUMN(AC4)-10)</f>
        <v>#DIV/0!</v>
      </c>
      <c r="AD4" s="119" t="e" cm="1">
        <f t="array" ref="AD4">INDEX(Page4!$G$9:$G$38, COLUMN(AD4)-10)</f>
        <v>#DIV/0!</v>
      </c>
      <c r="AE4" s="119" t="e" cm="1">
        <f t="array" ref="AE4">INDEX(Page4!$G$9:$G$38, COLUMN(AE4)-10)</f>
        <v>#DIV/0!</v>
      </c>
      <c r="AF4" s="119" t="e" cm="1">
        <f t="array" ref="AF4">INDEX(Page4!$G$9:$G$38, COLUMN(AF4)-10)</f>
        <v>#DIV/0!</v>
      </c>
      <c r="AG4" s="119" t="e" cm="1">
        <f t="array" ref="AG4">INDEX(Page4!$G$9:$G$38, COLUMN(AG4)-10)</f>
        <v>#DIV/0!</v>
      </c>
      <c r="AH4" s="119" t="e" cm="1">
        <f t="array" ref="AH4">INDEX(Page4!$G$9:$G$38, COLUMN(AH4)-10)</f>
        <v>#DIV/0!</v>
      </c>
      <c r="AI4" s="119" t="e" cm="1">
        <f t="array" ref="AI4">INDEX(Page4!$G$9:$G$38, COLUMN(AI4)-10)</f>
        <v>#DIV/0!</v>
      </c>
      <c r="AJ4" s="119" t="e" cm="1">
        <f t="array" ref="AJ4">INDEX(Page4!$G$9:$G$38, COLUMN(AJ4)-10)</f>
        <v>#DIV/0!</v>
      </c>
      <c r="AK4" s="119" t="e" cm="1">
        <f t="array" ref="AK4">INDEX(Page4!$G$9:$G$38, COLUMN(AK4)-10)</f>
        <v>#DIV/0!</v>
      </c>
      <c r="AL4" s="119" t="e" cm="1">
        <f t="array" ref="AL4">INDEX(Page4!$G$9:$G$38, COLUMN(AL4)-10)</f>
        <v>#DIV/0!</v>
      </c>
      <c r="AM4" s="119" t="e" cm="1">
        <f t="array" ref="AM4">INDEX(Page4!$G$9:$G$38, COLUMN(AM4)-10)</f>
        <v>#DIV/0!</v>
      </c>
      <c r="AN4" s="119" t="e" cm="1">
        <f t="array" ref="AN4">INDEX(Page4!$G$9:$G$38, COLUMN(AN4)-10)</f>
        <v>#DIV/0!</v>
      </c>
      <c r="AO4" s="120" t="e">
        <f t="shared" si="0"/>
        <v>#DIV/0!</v>
      </c>
      <c r="AP4" s="115" t="e">
        <f>STDEV(K4:AN4)</f>
        <v>#DIV/0!</v>
      </c>
      <c r="AQ4" s="121" t="e">
        <f>(I4-AO4)/(3*AP4)</f>
        <v>#DIV/0!</v>
      </c>
      <c r="AR4" s="122" t="e">
        <f t="shared" si="1"/>
        <v>#DIV/0!</v>
      </c>
      <c r="AS4" s="122" t="e">
        <f>MAX(K4:AN4)</f>
        <v>#DIV/0!</v>
      </c>
      <c r="AT4" s="104" t="e">
        <f>IF(AQ4&gt;=1.33,"Pass","Fail")</f>
        <v>#DIV/0!</v>
      </c>
    </row>
    <row r="5" spans="1:46" s="118" customFormat="1" ht="15" customHeight="1">
      <c r="A5" s="108">
        <v>3</v>
      </c>
      <c r="B5" s="109" t="s">
        <v>110</v>
      </c>
      <c r="C5" s="110" t="s">
        <v>97</v>
      </c>
      <c r="D5" s="111" t="s">
        <v>111</v>
      </c>
      <c r="E5" s="111" t="s">
        <v>99</v>
      </c>
      <c r="F5" s="111" t="s">
        <v>107</v>
      </c>
      <c r="G5" s="112" t="s">
        <v>112</v>
      </c>
      <c r="H5" s="112" t="s">
        <v>113</v>
      </c>
      <c r="I5" s="112" t="s">
        <v>114</v>
      </c>
      <c r="J5" s="112" t="s">
        <v>103</v>
      </c>
      <c r="K5" s="119" cm="1">
        <f t="array" ref="K5">INDEX(Page1!$H$8:$H$37, COLUMN(K5)-10)</f>
        <v>0</v>
      </c>
      <c r="L5" s="119" cm="1">
        <f t="array" ref="L5">INDEX(Page1!$H$8:$H$37, COLUMN(L5)-10)</f>
        <v>0</v>
      </c>
      <c r="M5" s="119" cm="1">
        <f t="array" ref="M5">INDEX(Page1!$H$8:$H$37, COLUMN(M5)-10)</f>
        <v>0</v>
      </c>
      <c r="N5" s="119" cm="1">
        <f t="array" ref="N5">INDEX(Page1!$H$8:$H$37, COLUMN(N5)-10)</f>
        <v>0</v>
      </c>
      <c r="O5" s="119" cm="1">
        <f t="array" ref="O5">INDEX(Page1!$H$8:$H$37, COLUMN(O5)-10)</f>
        <v>0</v>
      </c>
      <c r="P5" s="119" cm="1">
        <f t="array" ref="P5">INDEX(Page1!$H$8:$H$37, COLUMN(P5)-10)</f>
        <v>0</v>
      </c>
      <c r="Q5" s="119" cm="1">
        <f t="array" ref="Q5">INDEX(Page1!$H$8:$H$37, COLUMN(Q5)-10)</f>
        <v>0</v>
      </c>
      <c r="R5" s="119" cm="1">
        <f t="array" ref="R5">INDEX(Page1!$H$8:$H$37, COLUMN(R5)-10)</f>
        <v>0</v>
      </c>
      <c r="S5" s="119" cm="1">
        <f t="array" ref="S5">INDEX(Page1!$H$8:$H$37, COLUMN(S5)-10)</f>
        <v>0</v>
      </c>
      <c r="T5" s="119" cm="1">
        <f t="array" ref="T5">INDEX(Page1!$H$8:$H$37, COLUMN(T5)-10)</f>
        <v>0</v>
      </c>
      <c r="U5" s="119" cm="1">
        <f t="array" ref="U5">INDEX(Page1!$H$8:$H$37, COLUMN(U5)-10)</f>
        <v>0</v>
      </c>
      <c r="V5" s="119" cm="1">
        <f t="array" ref="V5">INDEX(Page1!$H$8:$H$37, COLUMN(V5)-10)</f>
        <v>0</v>
      </c>
      <c r="W5" s="119" cm="1">
        <f t="array" ref="W5">INDEX(Page1!$H$8:$H$37, COLUMN(W5)-10)</f>
        <v>0</v>
      </c>
      <c r="X5" s="119" cm="1">
        <f t="array" ref="X5">INDEX(Page1!$H$8:$H$37, COLUMN(X5)-10)</f>
        <v>0</v>
      </c>
      <c r="Y5" s="119" cm="1">
        <f t="array" ref="Y5">INDEX(Page1!$H$8:$H$37, COLUMN(Y5)-10)</f>
        <v>0</v>
      </c>
      <c r="Z5" s="119" cm="1">
        <f t="array" ref="Z5">INDEX(Page1!$H$8:$H$37, COLUMN(Z5)-10)</f>
        <v>0</v>
      </c>
      <c r="AA5" s="119" cm="1">
        <f t="array" ref="AA5">INDEX(Page1!$H$8:$H$37, COLUMN(AA5)-10)</f>
        <v>0</v>
      </c>
      <c r="AB5" s="119" cm="1">
        <f t="array" ref="AB5">INDEX(Page1!$H$8:$H$37, COLUMN(AB5)-10)</f>
        <v>0</v>
      </c>
      <c r="AC5" s="119" cm="1">
        <f t="array" ref="AC5">INDEX(Page1!$H$8:$H$37, COLUMN(AC5)-10)</f>
        <v>0</v>
      </c>
      <c r="AD5" s="119" cm="1">
        <f t="array" ref="AD5">INDEX(Page1!$H$8:$H$37, COLUMN(AD5)-10)</f>
        <v>0</v>
      </c>
      <c r="AE5" s="119" cm="1">
        <f t="array" ref="AE5">INDEX(Page1!$H$8:$H$37, COLUMN(AE5)-10)</f>
        <v>0</v>
      </c>
      <c r="AF5" s="119" cm="1">
        <f t="array" ref="AF5">INDEX(Page1!$H$8:$H$37, COLUMN(AF5)-10)</f>
        <v>0</v>
      </c>
      <c r="AG5" s="119" cm="1">
        <f t="array" ref="AG5">INDEX(Page1!$H$8:$H$37, COLUMN(AG5)-10)</f>
        <v>0</v>
      </c>
      <c r="AH5" s="119" cm="1">
        <f t="array" ref="AH5">INDEX(Page1!$H$8:$H$37, COLUMN(AH5)-10)</f>
        <v>0</v>
      </c>
      <c r="AI5" s="119" cm="1">
        <f t="array" ref="AI5">INDEX(Page1!$H$8:$H$37, COLUMN(AI5)-10)</f>
        <v>0</v>
      </c>
      <c r="AJ5" s="119" cm="1">
        <f t="array" ref="AJ5">INDEX(Page1!$H$8:$H$37, COLUMN(AJ5)-10)</f>
        <v>0</v>
      </c>
      <c r="AK5" s="119" cm="1">
        <f t="array" ref="AK5">INDEX(Page1!$H$8:$H$37, COLUMN(AK5)-10)</f>
        <v>0</v>
      </c>
      <c r="AL5" s="119" cm="1">
        <f t="array" ref="AL5">INDEX(Page1!$H$8:$H$37, COLUMN(AL5)-10)</f>
        <v>0</v>
      </c>
      <c r="AM5" s="119" cm="1">
        <f t="array" ref="AM5">INDEX(Page1!$H$8:$H$37, COLUMN(AM5)-10)</f>
        <v>0</v>
      </c>
      <c r="AN5" s="119" cm="1">
        <f t="array" ref="AN5">INDEX(Page1!$H$8:$H$37, COLUMN(AN5)-10)</f>
        <v>0</v>
      </c>
      <c r="AO5" s="120">
        <f t="shared" si="0"/>
        <v>0</v>
      </c>
      <c r="AP5" s="115">
        <f>STDEV(K5:AN5)</f>
        <v>0</v>
      </c>
      <c r="AQ5" s="121" t="e">
        <f>MIN((AO5-H5)/(3*AP5), (I5-AO5)/(3*AP5))</f>
        <v>#DIV/0!</v>
      </c>
      <c r="AR5" s="122">
        <f t="shared" si="1"/>
        <v>0</v>
      </c>
      <c r="AS5" s="122">
        <f>MAX(K5:AN5)</f>
        <v>0</v>
      </c>
      <c r="AT5" s="104" t="e">
        <f>IF(AQ5&gt;=1.33,"Pass","Fail")</f>
        <v>#DIV/0!</v>
      </c>
    </row>
    <row r="6" spans="1:46" s="118" customFormat="1" ht="15" customHeight="1">
      <c r="A6" s="108">
        <v>4</v>
      </c>
      <c r="B6" s="109" t="s">
        <v>115</v>
      </c>
      <c r="C6" s="110" t="s">
        <v>97</v>
      </c>
      <c r="D6" s="111" t="s">
        <v>98</v>
      </c>
      <c r="E6" s="111" t="s">
        <v>99</v>
      </c>
      <c r="F6" s="111" t="s">
        <v>116</v>
      </c>
      <c r="G6" s="112" t="s">
        <v>117</v>
      </c>
      <c r="H6" s="112"/>
      <c r="I6" s="112" t="s">
        <v>118</v>
      </c>
      <c r="J6" s="112" t="s">
        <v>103</v>
      </c>
      <c r="K6" s="123" cm="1">
        <f t="array" ref="K6">INDEX(Page1!$N$8:$N$37, COLUMN(K6)-10)</f>
        <v>0</v>
      </c>
      <c r="L6" s="123" cm="1">
        <f t="array" ref="L6">INDEX(Page1!$N$8:$N$37, COLUMN(L6)-10)</f>
        <v>0</v>
      </c>
      <c r="M6" s="123" cm="1">
        <f t="array" ref="M6">INDEX(Page1!$N$8:$N$37, COLUMN(M6)-10)</f>
        <v>0</v>
      </c>
      <c r="N6" s="123" cm="1">
        <f t="array" ref="N6">INDEX(Page1!$N$8:$N$37, COLUMN(N6)-10)</f>
        <v>0</v>
      </c>
      <c r="O6" s="123" cm="1">
        <f t="array" ref="O6">INDEX(Page1!$N$8:$N$37, COLUMN(O6)-10)</f>
        <v>0</v>
      </c>
      <c r="P6" s="123" cm="1">
        <f t="array" ref="P6">INDEX(Page1!$N$8:$N$37, COLUMN(P6)-10)</f>
        <v>0</v>
      </c>
      <c r="Q6" s="123" cm="1">
        <f t="array" ref="Q6">INDEX(Page1!$N$8:$N$37, COLUMN(Q6)-10)</f>
        <v>0</v>
      </c>
      <c r="R6" s="123" cm="1">
        <f t="array" ref="R6">INDEX(Page1!$N$8:$N$37, COLUMN(R6)-10)</f>
        <v>0</v>
      </c>
      <c r="S6" s="123" cm="1">
        <f t="array" ref="S6">INDEX(Page1!$N$8:$N$37, COLUMN(S6)-10)</f>
        <v>0</v>
      </c>
      <c r="T6" s="123" cm="1">
        <f t="array" ref="T6">INDEX(Page1!$N$8:$N$37, COLUMN(T6)-10)</f>
        <v>0</v>
      </c>
      <c r="U6" s="123" cm="1">
        <f t="array" ref="U6">INDEX(Page1!$N$8:$N$37, COLUMN(U6)-10)</f>
        <v>0</v>
      </c>
      <c r="V6" s="123" cm="1">
        <f t="array" ref="V6">INDEX(Page1!$N$8:$N$37, COLUMN(V6)-10)</f>
        <v>0</v>
      </c>
      <c r="W6" s="123" cm="1">
        <f t="array" ref="W6">INDEX(Page1!$N$8:$N$37, COLUMN(W6)-10)</f>
        <v>0</v>
      </c>
      <c r="X6" s="123" cm="1">
        <f t="array" ref="X6">INDEX(Page1!$N$8:$N$37, COLUMN(X6)-10)</f>
        <v>0</v>
      </c>
      <c r="Y6" s="123" cm="1">
        <f t="array" ref="Y6">INDEX(Page1!$N$8:$N$37, COLUMN(Y6)-10)</f>
        <v>0</v>
      </c>
      <c r="Z6" s="123" cm="1">
        <f t="array" ref="Z6">INDEX(Page1!$N$8:$N$37, COLUMN(Z6)-10)</f>
        <v>0</v>
      </c>
      <c r="AA6" s="123" cm="1">
        <f t="array" ref="AA6">INDEX(Page1!$N$8:$N$37, COLUMN(AA6)-10)</f>
        <v>0</v>
      </c>
      <c r="AB6" s="123" cm="1">
        <f t="array" ref="AB6">INDEX(Page1!$N$8:$N$37, COLUMN(AB6)-10)</f>
        <v>0</v>
      </c>
      <c r="AC6" s="123" cm="1">
        <f t="array" ref="AC6">INDEX(Page1!$N$8:$N$37, COLUMN(AC6)-10)</f>
        <v>0</v>
      </c>
      <c r="AD6" s="123" cm="1">
        <f t="array" ref="AD6">INDEX(Page1!$N$8:$N$37, COLUMN(AD6)-10)</f>
        <v>0</v>
      </c>
      <c r="AE6" s="123" cm="1">
        <f t="array" ref="AE6">INDEX(Page1!$N$8:$N$37, COLUMN(AE6)-10)</f>
        <v>0</v>
      </c>
      <c r="AF6" s="123" cm="1">
        <f t="array" ref="AF6">INDEX(Page1!$N$8:$N$37, COLUMN(AF6)-10)</f>
        <v>0</v>
      </c>
      <c r="AG6" s="123" cm="1">
        <f t="array" ref="AG6">INDEX(Page1!$N$8:$N$37, COLUMN(AG6)-10)</f>
        <v>0</v>
      </c>
      <c r="AH6" s="123" cm="1">
        <f t="array" ref="AH6">INDEX(Page1!$N$8:$N$37, COLUMN(AH6)-10)</f>
        <v>0</v>
      </c>
      <c r="AI6" s="123" cm="1">
        <f t="array" ref="AI6">INDEX(Page1!$N$8:$N$37, COLUMN(AI6)-10)</f>
        <v>0</v>
      </c>
      <c r="AJ6" s="123" cm="1">
        <f t="array" ref="AJ6">INDEX(Page1!$N$8:$N$37, COLUMN(AJ6)-10)</f>
        <v>0</v>
      </c>
      <c r="AK6" s="123" cm="1">
        <f t="array" ref="AK6">INDEX(Page1!$N$8:$N$37, COLUMN(AK6)-10)</f>
        <v>0</v>
      </c>
      <c r="AL6" s="123" cm="1">
        <f t="array" ref="AL6">INDEX(Page1!$N$8:$N$37, COLUMN(AL6)-10)</f>
        <v>0</v>
      </c>
      <c r="AM6" s="123" cm="1">
        <f t="array" ref="AM6">INDEX(Page1!$N$8:$N$37, COLUMN(AM6)-10)</f>
        <v>0</v>
      </c>
      <c r="AN6" s="123" cm="1">
        <f t="array" ref="AN6">INDEX(Page1!$N$8:$N$37, COLUMN(AN6)-10)</f>
        <v>0</v>
      </c>
      <c r="AO6" s="124">
        <f t="shared" si="0"/>
        <v>0</v>
      </c>
      <c r="AP6" s="115">
        <f>STDEV(K6:AN6)</f>
        <v>0</v>
      </c>
      <c r="AQ6" s="121" t="e">
        <f>(I6-AO6)/(3*AP6)</f>
        <v>#DIV/0!</v>
      </c>
      <c r="AR6" s="115">
        <f t="shared" si="1"/>
        <v>0</v>
      </c>
      <c r="AS6" s="115">
        <f>MAX(K6:AN6)</f>
        <v>0</v>
      </c>
      <c r="AT6" s="104" t="e">
        <f>IF(AQ6&gt;=1.33,"Pass","Fail")</f>
        <v>#DIV/0!</v>
      </c>
    </row>
    <row r="7" spans="1:46" s="118" customFormat="1" ht="15" customHeight="1">
      <c r="A7" s="108">
        <v>5</v>
      </c>
      <c r="B7" s="109" t="s">
        <v>119</v>
      </c>
      <c r="C7" s="110" t="s">
        <v>97</v>
      </c>
      <c r="D7" s="111" t="s">
        <v>120</v>
      </c>
      <c r="E7" s="111" t="s">
        <v>99</v>
      </c>
      <c r="F7" s="111" t="s">
        <v>116</v>
      </c>
      <c r="G7" s="112" t="s">
        <v>121</v>
      </c>
      <c r="H7" s="112" t="s">
        <v>122</v>
      </c>
      <c r="I7" s="112" t="s">
        <v>123</v>
      </c>
      <c r="J7" s="112" t="s">
        <v>124</v>
      </c>
      <c r="K7" s="123" cm="1">
        <f t="array" ref="K7">INDEX(Page1!$D$8:$D$37, COLUMN(K7)-10)</f>
        <v>0</v>
      </c>
      <c r="L7" s="123" cm="1">
        <f t="array" ref="L7">INDEX(Page1!$D$8:$D$37, COLUMN(L7)-10)</f>
        <v>0</v>
      </c>
      <c r="M7" s="123" cm="1">
        <f t="array" ref="M7">INDEX(Page1!$D$8:$D$37, COLUMN(M7)-10)</f>
        <v>0</v>
      </c>
      <c r="N7" s="123" cm="1">
        <f t="array" ref="N7">INDEX(Page1!$D$8:$D$37, COLUMN(N7)-10)</f>
        <v>0</v>
      </c>
      <c r="O7" s="123" cm="1">
        <f t="array" ref="O7">INDEX(Page1!$D$8:$D$37, COLUMN(O7)-10)</f>
        <v>0</v>
      </c>
      <c r="P7" s="123" cm="1">
        <f t="array" ref="P7">INDEX(Page1!$D$8:$D$37, COLUMN(P7)-10)</f>
        <v>0</v>
      </c>
      <c r="Q7" s="123" cm="1">
        <f t="array" ref="Q7">INDEX(Page1!$D$8:$D$37, COLUMN(Q7)-10)</f>
        <v>0</v>
      </c>
      <c r="R7" s="123" cm="1">
        <f t="array" ref="R7">INDEX(Page1!$D$8:$D$37, COLUMN(R7)-10)</f>
        <v>0</v>
      </c>
      <c r="S7" s="123" cm="1">
        <f t="array" ref="S7">INDEX(Page1!$D$8:$D$37, COLUMN(S7)-10)</f>
        <v>0</v>
      </c>
      <c r="T7" s="123" cm="1">
        <f t="array" ref="T7">INDEX(Page1!$D$8:$D$37, COLUMN(T7)-10)</f>
        <v>0</v>
      </c>
      <c r="U7" s="123" cm="1">
        <f t="array" ref="U7">INDEX(Page1!$D$8:$D$37, COLUMN(U7)-10)</f>
        <v>0</v>
      </c>
      <c r="V7" s="123" cm="1">
        <f t="array" ref="V7">INDEX(Page1!$D$8:$D$37, COLUMN(V7)-10)</f>
        <v>0</v>
      </c>
      <c r="W7" s="123" cm="1">
        <f t="array" ref="W7">INDEX(Page1!$D$8:$D$37, COLUMN(W7)-10)</f>
        <v>0</v>
      </c>
      <c r="X7" s="123" cm="1">
        <f t="array" ref="X7">INDEX(Page1!$D$8:$D$37, COLUMN(X7)-10)</f>
        <v>0</v>
      </c>
      <c r="Y7" s="123" cm="1">
        <f t="array" ref="Y7">INDEX(Page1!$D$8:$D$37, COLUMN(Y7)-10)</f>
        <v>0</v>
      </c>
      <c r="Z7" s="123" cm="1">
        <f t="array" ref="Z7">INDEX(Page1!$D$8:$D$37, COLUMN(Z7)-10)</f>
        <v>0</v>
      </c>
      <c r="AA7" s="123" cm="1">
        <f t="array" ref="AA7">INDEX(Page1!$D$8:$D$37, COLUMN(AA7)-10)</f>
        <v>0</v>
      </c>
      <c r="AB7" s="123" cm="1">
        <f t="array" ref="AB7">INDEX(Page1!$D$8:$D$37, COLUMN(AB7)-10)</f>
        <v>0</v>
      </c>
      <c r="AC7" s="123" cm="1">
        <f t="array" ref="AC7">INDEX(Page1!$D$8:$D$37, COLUMN(AC7)-10)</f>
        <v>0</v>
      </c>
      <c r="AD7" s="123" cm="1">
        <f t="array" ref="AD7">INDEX(Page1!$D$8:$D$37, COLUMN(AD7)-10)</f>
        <v>0</v>
      </c>
      <c r="AE7" s="123" cm="1">
        <f t="array" ref="AE7">INDEX(Page1!$D$8:$D$37, COLUMN(AE7)-10)</f>
        <v>0</v>
      </c>
      <c r="AF7" s="123" cm="1">
        <f t="array" ref="AF7">INDEX(Page1!$D$8:$D$37, COLUMN(AF7)-10)</f>
        <v>0</v>
      </c>
      <c r="AG7" s="123" cm="1">
        <f t="array" ref="AG7">INDEX(Page1!$D$8:$D$37, COLUMN(AG7)-10)</f>
        <v>0</v>
      </c>
      <c r="AH7" s="123" cm="1">
        <f t="array" ref="AH7">INDEX(Page1!$D$8:$D$37, COLUMN(AH7)-10)</f>
        <v>0</v>
      </c>
      <c r="AI7" s="123" cm="1">
        <f t="array" ref="AI7">INDEX(Page1!$D$8:$D$37, COLUMN(AI7)-10)</f>
        <v>0</v>
      </c>
      <c r="AJ7" s="123" cm="1">
        <f t="array" ref="AJ7">INDEX(Page1!$D$8:$D$37, COLUMN(AJ7)-10)</f>
        <v>0</v>
      </c>
      <c r="AK7" s="123" cm="1">
        <f t="array" ref="AK7">INDEX(Page1!$D$8:$D$37, COLUMN(AK7)-10)</f>
        <v>0</v>
      </c>
      <c r="AL7" s="123" cm="1">
        <f t="array" ref="AL7">INDEX(Page1!$D$8:$D$37, COLUMN(AL7)-10)</f>
        <v>0</v>
      </c>
      <c r="AM7" s="123" cm="1">
        <f t="array" ref="AM7">INDEX(Page1!$D$8:$D$37, COLUMN(AM7)-10)</f>
        <v>0</v>
      </c>
      <c r="AN7" s="123" cm="1">
        <f t="array" ref="AN7">INDEX(Page1!$D$8:$D$37, COLUMN(AN7)-10)</f>
        <v>0</v>
      </c>
      <c r="AO7" s="124">
        <f t="shared" si="0"/>
        <v>0</v>
      </c>
      <c r="AP7" s="115">
        <f t="shared" ref="AP7:AP16" si="2">STDEV(K7:AN7)</f>
        <v>0</v>
      </c>
      <c r="AQ7" s="121" t="e">
        <f>MIN((AO7-H7)/(3*AP7), (I7-AO7)/(3*AP7))</f>
        <v>#DIV/0!</v>
      </c>
      <c r="AR7" s="115">
        <f t="shared" si="1"/>
        <v>0</v>
      </c>
      <c r="AS7" s="115">
        <f t="shared" ref="AS7:AS16" si="3">MAX(K7:AN7)</f>
        <v>0</v>
      </c>
      <c r="AT7" s="104" t="e">
        <f t="shared" ref="AT7:AT16" si="4">IF(AQ7&gt;=1.33,"Pass","Fail")</f>
        <v>#DIV/0!</v>
      </c>
    </row>
    <row r="8" spans="1:46" s="118" customFormat="1" ht="15" customHeight="1">
      <c r="A8" s="108">
        <v>6</v>
      </c>
      <c r="B8" s="109" t="s">
        <v>125</v>
      </c>
      <c r="C8" s="110" t="s">
        <v>97</v>
      </c>
      <c r="D8" s="111" t="s">
        <v>111</v>
      </c>
      <c r="E8" s="111" t="s">
        <v>106</v>
      </c>
      <c r="F8" s="111" t="s">
        <v>99</v>
      </c>
      <c r="G8" s="112" t="s">
        <v>126</v>
      </c>
      <c r="H8" s="112" t="s">
        <v>127</v>
      </c>
      <c r="I8" s="112" t="s">
        <v>18</v>
      </c>
      <c r="J8" s="112" t="s">
        <v>124</v>
      </c>
      <c r="K8" s="113" t="e" cm="1">
        <f t="array" ref="K8">INDEX(Page3!$G$9:$G$38, COLUMN(K8)-10)</f>
        <v>#DIV/0!</v>
      </c>
      <c r="L8" s="113" t="e" cm="1">
        <f t="array" ref="L8">INDEX(Page3!$G$9:$G$38, COLUMN(L8)-10)</f>
        <v>#DIV/0!</v>
      </c>
      <c r="M8" s="113" t="e" cm="1">
        <f t="array" ref="M8">INDEX(Page3!$G$9:$G$38, COLUMN(M8)-10)</f>
        <v>#DIV/0!</v>
      </c>
      <c r="N8" s="113" t="e" cm="1">
        <f t="array" ref="N8">INDEX(Page3!$G$9:$G$38, COLUMN(N8)-10)</f>
        <v>#DIV/0!</v>
      </c>
      <c r="O8" s="113" t="e" cm="1">
        <f t="array" ref="O8">INDEX(Page3!$G$9:$G$38, COLUMN(O8)-10)</f>
        <v>#DIV/0!</v>
      </c>
      <c r="P8" s="113" t="e" cm="1">
        <f t="array" ref="P8">INDEX(Page3!$G$9:$G$38, COLUMN(P8)-10)</f>
        <v>#DIV/0!</v>
      </c>
      <c r="Q8" s="113" t="e" cm="1">
        <f t="array" ref="Q8">INDEX(Page3!$G$9:$G$38, COLUMN(Q8)-10)</f>
        <v>#DIV/0!</v>
      </c>
      <c r="R8" s="113" t="e" cm="1">
        <f t="array" ref="R8">INDEX(Page3!$G$9:$G$38, COLUMN(R8)-10)</f>
        <v>#DIV/0!</v>
      </c>
      <c r="S8" s="113" t="e" cm="1">
        <f t="array" ref="S8">INDEX(Page3!$G$9:$G$38, COLUMN(S8)-10)</f>
        <v>#DIV/0!</v>
      </c>
      <c r="T8" s="113" t="e" cm="1">
        <f t="array" ref="T8">INDEX(Page3!$G$9:$G$38, COLUMN(T8)-10)</f>
        <v>#DIV/0!</v>
      </c>
      <c r="U8" s="113" t="e" cm="1">
        <f t="array" ref="U8">INDEX(Page3!$G$9:$G$38, COLUMN(U8)-10)</f>
        <v>#DIV/0!</v>
      </c>
      <c r="V8" s="113" t="e" cm="1">
        <f t="array" ref="V8">INDEX(Page3!$G$9:$G$38, COLUMN(V8)-10)</f>
        <v>#DIV/0!</v>
      </c>
      <c r="W8" s="113" t="e" cm="1">
        <f t="array" ref="W8">INDEX(Page3!$G$9:$G$38, COLUMN(W8)-10)</f>
        <v>#DIV/0!</v>
      </c>
      <c r="X8" s="113" t="e" cm="1">
        <f t="array" ref="X8">INDEX(Page3!$G$9:$G$38, COLUMN(X8)-10)</f>
        <v>#DIV/0!</v>
      </c>
      <c r="Y8" s="113" t="e" cm="1">
        <f t="array" ref="Y8">INDEX(Page3!$G$9:$G$38, COLUMN(Y8)-10)</f>
        <v>#DIV/0!</v>
      </c>
      <c r="Z8" s="113" t="e" cm="1">
        <f t="array" ref="Z8">INDEX(Page3!$G$9:$G$38, COLUMN(Z8)-10)</f>
        <v>#DIV/0!</v>
      </c>
      <c r="AA8" s="113" t="e" cm="1">
        <f t="array" ref="AA8">INDEX(Page3!$G$9:$G$38, COLUMN(AA8)-10)</f>
        <v>#DIV/0!</v>
      </c>
      <c r="AB8" s="113" t="e" cm="1">
        <f t="array" ref="AB8">INDEX(Page3!$G$9:$G$38, COLUMN(AB8)-10)</f>
        <v>#DIV/0!</v>
      </c>
      <c r="AC8" s="113" t="e" cm="1">
        <f t="array" ref="AC8">INDEX(Page3!$G$9:$G$38, COLUMN(AC8)-10)</f>
        <v>#DIV/0!</v>
      </c>
      <c r="AD8" s="113" t="e" cm="1">
        <f t="array" ref="AD8">INDEX(Page3!$G$9:$G$38, COLUMN(AD8)-10)</f>
        <v>#DIV/0!</v>
      </c>
      <c r="AE8" s="113" t="e" cm="1">
        <f t="array" ref="AE8">INDEX(Page3!$G$9:$G$38, COLUMN(AE8)-10)</f>
        <v>#DIV/0!</v>
      </c>
      <c r="AF8" s="113" t="e" cm="1">
        <f t="array" ref="AF8">INDEX(Page3!$G$9:$G$38, COLUMN(AF8)-10)</f>
        <v>#DIV/0!</v>
      </c>
      <c r="AG8" s="113" t="e" cm="1">
        <f t="array" ref="AG8">INDEX(Page3!$G$9:$G$38, COLUMN(AG8)-10)</f>
        <v>#DIV/0!</v>
      </c>
      <c r="AH8" s="113" t="e" cm="1">
        <f t="array" ref="AH8">INDEX(Page3!$G$9:$G$38, COLUMN(AH8)-10)</f>
        <v>#DIV/0!</v>
      </c>
      <c r="AI8" s="113" t="e" cm="1">
        <f t="array" ref="AI8">INDEX(Page3!$G$9:$G$38, COLUMN(AI8)-10)</f>
        <v>#DIV/0!</v>
      </c>
      <c r="AJ8" s="113" t="e" cm="1">
        <f t="array" ref="AJ8">INDEX(Page3!$G$9:$G$38, COLUMN(AJ8)-10)</f>
        <v>#DIV/0!</v>
      </c>
      <c r="AK8" s="113" t="e" cm="1">
        <f t="array" ref="AK8">INDEX(Page3!$G$9:$G$38, COLUMN(AK8)-10)</f>
        <v>#DIV/0!</v>
      </c>
      <c r="AL8" s="113" t="e" cm="1">
        <f t="array" ref="AL8">INDEX(Page3!$G$9:$G$38, COLUMN(AL8)-10)</f>
        <v>#DIV/0!</v>
      </c>
      <c r="AM8" s="113" t="e" cm="1">
        <f t="array" ref="AM8">INDEX(Page3!$G$9:$G$38, COLUMN(AM8)-10)</f>
        <v>#DIV/0!</v>
      </c>
      <c r="AN8" s="113" t="e" cm="1">
        <f t="array" ref="AN8">INDEX(Page3!$G$9:$G$38, COLUMN(AN8)-10)</f>
        <v>#DIV/0!</v>
      </c>
      <c r="AO8" s="114" t="e">
        <f t="shared" si="0"/>
        <v>#DIV/0!</v>
      </c>
      <c r="AP8" s="115" t="e">
        <f>STDEV(K8:AN8)</f>
        <v>#DIV/0!</v>
      </c>
      <c r="AQ8" s="121" t="e">
        <f>(AO8-H8)/(3*AP8)</f>
        <v>#DIV/0!</v>
      </c>
      <c r="AR8" s="117" t="e">
        <f t="shared" si="1"/>
        <v>#DIV/0!</v>
      </c>
      <c r="AS8" s="117" t="e">
        <f>MAX(K8:AN8)</f>
        <v>#DIV/0!</v>
      </c>
      <c r="AT8" s="104" t="e">
        <f>IF(AQ8&gt;=1.33,"Pass","Fail")</f>
        <v>#DIV/0!</v>
      </c>
    </row>
    <row r="9" spans="1:46" s="118" customFormat="1" ht="15" customHeight="1">
      <c r="A9" s="108">
        <v>7</v>
      </c>
      <c r="B9" s="109" t="s">
        <v>128</v>
      </c>
      <c r="C9" s="110" t="s">
        <v>97</v>
      </c>
      <c r="D9" s="111" t="s">
        <v>111</v>
      </c>
      <c r="E9" s="111" t="s">
        <v>106</v>
      </c>
      <c r="F9" s="111" t="s">
        <v>99</v>
      </c>
      <c r="G9" s="112" t="s">
        <v>129</v>
      </c>
      <c r="H9" s="112" t="s">
        <v>130</v>
      </c>
      <c r="I9" s="112" t="s">
        <v>18</v>
      </c>
      <c r="J9" s="112" t="s">
        <v>124</v>
      </c>
      <c r="K9" s="113" t="e" cm="1">
        <f t="array" ref="K9">INDEX(Page2!$G$9:$G$38, COLUMN(K9)-10)</f>
        <v>#DIV/0!</v>
      </c>
      <c r="L9" s="113" t="e" cm="1">
        <f t="array" ref="L9">INDEX(Page2!$G$9:$G$38, COLUMN(L9)-10)</f>
        <v>#DIV/0!</v>
      </c>
      <c r="M9" s="113" t="e" cm="1">
        <f t="array" ref="M9">INDEX(Page2!$G$9:$G$38, COLUMN(M9)-10)</f>
        <v>#DIV/0!</v>
      </c>
      <c r="N9" s="113" t="e" cm="1">
        <f t="array" ref="N9">INDEX(Page2!$G$9:$G$38, COLUMN(N9)-10)</f>
        <v>#DIV/0!</v>
      </c>
      <c r="O9" s="113" t="e" cm="1">
        <f t="array" ref="O9">INDEX(Page2!$G$9:$G$38, COLUMN(O9)-10)</f>
        <v>#DIV/0!</v>
      </c>
      <c r="P9" s="113" t="e" cm="1">
        <f t="array" ref="P9">INDEX(Page2!$G$9:$G$38, COLUMN(P9)-10)</f>
        <v>#DIV/0!</v>
      </c>
      <c r="Q9" s="113" t="e" cm="1">
        <f t="array" ref="Q9">INDEX(Page2!$G$9:$G$38, COLUMN(Q9)-10)</f>
        <v>#DIV/0!</v>
      </c>
      <c r="R9" s="113" t="e" cm="1">
        <f t="array" ref="R9">INDEX(Page2!$G$9:$G$38, COLUMN(R9)-10)</f>
        <v>#DIV/0!</v>
      </c>
      <c r="S9" s="113" t="e" cm="1">
        <f t="array" ref="S9">INDEX(Page2!$G$9:$G$38, COLUMN(S9)-10)</f>
        <v>#DIV/0!</v>
      </c>
      <c r="T9" s="113" t="e" cm="1">
        <f t="array" ref="T9">INDEX(Page2!$G$9:$G$38, COLUMN(T9)-10)</f>
        <v>#DIV/0!</v>
      </c>
      <c r="U9" s="113" t="e" cm="1">
        <f t="array" ref="U9">INDEX(Page2!$G$9:$G$38, COLUMN(U9)-10)</f>
        <v>#DIV/0!</v>
      </c>
      <c r="V9" s="113" t="e" cm="1">
        <f t="array" ref="V9">INDEX(Page2!$G$9:$G$38, COLUMN(V9)-10)</f>
        <v>#DIV/0!</v>
      </c>
      <c r="W9" s="113" t="e" cm="1">
        <f t="array" ref="W9">INDEX(Page2!$G$9:$G$38, COLUMN(W9)-10)</f>
        <v>#DIV/0!</v>
      </c>
      <c r="X9" s="113" t="e" cm="1">
        <f t="array" ref="X9">INDEX(Page2!$G$9:$G$38, COLUMN(X9)-10)</f>
        <v>#DIV/0!</v>
      </c>
      <c r="Y9" s="113" t="e" cm="1">
        <f t="array" ref="Y9">INDEX(Page2!$G$9:$G$38, COLUMN(Y9)-10)</f>
        <v>#DIV/0!</v>
      </c>
      <c r="Z9" s="113" t="e" cm="1">
        <f t="array" ref="Z9">INDEX(Page2!$G$9:$G$38, COLUMN(Z9)-10)</f>
        <v>#DIV/0!</v>
      </c>
      <c r="AA9" s="113" t="e" cm="1">
        <f t="array" ref="AA9">INDEX(Page2!$G$9:$G$38, COLUMN(AA9)-10)</f>
        <v>#DIV/0!</v>
      </c>
      <c r="AB9" s="113" t="e" cm="1">
        <f t="array" ref="AB9">INDEX(Page2!$G$9:$G$38, COLUMN(AB9)-10)</f>
        <v>#DIV/0!</v>
      </c>
      <c r="AC9" s="113" t="e" cm="1">
        <f t="array" ref="AC9">INDEX(Page2!$G$9:$G$38, COLUMN(AC9)-10)</f>
        <v>#DIV/0!</v>
      </c>
      <c r="AD9" s="113" t="e" cm="1">
        <f t="array" ref="AD9">INDEX(Page2!$G$9:$G$38, COLUMN(AD9)-10)</f>
        <v>#DIV/0!</v>
      </c>
      <c r="AE9" s="113" t="e" cm="1">
        <f t="array" ref="AE9">INDEX(Page2!$G$9:$G$38, COLUMN(AE9)-10)</f>
        <v>#DIV/0!</v>
      </c>
      <c r="AF9" s="113" t="e" cm="1">
        <f t="array" ref="AF9">INDEX(Page2!$G$9:$G$38, COLUMN(AF9)-10)</f>
        <v>#DIV/0!</v>
      </c>
      <c r="AG9" s="113" t="e" cm="1">
        <f t="array" ref="AG9">INDEX(Page2!$G$9:$G$38, COLUMN(AG9)-10)</f>
        <v>#DIV/0!</v>
      </c>
      <c r="AH9" s="113" t="e" cm="1">
        <f t="array" ref="AH9">INDEX(Page2!$G$9:$G$38, COLUMN(AH9)-10)</f>
        <v>#DIV/0!</v>
      </c>
      <c r="AI9" s="113" t="e" cm="1">
        <f t="array" ref="AI9">INDEX(Page2!$G$9:$G$38, COLUMN(AI9)-10)</f>
        <v>#DIV/0!</v>
      </c>
      <c r="AJ9" s="113" t="e" cm="1">
        <f t="array" ref="AJ9">INDEX(Page2!$G$9:$G$38, COLUMN(AJ9)-10)</f>
        <v>#DIV/0!</v>
      </c>
      <c r="AK9" s="113" t="e" cm="1">
        <f t="array" ref="AK9">INDEX(Page2!$G$9:$G$38, COLUMN(AK9)-10)</f>
        <v>#DIV/0!</v>
      </c>
      <c r="AL9" s="113" t="e" cm="1">
        <f t="array" ref="AL9">INDEX(Page2!$G$9:$G$38, COLUMN(AL9)-10)</f>
        <v>#DIV/0!</v>
      </c>
      <c r="AM9" s="113" t="e" cm="1">
        <f t="array" ref="AM9">INDEX(Page2!$G$9:$G$38, COLUMN(AM9)-10)</f>
        <v>#DIV/0!</v>
      </c>
      <c r="AN9" s="113" t="e" cm="1">
        <f t="array" ref="AN9">INDEX(Page2!$G$9:$G$38, COLUMN(AN9)-10)</f>
        <v>#DIV/0!</v>
      </c>
      <c r="AO9" s="114" t="e">
        <f t="shared" si="0"/>
        <v>#DIV/0!</v>
      </c>
      <c r="AP9" s="115" t="e">
        <f>STDEV(K9:AN9)</f>
        <v>#DIV/0!</v>
      </c>
      <c r="AQ9" s="121" t="e">
        <f>(AO9-H9)/(3*AP9)</f>
        <v>#DIV/0!</v>
      </c>
      <c r="AR9" s="117" t="e">
        <f t="shared" si="1"/>
        <v>#DIV/0!</v>
      </c>
      <c r="AS9" s="117" t="e">
        <f>MAX(K9:AN9)</f>
        <v>#DIV/0!</v>
      </c>
      <c r="AT9" s="104" t="e">
        <f>IF(AQ9&gt;=1.33,"Pass","Fail")</f>
        <v>#DIV/0!</v>
      </c>
    </row>
    <row r="10" spans="1:46" s="118" customFormat="1" ht="15" customHeight="1">
      <c r="A10" s="108">
        <v>8</v>
      </c>
      <c r="B10" s="109" t="s">
        <v>131</v>
      </c>
      <c r="C10" s="110" t="s">
        <v>97</v>
      </c>
      <c r="D10" s="111" t="s">
        <v>132</v>
      </c>
      <c r="E10" s="111" t="s">
        <v>106</v>
      </c>
      <c r="F10" s="111" t="s">
        <v>107</v>
      </c>
      <c r="G10" s="112" t="s">
        <v>133</v>
      </c>
      <c r="H10" s="112" t="s">
        <v>108</v>
      </c>
      <c r="I10" s="112" t="s">
        <v>18</v>
      </c>
      <c r="J10" s="112" t="s">
        <v>124</v>
      </c>
      <c r="K10" s="119" t="e" cm="1">
        <f t="array" ref="K10">INDEX(Page2!$K$9:$K$38, COLUMN(K10)-10)</f>
        <v>#DIV/0!</v>
      </c>
      <c r="L10" s="119" t="e" cm="1">
        <f t="array" ref="L10">INDEX(Page2!$K$9:$K$38, COLUMN(L10)-10)</f>
        <v>#DIV/0!</v>
      </c>
      <c r="M10" s="119" t="e" cm="1">
        <f t="array" ref="M10">INDEX(Page2!$K$9:$K$38, COLUMN(M10)-10)</f>
        <v>#DIV/0!</v>
      </c>
      <c r="N10" s="119" t="e" cm="1">
        <f t="array" ref="N10">INDEX(Page2!$K$9:$K$38, COLUMN(N10)-10)</f>
        <v>#DIV/0!</v>
      </c>
      <c r="O10" s="119" t="e" cm="1">
        <f t="array" ref="O10">INDEX(Page2!$K$9:$K$38, COLUMN(O10)-10)</f>
        <v>#DIV/0!</v>
      </c>
      <c r="P10" s="119" t="e" cm="1">
        <f t="array" ref="P10">INDEX(Page2!$K$9:$K$38, COLUMN(P10)-10)</f>
        <v>#DIV/0!</v>
      </c>
      <c r="Q10" s="119" t="e" cm="1">
        <f t="array" ref="Q10">INDEX(Page2!$K$9:$K$38, COLUMN(Q10)-10)</f>
        <v>#DIV/0!</v>
      </c>
      <c r="R10" s="119" t="e" cm="1">
        <f t="array" ref="R10">INDEX(Page2!$K$9:$K$38, COLUMN(R10)-10)</f>
        <v>#DIV/0!</v>
      </c>
      <c r="S10" s="119" t="e" cm="1">
        <f t="array" ref="S10">INDEX(Page2!$K$9:$K$38, COLUMN(S10)-10)</f>
        <v>#DIV/0!</v>
      </c>
      <c r="T10" s="119" t="e" cm="1">
        <f t="array" ref="T10">INDEX(Page2!$K$9:$K$38, COLUMN(T10)-10)</f>
        <v>#DIV/0!</v>
      </c>
      <c r="U10" s="119" t="e" cm="1">
        <f t="array" ref="U10">INDEX(Page2!$K$9:$K$38, COLUMN(U10)-10)</f>
        <v>#DIV/0!</v>
      </c>
      <c r="V10" s="119" t="e" cm="1">
        <f t="array" ref="V10">INDEX(Page2!$K$9:$K$38, COLUMN(V10)-10)</f>
        <v>#DIV/0!</v>
      </c>
      <c r="W10" s="119" t="e" cm="1">
        <f t="array" ref="W10">INDEX(Page2!$K$9:$K$38, COLUMN(W10)-10)</f>
        <v>#DIV/0!</v>
      </c>
      <c r="X10" s="119" t="e" cm="1">
        <f t="array" ref="X10">INDEX(Page2!$K$9:$K$38, COLUMN(X10)-10)</f>
        <v>#DIV/0!</v>
      </c>
      <c r="Y10" s="119" t="e" cm="1">
        <f t="array" ref="Y10">INDEX(Page2!$K$9:$K$38, COLUMN(Y10)-10)</f>
        <v>#DIV/0!</v>
      </c>
      <c r="Z10" s="119" t="e" cm="1">
        <f t="array" ref="Z10">INDEX(Page2!$K$9:$K$38, COLUMN(Z10)-10)</f>
        <v>#DIV/0!</v>
      </c>
      <c r="AA10" s="119" t="e" cm="1">
        <f t="array" ref="AA10">INDEX(Page2!$K$9:$K$38, COLUMN(AA10)-10)</f>
        <v>#DIV/0!</v>
      </c>
      <c r="AB10" s="119" t="e" cm="1">
        <f t="array" ref="AB10">INDEX(Page2!$K$9:$K$38, COLUMN(AB10)-10)</f>
        <v>#DIV/0!</v>
      </c>
      <c r="AC10" s="119" t="e" cm="1">
        <f t="array" ref="AC10">INDEX(Page2!$K$9:$K$38, COLUMN(AC10)-10)</f>
        <v>#DIV/0!</v>
      </c>
      <c r="AD10" s="119" t="e" cm="1">
        <f t="array" ref="AD10">INDEX(Page2!$K$9:$K$38, COLUMN(AD10)-10)</f>
        <v>#DIV/0!</v>
      </c>
      <c r="AE10" s="119" t="e" cm="1">
        <f t="array" ref="AE10">INDEX(Page2!$K$9:$K$38, COLUMN(AE10)-10)</f>
        <v>#DIV/0!</v>
      </c>
      <c r="AF10" s="119" t="e" cm="1">
        <f t="array" ref="AF10">INDEX(Page2!$K$9:$K$38, COLUMN(AF10)-10)</f>
        <v>#DIV/0!</v>
      </c>
      <c r="AG10" s="119" t="e" cm="1">
        <f t="array" ref="AG10">INDEX(Page2!$K$9:$K$38, COLUMN(AG10)-10)</f>
        <v>#DIV/0!</v>
      </c>
      <c r="AH10" s="119" t="e" cm="1">
        <f t="array" ref="AH10">INDEX(Page2!$K$9:$K$38, COLUMN(AH10)-10)</f>
        <v>#DIV/0!</v>
      </c>
      <c r="AI10" s="119" t="e" cm="1">
        <f t="array" ref="AI10">INDEX(Page2!$K$9:$K$38, COLUMN(AI10)-10)</f>
        <v>#DIV/0!</v>
      </c>
      <c r="AJ10" s="119" t="e" cm="1">
        <f t="array" ref="AJ10">INDEX(Page2!$K$9:$K$38, COLUMN(AJ10)-10)</f>
        <v>#DIV/0!</v>
      </c>
      <c r="AK10" s="119" t="e" cm="1">
        <f t="array" ref="AK10">INDEX(Page2!$K$9:$K$38, COLUMN(AK10)-10)</f>
        <v>#DIV/0!</v>
      </c>
      <c r="AL10" s="119" t="e" cm="1">
        <f t="array" ref="AL10">INDEX(Page2!$K$9:$K$38, COLUMN(AL10)-10)</f>
        <v>#DIV/0!</v>
      </c>
      <c r="AM10" s="119" t="e" cm="1">
        <f t="array" ref="AM10">INDEX(Page2!$K$9:$K$38, COLUMN(AM10)-10)</f>
        <v>#DIV/0!</v>
      </c>
      <c r="AN10" s="119" t="e" cm="1">
        <f t="array" ref="AN10">INDEX(Page2!$K$9:$K$38, COLUMN(AN10)-10)</f>
        <v>#DIV/0!</v>
      </c>
      <c r="AO10" s="120" t="e">
        <f t="shared" si="0"/>
        <v>#DIV/0!</v>
      </c>
      <c r="AP10" s="115" t="e">
        <f t="shared" si="2"/>
        <v>#DIV/0!</v>
      </c>
      <c r="AQ10" s="121" t="e">
        <f>(AO10-H10)/(3*AP10)</f>
        <v>#DIV/0!</v>
      </c>
      <c r="AR10" s="122" t="e">
        <f t="shared" si="1"/>
        <v>#DIV/0!</v>
      </c>
      <c r="AS10" s="122" t="e">
        <f t="shared" si="3"/>
        <v>#DIV/0!</v>
      </c>
      <c r="AT10" s="104" t="e">
        <f t="shared" si="4"/>
        <v>#DIV/0!</v>
      </c>
    </row>
    <row r="11" spans="1:46" s="118" customFormat="1" ht="15" customHeight="1">
      <c r="A11" s="108">
        <v>9</v>
      </c>
      <c r="B11" s="109" t="s">
        <v>134</v>
      </c>
      <c r="C11" s="110" t="s">
        <v>97</v>
      </c>
      <c r="D11" s="111" t="s">
        <v>132</v>
      </c>
      <c r="E11" s="111" t="s">
        <v>106</v>
      </c>
      <c r="F11" s="111" t="s">
        <v>107</v>
      </c>
      <c r="G11" s="112" t="s">
        <v>108</v>
      </c>
      <c r="H11" s="112" t="s">
        <v>135</v>
      </c>
      <c r="I11" s="112" t="s">
        <v>18</v>
      </c>
      <c r="J11" s="112" t="s">
        <v>124</v>
      </c>
      <c r="K11" s="119" t="e" cm="1">
        <f t="array" ref="K11">INDEX(Page3!$K$9:$K$38, COLUMN(K11)-10)</f>
        <v>#DIV/0!</v>
      </c>
      <c r="L11" s="119" t="e" cm="1">
        <f t="array" ref="L11">INDEX(Page3!$K$9:$K$38, COLUMN(L11)-10)</f>
        <v>#DIV/0!</v>
      </c>
      <c r="M11" s="119" t="e" cm="1">
        <f t="array" ref="M11">INDEX(Page3!$K$9:$K$38, COLUMN(M11)-10)</f>
        <v>#DIV/0!</v>
      </c>
      <c r="N11" s="119" t="e" cm="1">
        <f t="array" ref="N11">INDEX(Page3!$K$9:$K$38, COLUMN(N11)-10)</f>
        <v>#DIV/0!</v>
      </c>
      <c r="O11" s="119" t="e" cm="1">
        <f t="array" ref="O11">INDEX(Page3!$K$9:$K$38, COLUMN(O11)-10)</f>
        <v>#DIV/0!</v>
      </c>
      <c r="P11" s="119" t="e" cm="1">
        <f t="array" ref="P11">INDEX(Page3!$K$9:$K$38, COLUMN(P11)-10)</f>
        <v>#DIV/0!</v>
      </c>
      <c r="Q11" s="119" t="e" cm="1">
        <f t="array" ref="Q11">INDEX(Page3!$K$9:$K$38, COLUMN(Q11)-10)</f>
        <v>#DIV/0!</v>
      </c>
      <c r="R11" s="119" t="e" cm="1">
        <f t="array" ref="R11">INDEX(Page3!$K$9:$K$38, COLUMN(R11)-10)</f>
        <v>#DIV/0!</v>
      </c>
      <c r="S11" s="119" t="e" cm="1">
        <f t="array" ref="S11">INDEX(Page3!$K$9:$K$38, COLUMN(S11)-10)</f>
        <v>#DIV/0!</v>
      </c>
      <c r="T11" s="119" t="e" cm="1">
        <f t="array" ref="T11">INDEX(Page3!$K$9:$K$38, COLUMN(T11)-10)</f>
        <v>#DIV/0!</v>
      </c>
      <c r="U11" s="119" t="e" cm="1">
        <f t="array" ref="U11">INDEX(Page3!$K$9:$K$38, COLUMN(U11)-10)</f>
        <v>#DIV/0!</v>
      </c>
      <c r="V11" s="119" t="e" cm="1">
        <f t="array" ref="V11">INDEX(Page3!$K$9:$K$38, COLUMN(V11)-10)</f>
        <v>#DIV/0!</v>
      </c>
      <c r="W11" s="119" t="e" cm="1">
        <f t="array" ref="W11">INDEX(Page3!$K$9:$K$38, COLUMN(W11)-10)</f>
        <v>#DIV/0!</v>
      </c>
      <c r="X11" s="119" t="e" cm="1">
        <f t="array" ref="X11">INDEX(Page3!$K$9:$K$38, COLUMN(X11)-10)</f>
        <v>#DIV/0!</v>
      </c>
      <c r="Y11" s="119" t="e" cm="1">
        <f t="array" ref="Y11">INDEX(Page3!$K$9:$K$38, COLUMN(Y11)-10)</f>
        <v>#DIV/0!</v>
      </c>
      <c r="Z11" s="119" t="e" cm="1">
        <f t="array" ref="Z11">INDEX(Page3!$K$9:$K$38, COLUMN(Z11)-10)</f>
        <v>#DIV/0!</v>
      </c>
      <c r="AA11" s="119" t="e" cm="1">
        <f t="array" ref="AA11">INDEX(Page3!$K$9:$K$38, COLUMN(AA11)-10)</f>
        <v>#DIV/0!</v>
      </c>
      <c r="AB11" s="119" t="e" cm="1">
        <f t="array" ref="AB11">INDEX(Page3!$K$9:$K$38, COLUMN(AB11)-10)</f>
        <v>#DIV/0!</v>
      </c>
      <c r="AC11" s="119" t="e" cm="1">
        <f t="array" ref="AC11">INDEX(Page3!$K$9:$K$38, COLUMN(AC11)-10)</f>
        <v>#DIV/0!</v>
      </c>
      <c r="AD11" s="119" t="e" cm="1">
        <f t="array" ref="AD11">INDEX(Page3!$K$9:$K$38, COLUMN(AD11)-10)</f>
        <v>#DIV/0!</v>
      </c>
      <c r="AE11" s="119" t="e" cm="1">
        <f t="array" ref="AE11">INDEX(Page3!$K$9:$K$38, COLUMN(AE11)-10)</f>
        <v>#DIV/0!</v>
      </c>
      <c r="AF11" s="119" t="e" cm="1">
        <f t="array" ref="AF11">INDEX(Page3!$K$9:$K$38, COLUMN(AF11)-10)</f>
        <v>#DIV/0!</v>
      </c>
      <c r="AG11" s="119" t="e" cm="1">
        <f t="array" ref="AG11">INDEX(Page3!$K$9:$K$38, COLUMN(AG11)-10)</f>
        <v>#DIV/0!</v>
      </c>
      <c r="AH11" s="119" t="e" cm="1">
        <f t="array" ref="AH11">INDEX(Page3!$K$9:$K$38, COLUMN(AH11)-10)</f>
        <v>#DIV/0!</v>
      </c>
      <c r="AI11" s="119" t="e" cm="1">
        <f t="array" ref="AI11">INDEX(Page3!$K$9:$K$38, COLUMN(AI11)-10)</f>
        <v>#DIV/0!</v>
      </c>
      <c r="AJ11" s="119" t="e" cm="1">
        <f t="array" ref="AJ11">INDEX(Page3!$K$9:$K$38, COLUMN(AJ11)-10)</f>
        <v>#DIV/0!</v>
      </c>
      <c r="AK11" s="119" t="e" cm="1">
        <f t="array" ref="AK11">INDEX(Page3!$K$9:$K$38, COLUMN(AK11)-10)</f>
        <v>#DIV/0!</v>
      </c>
      <c r="AL11" s="119" t="e" cm="1">
        <f t="array" ref="AL11">INDEX(Page3!$K$9:$K$38, COLUMN(AL11)-10)</f>
        <v>#DIV/0!</v>
      </c>
      <c r="AM11" s="119" t="e" cm="1">
        <f t="array" ref="AM11">INDEX(Page3!$K$9:$K$38, COLUMN(AM11)-10)</f>
        <v>#DIV/0!</v>
      </c>
      <c r="AN11" s="119" t="e" cm="1">
        <f t="array" ref="AN11">INDEX(Page3!$K$9:$K$38, COLUMN(AN11)-10)</f>
        <v>#DIV/0!</v>
      </c>
      <c r="AO11" s="120" t="e">
        <f t="shared" si="0"/>
        <v>#DIV/0!</v>
      </c>
      <c r="AP11" s="115" t="e">
        <f t="shared" si="2"/>
        <v>#DIV/0!</v>
      </c>
      <c r="AQ11" s="121" t="e">
        <f>(AO11-H11)/(3*AP11)</f>
        <v>#DIV/0!</v>
      </c>
      <c r="AR11" s="122" t="e">
        <f t="shared" si="1"/>
        <v>#DIV/0!</v>
      </c>
      <c r="AS11" s="122" t="e">
        <f>MAX(K11:AN11)</f>
        <v>#DIV/0!</v>
      </c>
      <c r="AT11" s="104" t="e">
        <f t="shared" si="4"/>
        <v>#DIV/0!</v>
      </c>
    </row>
    <row r="12" spans="1:46" s="118" customFormat="1" ht="15" customHeight="1">
      <c r="A12" s="108">
        <v>10</v>
      </c>
      <c r="B12" s="109" t="s">
        <v>136</v>
      </c>
      <c r="C12" s="110" t="s">
        <v>97</v>
      </c>
      <c r="D12" s="111" t="s">
        <v>132</v>
      </c>
      <c r="E12" s="111" t="s">
        <v>106</v>
      </c>
      <c r="F12" s="111" t="s">
        <v>107</v>
      </c>
      <c r="G12" s="112" t="s">
        <v>137</v>
      </c>
      <c r="H12" s="112" t="s">
        <v>138</v>
      </c>
      <c r="I12" s="112" t="s">
        <v>139</v>
      </c>
      <c r="J12" s="112" t="s">
        <v>124</v>
      </c>
      <c r="K12" s="119" t="e" cm="1">
        <f t="array" ref="K12">INDEX(Page2!$O$9:$O$38, COLUMN(K12)-10)</f>
        <v>#DIV/0!</v>
      </c>
      <c r="L12" s="119" t="e" cm="1">
        <f t="array" ref="L12">INDEX(Page2!$O$9:$O$38, COLUMN(L12)-10)</f>
        <v>#DIV/0!</v>
      </c>
      <c r="M12" s="119" t="e" cm="1">
        <f t="array" ref="M12">INDEX(Page2!$O$9:$O$38, COLUMN(M12)-10)</f>
        <v>#DIV/0!</v>
      </c>
      <c r="N12" s="119" t="e" cm="1">
        <f t="array" ref="N12">INDEX(Page2!$O$9:$O$38, COLUMN(N12)-10)</f>
        <v>#DIV/0!</v>
      </c>
      <c r="O12" s="119" t="e" cm="1">
        <f t="array" ref="O12">INDEX(Page2!$O$9:$O$38, COLUMN(O12)-10)</f>
        <v>#DIV/0!</v>
      </c>
      <c r="P12" s="119" t="e" cm="1">
        <f t="array" ref="P12">INDEX(Page2!$O$9:$O$38, COLUMN(P12)-10)</f>
        <v>#DIV/0!</v>
      </c>
      <c r="Q12" s="119" t="e" cm="1">
        <f t="array" ref="Q12">INDEX(Page2!$O$9:$O$38, COLUMN(Q12)-10)</f>
        <v>#DIV/0!</v>
      </c>
      <c r="R12" s="119" t="e" cm="1">
        <f t="array" ref="R12">INDEX(Page2!$O$9:$O$38, COLUMN(R12)-10)</f>
        <v>#DIV/0!</v>
      </c>
      <c r="S12" s="119" t="e" cm="1">
        <f t="array" ref="S12">INDEX(Page2!$O$9:$O$38, COLUMN(S12)-10)</f>
        <v>#DIV/0!</v>
      </c>
      <c r="T12" s="119" t="e" cm="1">
        <f t="array" ref="T12">INDEX(Page2!$O$9:$O$38, COLUMN(T12)-10)</f>
        <v>#DIV/0!</v>
      </c>
      <c r="U12" s="119" t="e" cm="1">
        <f t="array" ref="U12">INDEX(Page2!$O$9:$O$38, COLUMN(U12)-10)</f>
        <v>#DIV/0!</v>
      </c>
      <c r="V12" s="119" t="e" cm="1">
        <f t="array" ref="V12">INDEX(Page2!$O$9:$O$38, COLUMN(V12)-10)</f>
        <v>#DIV/0!</v>
      </c>
      <c r="W12" s="119" t="e" cm="1">
        <f t="array" ref="W12">INDEX(Page2!$O$9:$O$38, COLUMN(W12)-10)</f>
        <v>#DIV/0!</v>
      </c>
      <c r="X12" s="119" t="e" cm="1">
        <f t="array" ref="X12">INDEX(Page2!$O$9:$O$38, COLUMN(X12)-10)</f>
        <v>#DIV/0!</v>
      </c>
      <c r="Y12" s="119" t="e" cm="1">
        <f t="array" ref="Y12">INDEX(Page2!$O$9:$O$38, COLUMN(Y12)-10)</f>
        <v>#DIV/0!</v>
      </c>
      <c r="Z12" s="119" t="e" cm="1">
        <f t="array" ref="Z12">INDEX(Page2!$O$9:$O$38, COLUMN(Z12)-10)</f>
        <v>#DIV/0!</v>
      </c>
      <c r="AA12" s="119" t="e" cm="1">
        <f t="array" ref="AA12">INDEX(Page2!$O$9:$O$38, COLUMN(AA12)-10)</f>
        <v>#DIV/0!</v>
      </c>
      <c r="AB12" s="119" t="e" cm="1">
        <f t="array" ref="AB12">INDEX(Page2!$O$9:$O$38, COLUMN(AB12)-10)</f>
        <v>#DIV/0!</v>
      </c>
      <c r="AC12" s="119" t="e" cm="1">
        <f t="array" ref="AC12">INDEX(Page2!$O$9:$O$38, COLUMN(AC12)-10)</f>
        <v>#DIV/0!</v>
      </c>
      <c r="AD12" s="119" t="e" cm="1">
        <f t="array" ref="AD12">INDEX(Page2!$O$9:$O$38, COLUMN(AD12)-10)</f>
        <v>#DIV/0!</v>
      </c>
      <c r="AE12" s="119" t="e" cm="1">
        <f t="array" ref="AE12">INDEX(Page2!$O$9:$O$38, COLUMN(AE12)-10)</f>
        <v>#DIV/0!</v>
      </c>
      <c r="AF12" s="119" t="e" cm="1">
        <f t="array" ref="AF12">INDEX(Page2!$O$9:$O$38, COLUMN(AF12)-10)</f>
        <v>#DIV/0!</v>
      </c>
      <c r="AG12" s="119" t="e" cm="1">
        <f t="array" ref="AG12">INDEX(Page2!$O$9:$O$38, COLUMN(AG12)-10)</f>
        <v>#DIV/0!</v>
      </c>
      <c r="AH12" s="119" t="e" cm="1">
        <f t="array" ref="AH12">INDEX(Page2!$O$9:$O$38, COLUMN(AH12)-10)</f>
        <v>#DIV/0!</v>
      </c>
      <c r="AI12" s="119" t="e" cm="1">
        <f t="array" ref="AI12">INDEX(Page2!$O$9:$O$38, COLUMN(AI12)-10)</f>
        <v>#DIV/0!</v>
      </c>
      <c r="AJ12" s="119" t="e" cm="1">
        <f t="array" ref="AJ12">INDEX(Page2!$O$9:$O$38, COLUMN(AJ12)-10)</f>
        <v>#DIV/0!</v>
      </c>
      <c r="AK12" s="119" t="e" cm="1">
        <f t="array" ref="AK12">INDEX(Page2!$O$9:$O$38, COLUMN(AK12)-10)</f>
        <v>#DIV/0!</v>
      </c>
      <c r="AL12" s="119" t="e" cm="1">
        <f t="array" ref="AL12">INDEX(Page2!$O$9:$O$38, COLUMN(AL12)-10)</f>
        <v>#DIV/0!</v>
      </c>
      <c r="AM12" s="119" t="e" cm="1">
        <f t="array" ref="AM12">INDEX(Page2!$O$9:$O$38, COLUMN(AM12)-10)</f>
        <v>#DIV/0!</v>
      </c>
      <c r="AN12" s="119" t="e" cm="1">
        <f t="array" ref="AN12">INDEX(Page2!$O$9:$O$38, COLUMN(AN12)-10)</f>
        <v>#DIV/0!</v>
      </c>
      <c r="AO12" s="120" t="e">
        <f t="shared" si="0"/>
        <v>#DIV/0!</v>
      </c>
      <c r="AP12" s="115" t="e">
        <f t="shared" si="2"/>
        <v>#DIV/0!</v>
      </c>
      <c r="AQ12" s="121" t="e">
        <f>MIN((AO12-H12)/(3*AP12), (I12-AO12)/(3*AP12))</f>
        <v>#DIV/0!</v>
      </c>
      <c r="AR12" s="122" t="e">
        <f t="shared" si="1"/>
        <v>#DIV/0!</v>
      </c>
      <c r="AS12" s="122" t="e">
        <f t="shared" si="3"/>
        <v>#DIV/0!</v>
      </c>
      <c r="AT12" s="104" t="e">
        <f t="shared" si="4"/>
        <v>#DIV/0!</v>
      </c>
    </row>
    <row r="13" spans="1:46" s="118" customFormat="1" ht="15" customHeight="1">
      <c r="A13" s="108">
        <v>11</v>
      </c>
      <c r="B13" s="109" t="s">
        <v>140</v>
      </c>
      <c r="C13" s="110" t="s">
        <v>97</v>
      </c>
      <c r="D13" s="111" t="s">
        <v>141</v>
      </c>
      <c r="E13" s="111" t="s">
        <v>99</v>
      </c>
      <c r="F13" s="111" t="s">
        <v>142</v>
      </c>
      <c r="G13" s="112" t="s">
        <v>143</v>
      </c>
      <c r="H13" s="112" t="s">
        <v>144</v>
      </c>
      <c r="I13" s="112" t="s">
        <v>145</v>
      </c>
      <c r="J13" s="125" t="s">
        <v>103</v>
      </c>
      <c r="K13" s="126" cm="1">
        <f t="array" ref="K13">INDEX(Page1!$F$8:$F$37, COLUMN(K13)-10)</f>
        <v>0</v>
      </c>
      <c r="L13" s="126" cm="1">
        <f t="array" ref="L13">INDEX(Page1!$F$8:$F$37, COLUMN(L13)-10)</f>
        <v>0</v>
      </c>
      <c r="M13" s="126" cm="1">
        <f t="array" ref="M13">INDEX(Page1!$F$8:$F$37, COLUMN(M13)-10)</f>
        <v>0</v>
      </c>
      <c r="N13" s="126" cm="1">
        <f t="array" ref="N13">INDEX(Page1!$F$8:$F$37, COLUMN(N13)-10)</f>
        <v>0</v>
      </c>
      <c r="O13" s="126" cm="1">
        <f t="array" ref="O13">INDEX(Page1!$F$8:$F$37, COLUMN(O13)-10)</f>
        <v>0</v>
      </c>
      <c r="P13" s="126" cm="1">
        <f t="array" ref="P13">INDEX(Page1!$F$8:$F$37, COLUMN(P13)-10)</f>
        <v>0</v>
      </c>
      <c r="Q13" s="126" cm="1">
        <f t="array" ref="Q13">INDEX(Page1!$F$8:$F$37, COLUMN(Q13)-10)</f>
        <v>0</v>
      </c>
      <c r="R13" s="126" cm="1">
        <f t="array" ref="R13">INDEX(Page1!$F$8:$F$37, COLUMN(R13)-10)</f>
        <v>0</v>
      </c>
      <c r="S13" s="126" cm="1">
        <f t="array" ref="S13">INDEX(Page1!$F$8:$F$37, COLUMN(S13)-10)</f>
        <v>0</v>
      </c>
      <c r="T13" s="126" cm="1">
        <f t="array" ref="T13">INDEX(Page1!$F$8:$F$37, COLUMN(T13)-10)</f>
        <v>0</v>
      </c>
      <c r="U13" s="126" cm="1">
        <f t="array" ref="U13">INDEX(Page1!$F$8:$F$37, COLUMN(U13)-10)</f>
        <v>0</v>
      </c>
      <c r="V13" s="126" cm="1">
        <f t="array" ref="V13">INDEX(Page1!$F$8:$F$37, COLUMN(V13)-10)</f>
        <v>0</v>
      </c>
      <c r="W13" s="126" cm="1">
        <f t="array" ref="W13">INDEX(Page1!$F$8:$F$37, COLUMN(W13)-10)</f>
        <v>0</v>
      </c>
      <c r="X13" s="126" cm="1">
        <f t="array" ref="X13">INDEX(Page1!$F$8:$F$37, COLUMN(X13)-10)</f>
        <v>0</v>
      </c>
      <c r="Y13" s="126" cm="1">
        <f t="array" ref="Y13">INDEX(Page1!$F$8:$F$37, COLUMN(Y13)-10)</f>
        <v>0</v>
      </c>
      <c r="Z13" s="126" cm="1">
        <f t="array" ref="Z13">INDEX(Page1!$F$8:$F$37, COLUMN(Z13)-10)</f>
        <v>0</v>
      </c>
      <c r="AA13" s="126" cm="1">
        <f t="array" ref="AA13">INDEX(Page1!$F$8:$F$37, COLUMN(AA13)-10)</f>
        <v>0</v>
      </c>
      <c r="AB13" s="126" cm="1">
        <f t="array" ref="AB13">INDEX(Page1!$F$8:$F$37, COLUMN(AB13)-10)</f>
        <v>0</v>
      </c>
      <c r="AC13" s="126" cm="1">
        <f t="array" ref="AC13">INDEX(Page1!$F$8:$F$37, COLUMN(AC13)-10)</f>
        <v>0</v>
      </c>
      <c r="AD13" s="126" cm="1">
        <f t="array" ref="AD13">INDEX(Page1!$F$8:$F$37, COLUMN(AD13)-10)</f>
        <v>0</v>
      </c>
      <c r="AE13" s="126" cm="1">
        <f t="array" ref="AE13">INDEX(Page1!$F$8:$F$37, COLUMN(AE13)-10)</f>
        <v>0</v>
      </c>
      <c r="AF13" s="126" cm="1">
        <f t="array" ref="AF13">INDEX(Page1!$F$8:$F$37, COLUMN(AF13)-10)</f>
        <v>0</v>
      </c>
      <c r="AG13" s="126" cm="1">
        <f t="array" ref="AG13">INDEX(Page1!$F$8:$F$37, COLUMN(AG13)-10)</f>
        <v>0</v>
      </c>
      <c r="AH13" s="126" cm="1">
        <f t="array" ref="AH13">INDEX(Page1!$F$8:$F$37, COLUMN(AH13)-10)</f>
        <v>0</v>
      </c>
      <c r="AI13" s="126" cm="1">
        <f t="array" ref="AI13">INDEX(Page1!$F$8:$F$37, COLUMN(AI13)-10)</f>
        <v>0</v>
      </c>
      <c r="AJ13" s="126" cm="1">
        <f t="array" ref="AJ13">INDEX(Page1!$F$8:$F$37, COLUMN(AJ13)-10)</f>
        <v>0</v>
      </c>
      <c r="AK13" s="126" cm="1">
        <f t="array" ref="AK13">INDEX(Page1!$F$8:$F$37, COLUMN(AK13)-10)</f>
        <v>0</v>
      </c>
      <c r="AL13" s="126" cm="1">
        <f t="array" ref="AL13">INDEX(Page1!$F$8:$F$37, COLUMN(AL13)-10)</f>
        <v>0</v>
      </c>
      <c r="AM13" s="126" cm="1">
        <f t="array" ref="AM13">INDEX(Page1!$F$8:$F$37, COLUMN(AM13)-10)</f>
        <v>0</v>
      </c>
      <c r="AN13" s="126" cm="1">
        <f t="array" ref="AN13">INDEX(Page1!$F$8:$F$37, COLUMN(AN13)-10)</f>
        <v>0</v>
      </c>
      <c r="AO13" s="127">
        <f>AVERAGE(K13:AN13)</f>
        <v>0</v>
      </c>
      <c r="AP13" s="115">
        <f t="shared" si="2"/>
        <v>0</v>
      </c>
      <c r="AQ13" s="121" t="e">
        <f>MIN((AO13-H13)/(3*AP13), (I13-AO13)/(3*AP13))</f>
        <v>#DIV/0!</v>
      </c>
      <c r="AR13" s="128">
        <f t="shared" si="1"/>
        <v>0</v>
      </c>
      <c r="AS13" s="128">
        <f t="shared" si="3"/>
        <v>0</v>
      </c>
      <c r="AT13" s="104" t="e">
        <f t="shared" si="4"/>
        <v>#DIV/0!</v>
      </c>
    </row>
    <row r="14" spans="1:46" s="118" customFormat="1" ht="15" customHeight="1">
      <c r="A14" s="108">
        <v>12</v>
      </c>
      <c r="B14" s="109" t="s">
        <v>146</v>
      </c>
      <c r="C14" s="110" t="s">
        <v>97</v>
      </c>
      <c r="D14" s="111" t="s">
        <v>147</v>
      </c>
      <c r="E14" s="111" t="s">
        <v>106</v>
      </c>
      <c r="F14" s="111" t="s">
        <v>107</v>
      </c>
      <c r="G14" s="129">
        <v>30</v>
      </c>
      <c r="H14" s="129">
        <v>20</v>
      </c>
      <c r="I14" s="129">
        <v>40</v>
      </c>
      <c r="J14" s="125" t="s">
        <v>103</v>
      </c>
      <c r="K14" s="119" t="e" cm="1">
        <f t="array" ref="K14">INDEX(Page3!$O$9:$O$38, COLUMN(K14)-10)</f>
        <v>#DIV/0!</v>
      </c>
      <c r="L14" s="119" t="e" cm="1">
        <f t="array" ref="L14">INDEX(Page3!$O$9:$O$38, COLUMN(L14)-10)</f>
        <v>#DIV/0!</v>
      </c>
      <c r="M14" s="119" t="e" cm="1">
        <f t="array" ref="M14">INDEX(Page3!$O$9:$O$38, COLUMN(M14)-10)</f>
        <v>#DIV/0!</v>
      </c>
      <c r="N14" s="119" t="e" cm="1">
        <f t="array" ref="N14">INDEX(Page3!$O$9:$O$38, COLUMN(N14)-10)</f>
        <v>#DIV/0!</v>
      </c>
      <c r="O14" s="119" t="e" cm="1">
        <f t="array" ref="O14">INDEX(Page3!$O$9:$O$38, COLUMN(O14)-10)</f>
        <v>#DIV/0!</v>
      </c>
      <c r="P14" s="119" t="e" cm="1">
        <f t="array" ref="P14">INDEX(Page3!$O$9:$O$38, COLUMN(P14)-10)</f>
        <v>#DIV/0!</v>
      </c>
      <c r="Q14" s="119" t="e" cm="1">
        <f t="array" ref="Q14">INDEX(Page3!$O$9:$O$38, COLUMN(Q14)-10)</f>
        <v>#DIV/0!</v>
      </c>
      <c r="R14" s="119" t="e" cm="1">
        <f t="array" ref="R14">INDEX(Page3!$O$9:$O$38, COLUMN(R14)-10)</f>
        <v>#DIV/0!</v>
      </c>
      <c r="S14" s="119" t="e" cm="1">
        <f t="array" ref="S14">INDEX(Page3!$O$9:$O$38, COLUMN(S14)-10)</f>
        <v>#DIV/0!</v>
      </c>
      <c r="T14" s="119" t="e" cm="1">
        <f t="array" ref="T14">INDEX(Page3!$O$9:$O$38, COLUMN(T14)-10)</f>
        <v>#DIV/0!</v>
      </c>
      <c r="U14" s="119" t="e" cm="1">
        <f t="array" ref="U14">INDEX(Page3!$O$9:$O$38, COLUMN(U14)-10)</f>
        <v>#DIV/0!</v>
      </c>
      <c r="V14" s="119" t="e" cm="1">
        <f t="array" ref="V14">INDEX(Page3!$O$9:$O$38, COLUMN(V14)-10)</f>
        <v>#DIV/0!</v>
      </c>
      <c r="W14" s="119" t="e" cm="1">
        <f t="array" ref="W14">INDEX(Page3!$O$9:$O$38, COLUMN(W14)-10)</f>
        <v>#DIV/0!</v>
      </c>
      <c r="X14" s="119" t="e" cm="1">
        <f t="array" ref="X14">INDEX(Page3!$O$9:$O$38, COLUMN(X14)-10)</f>
        <v>#DIV/0!</v>
      </c>
      <c r="Y14" s="119" t="e" cm="1">
        <f t="array" ref="Y14">INDEX(Page3!$O$9:$O$38, COLUMN(Y14)-10)</f>
        <v>#DIV/0!</v>
      </c>
      <c r="Z14" s="119" t="e" cm="1">
        <f t="array" ref="Z14">INDEX(Page3!$O$9:$O$38, COLUMN(Z14)-10)</f>
        <v>#DIV/0!</v>
      </c>
      <c r="AA14" s="119" t="e" cm="1">
        <f t="array" ref="AA14">INDEX(Page3!$O$9:$O$38, COLUMN(AA14)-10)</f>
        <v>#DIV/0!</v>
      </c>
      <c r="AB14" s="119" t="e" cm="1">
        <f t="array" ref="AB14">INDEX(Page3!$O$9:$O$38, COLUMN(AB14)-10)</f>
        <v>#DIV/0!</v>
      </c>
      <c r="AC14" s="119" t="e" cm="1">
        <f t="array" ref="AC14">INDEX(Page3!$O$9:$O$38, COLUMN(AC14)-10)</f>
        <v>#DIV/0!</v>
      </c>
      <c r="AD14" s="119" t="e" cm="1">
        <f t="array" ref="AD14">INDEX(Page3!$O$9:$O$38, COLUMN(AD14)-10)</f>
        <v>#DIV/0!</v>
      </c>
      <c r="AE14" s="119" t="e" cm="1">
        <f t="array" ref="AE14">INDEX(Page3!$O$9:$O$38, COLUMN(AE14)-10)</f>
        <v>#DIV/0!</v>
      </c>
      <c r="AF14" s="119" t="e" cm="1">
        <f t="array" ref="AF14">INDEX(Page3!$O$9:$O$38, COLUMN(AF14)-10)</f>
        <v>#DIV/0!</v>
      </c>
      <c r="AG14" s="119" t="e" cm="1">
        <f t="array" ref="AG14">INDEX(Page3!$O$9:$O$38, COLUMN(AG14)-10)</f>
        <v>#DIV/0!</v>
      </c>
      <c r="AH14" s="119" t="e" cm="1">
        <f t="array" ref="AH14">INDEX(Page3!$O$9:$O$38, COLUMN(AH14)-10)</f>
        <v>#DIV/0!</v>
      </c>
      <c r="AI14" s="119" t="e" cm="1">
        <f t="array" ref="AI14">INDEX(Page3!$O$9:$O$38, COLUMN(AI14)-10)</f>
        <v>#DIV/0!</v>
      </c>
      <c r="AJ14" s="119" t="e" cm="1">
        <f t="array" ref="AJ14">INDEX(Page3!$O$9:$O$38, COLUMN(AJ14)-10)</f>
        <v>#DIV/0!</v>
      </c>
      <c r="AK14" s="119" t="e" cm="1">
        <f t="array" ref="AK14">INDEX(Page3!$O$9:$O$38, COLUMN(AK14)-10)</f>
        <v>#DIV/0!</v>
      </c>
      <c r="AL14" s="119" t="e" cm="1">
        <f t="array" ref="AL14">INDEX(Page3!$O$9:$O$38, COLUMN(AL14)-10)</f>
        <v>#DIV/0!</v>
      </c>
      <c r="AM14" s="119" t="e" cm="1">
        <f t="array" ref="AM14">INDEX(Page3!$O$9:$O$38, COLUMN(AM14)-10)</f>
        <v>#DIV/0!</v>
      </c>
      <c r="AN14" s="119" t="e" cm="1">
        <f t="array" ref="AN14">INDEX(Page3!$O$9:$O$38, COLUMN(AN14)-10)</f>
        <v>#DIV/0!</v>
      </c>
      <c r="AO14" s="120" t="e">
        <f t="shared" si="0"/>
        <v>#DIV/0!</v>
      </c>
      <c r="AP14" s="115" t="e">
        <f t="shared" si="2"/>
        <v>#DIV/0!</v>
      </c>
      <c r="AQ14" s="121" t="e">
        <f>MIN((AO14-H14)/(3*AP14), (I14-AO14)/(3*AP14))</f>
        <v>#DIV/0!</v>
      </c>
      <c r="AR14" s="122" t="e">
        <f t="shared" si="1"/>
        <v>#DIV/0!</v>
      </c>
      <c r="AS14" s="122" t="e">
        <f t="shared" si="3"/>
        <v>#DIV/0!</v>
      </c>
      <c r="AT14" s="104" t="e">
        <f t="shared" si="4"/>
        <v>#DIV/0!</v>
      </c>
    </row>
    <row r="15" spans="1:46" s="118" customFormat="1" ht="15" customHeight="1">
      <c r="A15" s="108">
        <v>13</v>
      </c>
      <c r="B15" s="109" t="s">
        <v>148</v>
      </c>
      <c r="C15" s="110" t="s">
        <v>97</v>
      </c>
      <c r="D15" s="111" t="s">
        <v>18</v>
      </c>
      <c r="E15" s="111" t="s">
        <v>99</v>
      </c>
      <c r="F15" s="111" t="s">
        <v>116</v>
      </c>
      <c r="G15" s="112" t="s">
        <v>149</v>
      </c>
      <c r="H15" s="112" t="s">
        <v>150</v>
      </c>
      <c r="I15" s="112" t="s">
        <v>151</v>
      </c>
      <c r="J15" s="112" t="s">
        <v>124</v>
      </c>
      <c r="K15" s="123" cm="1">
        <f t="array" ref="K15">INDEX(Page1!$J$8:$J$37, COLUMN(K15)-10)</f>
        <v>0</v>
      </c>
      <c r="L15" s="123" cm="1">
        <f t="array" ref="L15">INDEX(Page1!$J$8:$J$37, COLUMN(L15)-10)</f>
        <v>0</v>
      </c>
      <c r="M15" s="123" cm="1">
        <f t="array" ref="M15">INDEX(Page1!$J$8:$J$37, COLUMN(M15)-10)</f>
        <v>0</v>
      </c>
      <c r="N15" s="123" cm="1">
        <f t="array" ref="N15">INDEX(Page1!$J$8:$J$37, COLUMN(N15)-10)</f>
        <v>0</v>
      </c>
      <c r="O15" s="123" cm="1">
        <f t="array" ref="O15">INDEX(Page1!$J$8:$J$37, COLUMN(O15)-10)</f>
        <v>0</v>
      </c>
      <c r="P15" s="123" cm="1">
        <f t="array" ref="P15">INDEX(Page1!$J$8:$J$37, COLUMN(P15)-10)</f>
        <v>0</v>
      </c>
      <c r="Q15" s="123" cm="1">
        <f t="array" ref="Q15">INDEX(Page1!$J$8:$J$37, COLUMN(Q15)-10)</f>
        <v>0</v>
      </c>
      <c r="R15" s="123" cm="1">
        <f t="array" ref="R15">INDEX(Page1!$J$8:$J$37, COLUMN(R15)-10)</f>
        <v>0</v>
      </c>
      <c r="S15" s="123" cm="1">
        <f t="array" ref="S15">INDEX(Page1!$J$8:$J$37, COLUMN(S15)-10)</f>
        <v>0</v>
      </c>
      <c r="T15" s="123" cm="1">
        <f t="array" ref="T15">INDEX(Page1!$J$8:$J$37, COLUMN(T15)-10)</f>
        <v>0</v>
      </c>
      <c r="U15" s="123" cm="1">
        <f t="array" ref="U15">INDEX(Page1!$J$8:$J$37, COLUMN(U15)-10)</f>
        <v>0</v>
      </c>
      <c r="V15" s="123" cm="1">
        <f t="array" ref="V15">INDEX(Page1!$J$8:$J$37, COLUMN(V15)-10)</f>
        <v>0</v>
      </c>
      <c r="W15" s="123" cm="1">
        <f t="array" ref="W15">INDEX(Page1!$J$8:$J$37, COLUMN(W15)-10)</f>
        <v>0</v>
      </c>
      <c r="X15" s="123" cm="1">
        <f t="array" ref="X15">INDEX(Page1!$J$8:$J$37, COLUMN(X15)-10)</f>
        <v>0</v>
      </c>
      <c r="Y15" s="123" cm="1">
        <f t="array" ref="Y15">INDEX(Page1!$J$8:$J$37, COLUMN(Y15)-10)</f>
        <v>0</v>
      </c>
      <c r="Z15" s="123" cm="1">
        <f t="array" ref="Z15">INDEX(Page1!$J$8:$J$37, COLUMN(Z15)-10)</f>
        <v>0</v>
      </c>
      <c r="AA15" s="123" cm="1">
        <f t="array" ref="AA15">INDEX(Page1!$J$8:$J$37, COLUMN(AA15)-10)</f>
        <v>0</v>
      </c>
      <c r="AB15" s="123" cm="1">
        <f t="array" ref="AB15">INDEX(Page1!$J$8:$J$37, COLUMN(AB15)-10)</f>
        <v>0</v>
      </c>
      <c r="AC15" s="123" cm="1">
        <f t="array" ref="AC15">INDEX(Page1!$J$8:$J$37, COLUMN(AC15)-10)</f>
        <v>0</v>
      </c>
      <c r="AD15" s="123" cm="1">
        <f t="array" ref="AD15">INDEX(Page1!$J$8:$J$37, COLUMN(AD15)-10)</f>
        <v>0</v>
      </c>
      <c r="AE15" s="123" cm="1">
        <f t="array" ref="AE15">INDEX(Page1!$J$8:$J$37, COLUMN(AE15)-10)</f>
        <v>0</v>
      </c>
      <c r="AF15" s="123" cm="1">
        <f t="array" ref="AF15">INDEX(Page1!$J$8:$J$37, COLUMN(AF15)-10)</f>
        <v>0</v>
      </c>
      <c r="AG15" s="123" cm="1">
        <f t="array" ref="AG15">INDEX(Page1!$J$8:$J$37, COLUMN(AG15)-10)</f>
        <v>0</v>
      </c>
      <c r="AH15" s="123" cm="1">
        <f t="array" ref="AH15">INDEX(Page1!$J$8:$J$37, COLUMN(AH15)-10)</f>
        <v>0</v>
      </c>
      <c r="AI15" s="123" cm="1">
        <f t="array" ref="AI15">INDEX(Page1!$J$8:$J$37, COLUMN(AI15)-10)</f>
        <v>0</v>
      </c>
      <c r="AJ15" s="123" cm="1">
        <f t="array" ref="AJ15">INDEX(Page1!$J$8:$J$37, COLUMN(AJ15)-10)</f>
        <v>0</v>
      </c>
      <c r="AK15" s="123" cm="1">
        <f t="array" ref="AK15">INDEX(Page1!$J$8:$J$37, COLUMN(AK15)-10)</f>
        <v>0</v>
      </c>
      <c r="AL15" s="123" cm="1">
        <f t="array" ref="AL15">INDEX(Page1!$J$8:$J$37, COLUMN(AL15)-10)</f>
        <v>0</v>
      </c>
      <c r="AM15" s="123" cm="1">
        <f t="array" ref="AM15">INDEX(Page1!$J$8:$J$37, COLUMN(AM15)-10)</f>
        <v>0</v>
      </c>
      <c r="AN15" s="123" cm="1">
        <f t="array" ref="AN15">INDEX(Page1!$J$8:$J$37, COLUMN(AN15)-10)</f>
        <v>0</v>
      </c>
      <c r="AO15" s="124">
        <f t="shared" si="0"/>
        <v>0</v>
      </c>
      <c r="AP15" s="115">
        <f t="shared" si="2"/>
        <v>0</v>
      </c>
      <c r="AQ15" s="116" t="e">
        <f>MIN((AO15-H15)/(3*AP15), (I15-AO15)/(3*AP15))</f>
        <v>#DIV/0!</v>
      </c>
      <c r="AR15" s="115">
        <f t="shared" si="1"/>
        <v>0</v>
      </c>
      <c r="AS15" s="115">
        <f t="shared" si="3"/>
        <v>0</v>
      </c>
      <c r="AT15" s="104" t="e">
        <f t="shared" si="4"/>
        <v>#DIV/0!</v>
      </c>
    </row>
    <row r="16" spans="1:46" s="118" customFormat="1" ht="15" customHeight="1">
      <c r="A16" s="108">
        <v>14</v>
      </c>
      <c r="B16" s="109" t="s">
        <v>152</v>
      </c>
      <c r="C16" s="110" t="s">
        <v>97</v>
      </c>
      <c r="D16" s="111" t="s">
        <v>153</v>
      </c>
      <c r="E16" s="111" t="s">
        <v>99</v>
      </c>
      <c r="F16" s="111" t="s">
        <v>116</v>
      </c>
      <c r="G16" s="112" t="s">
        <v>117</v>
      </c>
      <c r="H16" s="112"/>
      <c r="I16" s="112" t="s">
        <v>118</v>
      </c>
      <c r="J16" s="112" t="s">
        <v>103</v>
      </c>
      <c r="K16" s="123" cm="1">
        <f t="array" ref="K16">INDEX(Page1!$O$8:$O$37, COLUMN(K16)-10)</f>
        <v>0</v>
      </c>
      <c r="L16" s="123" cm="1">
        <f t="array" ref="L16">INDEX(Page1!$O$8:$O$37, COLUMN(L16)-10)</f>
        <v>0</v>
      </c>
      <c r="M16" s="123" cm="1">
        <f t="array" ref="M16">INDEX(Page1!$O$8:$O$37, COLUMN(M16)-10)</f>
        <v>0</v>
      </c>
      <c r="N16" s="123" cm="1">
        <f t="array" ref="N16">INDEX(Page1!$O$8:$O$37, COLUMN(N16)-10)</f>
        <v>0</v>
      </c>
      <c r="O16" s="123" cm="1">
        <f t="array" ref="O16">INDEX(Page1!$O$8:$O$37, COLUMN(O16)-10)</f>
        <v>0</v>
      </c>
      <c r="P16" s="123" cm="1">
        <f t="array" ref="P16">INDEX(Page1!$O$8:$O$37, COLUMN(P16)-10)</f>
        <v>0</v>
      </c>
      <c r="Q16" s="123" cm="1">
        <f t="array" ref="Q16">INDEX(Page1!$O$8:$O$37, COLUMN(Q16)-10)</f>
        <v>0</v>
      </c>
      <c r="R16" s="123" cm="1">
        <f t="array" ref="R16">INDEX(Page1!$O$8:$O$37, COLUMN(R16)-10)</f>
        <v>0</v>
      </c>
      <c r="S16" s="123" cm="1">
        <f t="array" ref="S16">INDEX(Page1!$O$8:$O$37, COLUMN(S16)-10)</f>
        <v>0</v>
      </c>
      <c r="T16" s="123" cm="1">
        <f t="array" ref="T16">INDEX(Page1!$O$8:$O$37, COLUMN(T16)-10)</f>
        <v>0</v>
      </c>
      <c r="U16" s="123" cm="1">
        <f t="array" ref="U16">INDEX(Page1!$O$8:$O$37, COLUMN(U16)-10)</f>
        <v>0</v>
      </c>
      <c r="V16" s="123" cm="1">
        <f t="array" ref="V16">INDEX(Page1!$O$8:$O$37, COLUMN(V16)-10)</f>
        <v>0</v>
      </c>
      <c r="W16" s="123" cm="1">
        <f t="array" ref="W16">INDEX(Page1!$O$8:$O$37, COLUMN(W16)-10)</f>
        <v>0</v>
      </c>
      <c r="X16" s="123" cm="1">
        <f t="array" ref="X16">INDEX(Page1!$O$8:$O$37, COLUMN(X16)-10)</f>
        <v>0</v>
      </c>
      <c r="Y16" s="123" cm="1">
        <f t="array" ref="Y16">INDEX(Page1!$O$8:$O$37, COLUMN(Y16)-10)</f>
        <v>0</v>
      </c>
      <c r="Z16" s="123" cm="1">
        <f t="array" ref="Z16">INDEX(Page1!$O$8:$O$37, COLUMN(Z16)-10)</f>
        <v>0</v>
      </c>
      <c r="AA16" s="123" cm="1">
        <f t="array" ref="AA16">INDEX(Page1!$O$8:$O$37, COLUMN(AA16)-10)</f>
        <v>0</v>
      </c>
      <c r="AB16" s="123" cm="1">
        <f t="array" ref="AB16">INDEX(Page1!$O$8:$O$37, COLUMN(AB16)-10)</f>
        <v>0</v>
      </c>
      <c r="AC16" s="123" cm="1">
        <f t="array" ref="AC16">INDEX(Page1!$O$8:$O$37, COLUMN(AC16)-10)</f>
        <v>0</v>
      </c>
      <c r="AD16" s="123" cm="1">
        <f t="array" ref="AD16">INDEX(Page1!$O$8:$O$37, COLUMN(AD16)-10)</f>
        <v>0</v>
      </c>
      <c r="AE16" s="123" cm="1">
        <f t="array" ref="AE16">INDEX(Page1!$O$8:$O$37, COLUMN(AE16)-10)</f>
        <v>0</v>
      </c>
      <c r="AF16" s="123" cm="1">
        <f t="array" ref="AF16">INDEX(Page1!$O$8:$O$37, COLUMN(AF16)-10)</f>
        <v>0</v>
      </c>
      <c r="AG16" s="123" cm="1">
        <f t="array" ref="AG16">INDEX(Page1!$O$8:$O$37, COLUMN(AG16)-10)</f>
        <v>0</v>
      </c>
      <c r="AH16" s="123" cm="1">
        <f t="array" ref="AH16">INDEX(Page1!$O$8:$O$37, COLUMN(AH16)-10)</f>
        <v>0</v>
      </c>
      <c r="AI16" s="123" cm="1">
        <f t="array" ref="AI16">INDEX(Page1!$O$8:$O$37, COLUMN(AI16)-10)</f>
        <v>0</v>
      </c>
      <c r="AJ16" s="123" cm="1">
        <f t="array" ref="AJ16">INDEX(Page1!$O$8:$O$37, COLUMN(AJ16)-10)</f>
        <v>0</v>
      </c>
      <c r="AK16" s="123" cm="1">
        <f t="array" ref="AK16">INDEX(Page1!$O$8:$O$37, COLUMN(AK16)-10)</f>
        <v>0</v>
      </c>
      <c r="AL16" s="123" cm="1">
        <f t="array" ref="AL16">INDEX(Page1!$O$8:$O$37, COLUMN(AL16)-10)</f>
        <v>0</v>
      </c>
      <c r="AM16" s="123" cm="1">
        <f t="array" ref="AM16">INDEX(Page1!$O$8:$O$37, COLUMN(AM16)-10)</f>
        <v>0</v>
      </c>
      <c r="AN16" s="123" cm="1">
        <f t="array" ref="AN16">INDEX(Page1!$O$8:$O$37, COLUMN(AN16)-10)</f>
        <v>0</v>
      </c>
      <c r="AO16" s="124">
        <f t="shared" si="0"/>
        <v>0</v>
      </c>
      <c r="AP16" s="115">
        <f t="shared" si="2"/>
        <v>0</v>
      </c>
      <c r="AQ16" s="121" t="e">
        <f>(I16-AO16)/(3*AP16)</f>
        <v>#DIV/0!</v>
      </c>
      <c r="AR16" s="115">
        <f t="shared" si="1"/>
        <v>0</v>
      </c>
      <c r="AS16" s="115">
        <f t="shared" si="3"/>
        <v>0</v>
      </c>
      <c r="AT16" s="104" t="e">
        <f t="shared" si="4"/>
        <v>#DIV/0!</v>
      </c>
    </row>
    <row r="18" spans="28:46">
      <c r="AT18" s="77"/>
    </row>
    <row r="19" spans="28:46">
      <c r="AP19" s="77"/>
      <c r="AQ19" s="77"/>
      <c r="AR19" s="77"/>
      <c r="AS19" s="77"/>
      <c r="AT19" s="77"/>
    </row>
    <row r="20" spans="28:46">
      <c r="AP20" s="77"/>
      <c r="AQ20" s="77"/>
      <c r="AR20" s="77"/>
      <c r="AS20" s="77"/>
      <c r="AT20" s="77"/>
    </row>
    <row r="21" spans="28:46">
      <c r="AP21" s="77"/>
      <c r="AQ21" s="77"/>
      <c r="AR21" s="77"/>
      <c r="AS21" s="77"/>
      <c r="AT21" s="77"/>
    </row>
    <row r="22" spans="28:46">
      <c r="AP22" s="77"/>
      <c r="AQ22" s="77"/>
      <c r="AR22" s="77"/>
      <c r="AS22" s="77"/>
      <c r="AT22" s="77"/>
    </row>
    <row r="23" spans="28:46">
      <c r="AP23" s="77"/>
      <c r="AQ23" s="77"/>
      <c r="AR23" s="77"/>
      <c r="AS23" s="77"/>
      <c r="AT23" s="77"/>
    </row>
    <row r="24" spans="28:46" ht="11.25" customHeight="1">
      <c r="AB24" s="78"/>
      <c r="AC24" s="78"/>
      <c r="AP24" s="77"/>
      <c r="AQ24" s="77"/>
      <c r="AR24" s="77"/>
      <c r="AS24" s="77"/>
      <c r="AT24" s="77"/>
    </row>
    <row r="25" spans="28:46" ht="11.25" customHeight="1">
      <c r="AB25" s="78"/>
      <c r="AC25" s="78"/>
      <c r="AP25" s="77"/>
      <c r="AQ25" s="77"/>
      <c r="AR25" s="77"/>
      <c r="AS25" s="77"/>
      <c r="AT25" s="77"/>
    </row>
    <row r="26" spans="28:46">
      <c r="AB26" s="78"/>
      <c r="AC26" s="78"/>
      <c r="AP26" s="77"/>
      <c r="AQ26" s="77"/>
      <c r="AR26" s="77"/>
      <c r="AS26" s="77"/>
      <c r="AT26" s="77"/>
    </row>
    <row r="27" spans="28:46">
      <c r="AB27" s="78"/>
      <c r="AC27" s="78"/>
      <c r="AP27" s="77"/>
      <c r="AQ27" s="77"/>
      <c r="AR27" s="77"/>
      <c r="AS27" s="77"/>
      <c r="AT27" s="77"/>
    </row>
    <row r="28" spans="28:46">
      <c r="AB28" s="78"/>
      <c r="AC28" s="78"/>
      <c r="AP28" s="77"/>
      <c r="AQ28" s="77"/>
      <c r="AR28" s="77"/>
      <c r="AS28" s="77"/>
      <c r="AT28" s="77"/>
    </row>
    <row r="29" spans="28:46">
      <c r="AB29" s="78"/>
      <c r="AC29" s="78"/>
      <c r="AP29" s="77"/>
      <c r="AQ29" s="77"/>
      <c r="AR29" s="77"/>
      <c r="AS29" s="77"/>
      <c r="AT29" s="77"/>
    </row>
    <row r="30" spans="28:46">
      <c r="AB30" s="78"/>
      <c r="AC30" s="78"/>
      <c r="AP30" s="77"/>
      <c r="AQ30" s="77"/>
      <c r="AR30" s="77"/>
      <c r="AS30" s="77"/>
    </row>
    <row r="31" spans="28:46">
      <c r="AB31" s="78"/>
      <c r="AC31" s="78"/>
      <c r="AP31" s="77"/>
      <c r="AQ31" s="77"/>
      <c r="AR31" s="77"/>
      <c r="AS31" s="77"/>
    </row>
    <row r="32" spans="28:46">
      <c r="AB32" s="78"/>
      <c r="AC32" s="78"/>
      <c r="AP32" s="77"/>
      <c r="AQ32" s="77"/>
      <c r="AR32" s="77"/>
      <c r="AS32" s="77"/>
    </row>
    <row r="33" spans="28:45">
      <c r="AB33" s="78"/>
      <c r="AC33" s="78"/>
      <c r="AP33" s="77"/>
      <c r="AQ33" s="77"/>
      <c r="AR33" s="77"/>
      <c r="AS33" s="77"/>
    </row>
    <row r="34" spans="28:45">
      <c r="AB34" s="78"/>
      <c r="AC34" s="78"/>
      <c r="AP34" s="77"/>
      <c r="AQ34" s="77"/>
      <c r="AR34" s="77"/>
      <c r="AS34" s="77"/>
    </row>
    <row r="35" spans="28:45">
      <c r="AB35" s="78"/>
      <c r="AC35" s="78"/>
      <c r="AP35" s="77"/>
      <c r="AQ35" s="77"/>
      <c r="AR35" s="77"/>
      <c r="AS35" s="77"/>
    </row>
    <row r="36" spans="28:45">
      <c r="AB36" s="78"/>
      <c r="AC36" s="78"/>
      <c r="AP36" s="77"/>
      <c r="AQ36" s="77"/>
      <c r="AR36" s="77"/>
      <c r="AS36" s="77"/>
    </row>
    <row r="37" spans="28:45">
      <c r="AB37" s="78"/>
      <c r="AC37" s="78"/>
      <c r="AP37" s="77"/>
      <c r="AQ37" s="77"/>
      <c r="AR37" s="77"/>
      <c r="AS37" s="77"/>
    </row>
    <row r="38" spans="28:45">
      <c r="AB38" s="78"/>
      <c r="AC38" s="78"/>
      <c r="AP38" s="77"/>
      <c r="AQ38" s="77"/>
      <c r="AR38" s="77"/>
      <c r="AS38" s="77"/>
    </row>
    <row r="39" spans="28:45">
      <c r="AB39" s="78"/>
      <c r="AC39" s="78"/>
      <c r="AP39" s="77"/>
      <c r="AQ39" s="77"/>
      <c r="AR39" s="77"/>
      <c r="AS39" s="77"/>
    </row>
    <row r="40" spans="28:45">
      <c r="AB40" s="78"/>
      <c r="AC40" s="78"/>
      <c r="AP40" s="77"/>
      <c r="AQ40" s="77"/>
      <c r="AR40" s="77"/>
      <c r="AS40" s="77"/>
    </row>
    <row r="41" spans="28:45">
      <c r="AB41" s="78"/>
      <c r="AC41" s="78"/>
      <c r="AP41" s="77"/>
      <c r="AQ41" s="77"/>
      <c r="AR41" s="77"/>
      <c r="AS41" s="77"/>
    </row>
    <row r="42" spans="28:45">
      <c r="AB42" s="78"/>
      <c r="AC42" s="78"/>
      <c r="AP42" s="77"/>
      <c r="AQ42" s="77"/>
      <c r="AR42" s="77"/>
      <c r="AS42" s="77"/>
    </row>
    <row r="43" spans="28:45">
      <c r="AB43" s="78"/>
      <c r="AC43" s="78"/>
      <c r="AP43" s="77"/>
      <c r="AQ43" s="77"/>
      <c r="AR43" s="77"/>
      <c r="AS43" s="77"/>
    </row>
    <row r="44" spans="28:45">
      <c r="AB44" s="78"/>
      <c r="AC44" s="78"/>
    </row>
    <row r="45" spans="28:45">
      <c r="AB45" s="78"/>
      <c r="AC45" s="78"/>
    </row>
    <row r="46" spans="28:45">
      <c r="AB46" s="78"/>
      <c r="AC46" s="78"/>
    </row>
    <row r="47" spans="28:45">
      <c r="AB47" s="78"/>
      <c r="AC47" s="78"/>
    </row>
    <row r="48" spans="28:45">
      <c r="AB48" s="78"/>
      <c r="AC48" s="78"/>
    </row>
    <row r="49" spans="28:29">
      <c r="AB49" s="78"/>
      <c r="AC49" s="78"/>
    </row>
    <row r="50" spans="28:29">
      <c r="AB50" s="78"/>
      <c r="AC50" s="78"/>
    </row>
    <row r="51" spans="28:29">
      <c r="AB51" s="78"/>
      <c r="AC51" s="78"/>
    </row>
    <row r="52" spans="28:29">
      <c r="AB52" s="78"/>
      <c r="AC52" s="78"/>
    </row>
    <row r="53" spans="28:29">
      <c r="AB53" s="78"/>
      <c r="AC53" s="78"/>
    </row>
  </sheetData>
  <conditionalFormatting sqref="AT3:AT16">
    <cfRule type="containsText" dxfId="1" priority="1" operator="containsText" text="Fail">
      <formula>NOT(ISERROR(SEARCH("Fail",AT3)))</formula>
    </cfRule>
    <cfRule type="containsText" dxfId="0" priority="2" operator="containsText" text="Pass">
      <formula>NOT(ISERROR(SEARCH("Pass",AT3)))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Page1</vt:lpstr>
      <vt:lpstr>Page2</vt:lpstr>
      <vt:lpstr>Page3</vt:lpstr>
      <vt:lpstr>Page4</vt:lpstr>
      <vt:lpstr>21088174.001_01_COA</vt:lpstr>
      <vt:lpstr>CpK</vt:lpstr>
      <vt:lpstr>Page1!Print_Area</vt:lpstr>
      <vt:lpstr>Page4!Print_Area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QCOFFICER</dc:creator>
  <cp:lastModifiedBy>Gauresh Chari</cp:lastModifiedBy>
  <cp:lastPrinted>2025-09-17T15:46:06Z</cp:lastPrinted>
  <dcterms:created xsi:type="dcterms:W3CDTF">2013-06-14T09:36:38Z</dcterms:created>
  <dcterms:modified xsi:type="dcterms:W3CDTF">2025-12-23T16:09:49Z</dcterms:modified>
</cp:coreProperties>
</file>