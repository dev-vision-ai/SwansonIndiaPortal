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ursor AI Projects\SwansonIndiaPortal\backend\templates\"/>
    </mc:Choice>
  </mc:AlternateContent>
  <xr:revisionPtr revIDLastSave="0" documentId="13_ncr:1_{18522DA7-AF63-41B7-91D5-1C883C31EE0D}" xr6:coauthVersionLast="47" xr6:coauthVersionMax="47" xr10:uidLastSave="{00000000-0000-0000-0000-000000000000}"/>
  <bookViews>
    <workbookView xWindow="-120" yWindow="-120" windowWidth="29040" windowHeight="15720" tabRatio="751" xr2:uid="{00000000-000D-0000-FFFF-FFFF00000000}"/>
  </bookViews>
  <sheets>
    <sheet name="Page1" sheetId="1" r:id="rId1"/>
    <sheet name="Page2" sheetId="5" r:id="rId2"/>
    <sheet name="96977186.005_00_COA" sheetId="7" r:id="rId3"/>
    <sheet name="Cpk" sheetId="6" r:id="rId4"/>
  </sheets>
  <definedNames>
    <definedName name="_xlnm.Print_Area" localSheetId="0">Page1!$A$1:$L$45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6" l="1" a="1"/>
  <c r="L3" i="6" s="1"/>
  <c r="M3" i="6" a="1"/>
  <c r="M3" i="6" s="1"/>
  <c r="N3" i="6" a="1"/>
  <c r="N3" i="6" s="1"/>
  <c r="O3" i="6" a="1"/>
  <c r="O3" i="6" s="1"/>
  <c r="P3" i="6" a="1"/>
  <c r="P3" i="6" s="1"/>
  <c r="Q3" i="6" a="1"/>
  <c r="Q3" i="6" s="1"/>
  <c r="R3" i="6" a="1"/>
  <c r="R3" i="6" s="1"/>
  <c r="S3" i="6" a="1"/>
  <c r="S3" i="6"/>
  <c r="T3" i="6" a="1"/>
  <c r="T3" i="6" s="1"/>
  <c r="U3" i="6" a="1"/>
  <c r="U3" i="6" s="1"/>
  <c r="V3" i="6" a="1"/>
  <c r="V3" i="6" s="1"/>
  <c r="W3" i="6" a="1"/>
  <c r="W3" i="6"/>
  <c r="X3" i="6" a="1"/>
  <c r="X3" i="6" s="1"/>
  <c r="Y3" i="6" a="1"/>
  <c r="Y3" i="6" s="1"/>
  <c r="Z3" i="6" a="1"/>
  <c r="Z3" i="6" s="1"/>
  <c r="AA3" i="6" a="1"/>
  <c r="AA3" i="6" s="1"/>
  <c r="AB3" i="6" a="1"/>
  <c r="AB3" i="6" s="1"/>
  <c r="AC3" i="6" a="1"/>
  <c r="AC3" i="6" s="1"/>
  <c r="AD3" i="6" a="1"/>
  <c r="AD3" i="6" s="1"/>
  <c r="AE3" i="6" a="1"/>
  <c r="AE3" i="6" s="1"/>
  <c r="AF3" i="6" a="1"/>
  <c r="AF3" i="6" s="1"/>
  <c r="AG3" i="6" a="1"/>
  <c r="AG3" i="6" s="1"/>
  <c r="AH3" i="6" a="1"/>
  <c r="AH3" i="6" s="1"/>
  <c r="AI3" i="6" a="1"/>
  <c r="AI3" i="6"/>
  <c r="AJ3" i="6" a="1"/>
  <c r="AJ3" i="6" s="1"/>
  <c r="AK3" i="6" a="1"/>
  <c r="AK3" i="6" s="1"/>
  <c r="AL3" i="6" a="1"/>
  <c r="AL3" i="6" s="1"/>
  <c r="AM3" i="6" a="1"/>
  <c r="AM3" i="6" s="1"/>
  <c r="AN3" i="6" a="1"/>
  <c r="AN3" i="6" s="1"/>
  <c r="L4" i="6" a="1"/>
  <c r="L4" i="6" s="1"/>
  <c r="M4" i="6" a="1"/>
  <c r="M4" i="6" s="1"/>
  <c r="N4" i="6" a="1"/>
  <c r="N4" i="6" s="1"/>
  <c r="O4" i="6" a="1"/>
  <c r="O4" i="6" s="1"/>
  <c r="P4" i="6" a="1"/>
  <c r="P4" i="6" s="1"/>
  <c r="Q4" i="6" a="1"/>
  <c r="Q4" i="6" s="1"/>
  <c r="R4" i="6" a="1"/>
  <c r="R4" i="6"/>
  <c r="S4" i="6" a="1"/>
  <c r="S4" i="6" s="1"/>
  <c r="T4" i="6" a="1"/>
  <c r="T4" i="6" s="1"/>
  <c r="U4" i="6" a="1"/>
  <c r="U4" i="6" s="1"/>
  <c r="V4" i="6" a="1"/>
  <c r="V4" i="6" s="1"/>
  <c r="W4" i="6" a="1"/>
  <c r="W4" i="6" s="1"/>
  <c r="X4" i="6" a="1"/>
  <c r="X4" i="6" s="1"/>
  <c r="Y4" i="6" a="1"/>
  <c r="Y4" i="6" s="1"/>
  <c r="Z4" i="6" a="1"/>
  <c r="Z4" i="6" s="1"/>
  <c r="AA4" i="6" a="1"/>
  <c r="AA4" i="6" s="1"/>
  <c r="AB4" i="6" a="1"/>
  <c r="AB4" i="6" s="1"/>
  <c r="AC4" i="6" a="1"/>
  <c r="AC4" i="6" s="1"/>
  <c r="AD4" i="6" a="1"/>
  <c r="AD4" i="6"/>
  <c r="AE4" i="6" a="1"/>
  <c r="AE4" i="6" s="1"/>
  <c r="AF4" i="6" a="1"/>
  <c r="AF4" i="6" s="1"/>
  <c r="AG4" i="6" a="1"/>
  <c r="AG4" i="6" s="1"/>
  <c r="AH4" i="6" a="1"/>
  <c r="AH4" i="6" s="1"/>
  <c r="AI4" i="6" a="1"/>
  <c r="AI4" i="6" s="1"/>
  <c r="AJ4" i="6" a="1"/>
  <c r="AJ4" i="6" s="1"/>
  <c r="AK4" i="6" a="1"/>
  <c r="AK4" i="6" s="1"/>
  <c r="AL4" i="6" a="1"/>
  <c r="AL4" i="6" s="1"/>
  <c r="AM4" i="6" a="1"/>
  <c r="AM4" i="6" s="1"/>
  <c r="AN4" i="6" a="1"/>
  <c r="AN4" i="6" s="1"/>
  <c r="L5" i="6" a="1"/>
  <c r="L5" i="6" s="1"/>
  <c r="M5" i="6" a="1"/>
  <c r="M5" i="6" s="1"/>
  <c r="N5" i="6" a="1"/>
  <c r="N5" i="6" s="1"/>
  <c r="O5" i="6" a="1"/>
  <c r="O5" i="6" s="1"/>
  <c r="P5" i="6" a="1"/>
  <c r="P5" i="6" s="1"/>
  <c r="Q5" i="6" a="1"/>
  <c r="Q5" i="6" s="1"/>
  <c r="R5" i="6" a="1"/>
  <c r="R5" i="6" s="1"/>
  <c r="S5" i="6" a="1"/>
  <c r="S5" i="6" s="1"/>
  <c r="T5" i="6" a="1"/>
  <c r="T5" i="6" s="1"/>
  <c r="U5" i="6" a="1"/>
  <c r="U5" i="6" s="1"/>
  <c r="V5" i="6" a="1"/>
  <c r="V5" i="6" s="1"/>
  <c r="W5" i="6" a="1"/>
  <c r="W5" i="6" s="1"/>
  <c r="X5" i="6" a="1"/>
  <c r="X5" i="6" s="1"/>
  <c r="Y5" i="6" a="1"/>
  <c r="Y5" i="6" s="1"/>
  <c r="Z5" i="6" a="1"/>
  <c r="Z5" i="6" s="1"/>
  <c r="AA5" i="6" a="1"/>
  <c r="AA5" i="6" s="1"/>
  <c r="AB5" i="6" a="1"/>
  <c r="AB5" i="6" s="1"/>
  <c r="AC5" i="6" a="1"/>
  <c r="AC5" i="6" s="1"/>
  <c r="AD5" i="6" a="1"/>
  <c r="AD5" i="6" s="1"/>
  <c r="AE5" i="6" a="1"/>
  <c r="AE5" i="6"/>
  <c r="AF5" i="6" a="1"/>
  <c r="AF5" i="6" s="1"/>
  <c r="AG5" i="6" a="1"/>
  <c r="AG5" i="6" s="1"/>
  <c r="AH5" i="6" a="1"/>
  <c r="AH5" i="6" s="1"/>
  <c r="AI5" i="6" a="1"/>
  <c r="AI5" i="6" s="1"/>
  <c r="AJ5" i="6" a="1"/>
  <c r="AJ5" i="6" s="1"/>
  <c r="AK5" i="6" a="1"/>
  <c r="AK5" i="6"/>
  <c r="AL5" i="6" a="1"/>
  <c r="AL5" i="6" s="1"/>
  <c r="AM5" i="6" a="1"/>
  <c r="AM5" i="6" s="1"/>
  <c r="AN5" i="6" a="1"/>
  <c r="AN5" i="6" s="1"/>
  <c r="L6" i="6" a="1"/>
  <c r="L6" i="6" s="1"/>
  <c r="M6" i="6" a="1"/>
  <c r="M6" i="6" s="1"/>
  <c r="N6" i="6" a="1"/>
  <c r="N6" i="6" s="1"/>
  <c r="O6" i="6" a="1"/>
  <c r="O6" i="6" s="1"/>
  <c r="P6" i="6" a="1"/>
  <c r="P6" i="6" s="1"/>
  <c r="Q6" i="6" a="1"/>
  <c r="Q6" i="6" s="1"/>
  <c r="R6" i="6" a="1"/>
  <c r="R6" i="6" s="1"/>
  <c r="S6" i="6" a="1"/>
  <c r="S6" i="6" s="1"/>
  <c r="T6" i="6" a="1"/>
  <c r="T6" i="6"/>
  <c r="U6" i="6" a="1"/>
  <c r="U6" i="6" s="1"/>
  <c r="V6" i="6" a="1"/>
  <c r="V6" i="6" s="1"/>
  <c r="W6" i="6" a="1"/>
  <c r="W6" i="6" s="1"/>
  <c r="X6" i="6" a="1"/>
  <c r="X6" i="6" s="1"/>
  <c r="Y6" i="6" a="1"/>
  <c r="Y6" i="6" s="1"/>
  <c r="Z6" i="6" a="1"/>
  <c r="Z6" i="6" s="1"/>
  <c r="AA6" i="6" a="1"/>
  <c r="AA6" i="6" s="1"/>
  <c r="AB6" i="6" a="1"/>
  <c r="AB6" i="6" s="1"/>
  <c r="AC6" i="6" a="1"/>
  <c r="AC6" i="6" s="1"/>
  <c r="AD6" i="6" a="1"/>
  <c r="AD6" i="6" s="1"/>
  <c r="AE6" i="6" a="1"/>
  <c r="AE6" i="6" s="1"/>
  <c r="AF6" i="6" a="1"/>
  <c r="AF6" i="6"/>
  <c r="AG6" i="6" a="1"/>
  <c r="AG6" i="6" s="1"/>
  <c r="AH6" i="6" a="1"/>
  <c r="AH6" i="6" s="1"/>
  <c r="AI6" i="6" a="1"/>
  <c r="AI6" i="6" s="1"/>
  <c r="AJ6" i="6" a="1"/>
  <c r="AJ6" i="6" s="1"/>
  <c r="AK6" i="6" a="1"/>
  <c r="AK6" i="6" s="1"/>
  <c r="AL6" i="6" a="1"/>
  <c r="AL6" i="6" s="1"/>
  <c r="AM6" i="6" a="1"/>
  <c r="AM6" i="6" s="1"/>
  <c r="AN6" i="6" a="1"/>
  <c r="AN6" i="6" s="1"/>
  <c r="L8" i="6" a="1"/>
  <c r="L8" i="6" s="1"/>
  <c r="M8" i="6" a="1"/>
  <c r="M8" i="6" s="1"/>
  <c r="N8" i="6" a="1"/>
  <c r="N8" i="6" s="1"/>
  <c r="O8" i="6" a="1"/>
  <c r="O8" i="6" s="1"/>
  <c r="P8" i="6" a="1"/>
  <c r="P8" i="6" s="1"/>
  <c r="Q8" i="6" a="1"/>
  <c r="Q8" i="6" s="1"/>
  <c r="R8" i="6" a="1"/>
  <c r="R8" i="6" s="1"/>
  <c r="S8" i="6" a="1"/>
  <c r="S8" i="6" s="1"/>
  <c r="T8" i="6" a="1"/>
  <c r="T8" i="6" s="1"/>
  <c r="U8" i="6" a="1"/>
  <c r="U8" i="6" s="1"/>
  <c r="V8" i="6" a="1"/>
  <c r="V8" i="6" s="1"/>
  <c r="W8" i="6" a="1"/>
  <c r="W8" i="6" s="1"/>
  <c r="X8" i="6" a="1"/>
  <c r="X8" i="6" s="1"/>
  <c r="Y8" i="6" a="1"/>
  <c r="Y8" i="6" s="1"/>
  <c r="Z8" i="6" a="1"/>
  <c r="Z8" i="6" s="1"/>
  <c r="AA8" i="6" a="1"/>
  <c r="AA8" i="6" s="1"/>
  <c r="AB8" i="6" a="1"/>
  <c r="AB8" i="6" s="1"/>
  <c r="AC8" i="6" a="1"/>
  <c r="AC8" i="6" s="1"/>
  <c r="AD8" i="6" a="1"/>
  <c r="AD8" i="6" s="1"/>
  <c r="AE8" i="6" a="1"/>
  <c r="AE8" i="6" s="1"/>
  <c r="AF8" i="6" a="1"/>
  <c r="AF8" i="6" s="1"/>
  <c r="AG8" i="6" a="1"/>
  <c r="AG8" i="6" s="1"/>
  <c r="AH8" i="6" a="1"/>
  <c r="AH8" i="6" s="1"/>
  <c r="AI8" i="6" a="1"/>
  <c r="AI8" i="6" s="1"/>
  <c r="AJ8" i="6" a="1"/>
  <c r="AJ8" i="6" s="1"/>
  <c r="AK8" i="6" a="1"/>
  <c r="AK8" i="6" s="1"/>
  <c r="AL8" i="6" a="1"/>
  <c r="AL8" i="6" s="1"/>
  <c r="AM8" i="6" a="1"/>
  <c r="AM8" i="6" s="1"/>
  <c r="AN8" i="6" a="1"/>
  <c r="AN8" i="6"/>
  <c r="L9" i="6" a="1"/>
  <c r="L9" i="6" s="1"/>
  <c r="M9" i="6" a="1"/>
  <c r="M9" i="6" s="1"/>
  <c r="N9" i="6" a="1"/>
  <c r="N9" i="6" s="1"/>
  <c r="O9" i="6" a="1"/>
  <c r="O9" i="6" s="1"/>
  <c r="P9" i="6" a="1"/>
  <c r="P9" i="6" s="1"/>
  <c r="Q9" i="6" a="1"/>
  <c r="Q9" i="6" s="1"/>
  <c r="R9" i="6" a="1"/>
  <c r="R9" i="6" s="1"/>
  <c r="S9" i="6" a="1"/>
  <c r="S9" i="6" s="1"/>
  <c r="T9" i="6" a="1"/>
  <c r="T9" i="6" s="1"/>
  <c r="U9" i="6" a="1"/>
  <c r="U9" i="6" s="1"/>
  <c r="V9" i="6" a="1"/>
  <c r="V9" i="6" s="1"/>
  <c r="W9" i="6" a="1"/>
  <c r="W9" i="6" s="1"/>
  <c r="X9" i="6" a="1"/>
  <c r="X9" i="6" s="1"/>
  <c r="Y9" i="6" a="1"/>
  <c r="Y9" i="6" s="1"/>
  <c r="Z9" i="6" a="1"/>
  <c r="Z9" i="6" s="1"/>
  <c r="AA9" i="6" a="1"/>
  <c r="AA9" i="6" s="1"/>
  <c r="AB9" i="6" a="1"/>
  <c r="AB9" i="6" s="1"/>
  <c r="AC9" i="6" a="1"/>
  <c r="AC9" i="6" s="1"/>
  <c r="AD9" i="6" a="1"/>
  <c r="AD9" i="6" s="1"/>
  <c r="AE9" i="6" a="1"/>
  <c r="AE9" i="6" s="1"/>
  <c r="AF9" i="6" a="1"/>
  <c r="AF9" i="6" s="1"/>
  <c r="AG9" i="6" a="1"/>
  <c r="AG9" i="6" s="1"/>
  <c r="AH9" i="6" a="1"/>
  <c r="AH9" i="6" s="1"/>
  <c r="AI9" i="6" a="1"/>
  <c r="AI9" i="6" s="1"/>
  <c r="AJ9" i="6" a="1"/>
  <c r="AJ9" i="6" s="1"/>
  <c r="AK9" i="6" a="1"/>
  <c r="AK9" i="6" s="1"/>
  <c r="AL9" i="6" a="1"/>
  <c r="AL9" i="6" s="1"/>
  <c r="AM9" i="6" a="1"/>
  <c r="AM9" i="6" s="1"/>
  <c r="L10" i="6" a="1"/>
  <c r="L10" i="6" s="1"/>
  <c r="M10" i="6" a="1"/>
  <c r="M10" i="6" s="1"/>
  <c r="N10" i="6" a="1"/>
  <c r="N10" i="6" s="1"/>
  <c r="O10" i="6" a="1"/>
  <c r="O10" i="6" s="1"/>
  <c r="P10" i="6" a="1"/>
  <c r="P10" i="6" s="1"/>
  <c r="Q10" i="6" a="1"/>
  <c r="Q10" i="6" s="1"/>
  <c r="R10" i="6" a="1"/>
  <c r="R10" i="6" s="1"/>
  <c r="S10" i="6" a="1"/>
  <c r="S10" i="6" s="1"/>
  <c r="T10" i="6" a="1"/>
  <c r="T10" i="6" s="1"/>
  <c r="U10" i="6" a="1"/>
  <c r="U10" i="6" s="1"/>
  <c r="V10" i="6" a="1"/>
  <c r="V10" i="6" s="1"/>
  <c r="W10" i="6" a="1"/>
  <c r="W10" i="6" s="1"/>
  <c r="X10" i="6" a="1"/>
  <c r="X10" i="6"/>
  <c r="Y10" i="6" a="1"/>
  <c r="Y10" i="6" s="1"/>
  <c r="Z10" i="6" a="1"/>
  <c r="Z10" i="6" s="1"/>
  <c r="AA10" i="6" a="1"/>
  <c r="AA10" i="6" s="1"/>
  <c r="AB10" i="6" a="1"/>
  <c r="AB10" i="6" s="1"/>
  <c r="AC10" i="6" a="1"/>
  <c r="AC10" i="6" s="1"/>
  <c r="AD10" i="6" a="1"/>
  <c r="AD10" i="6"/>
  <c r="AE10" i="6" a="1"/>
  <c r="AE10" i="6" s="1"/>
  <c r="AF10" i="6" a="1"/>
  <c r="AF10" i="6" s="1"/>
  <c r="AG10" i="6" a="1"/>
  <c r="AG10" i="6" s="1"/>
  <c r="AH10" i="6" a="1"/>
  <c r="AH10" i="6" s="1"/>
  <c r="AI10" i="6" a="1"/>
  <c r="AI10" i="6" s="1"/>
  <c r="AJ10" i="6" a="1"/>
  <c r="AJ10" i="6"/>
  <c r="AK10" i="6" a="1"/>
  <c r="AK10" i="6" s="1"/>
  <c r="AL10" i="6" a="1"/>
  <c r="AL10" i="6" s="1"/>
  <c r="AM10" i="6" a="1"/>
  <c r="AM10" i="6" s="1"/>
  <c r="L11" i="6" a="1"/>
  <c r="L11" i="6" s="1"/>
  <c r="M11" i="6" a="1"/>
  <c r="M11" i="6"/>
  <c r="N11" i="6" a="1"/>
  <c r="N11" i="6" s="1"/>
  <c r="O11" i="6" a="1"/>
  <c r="O11" i="6" s="1"/>
  <c r="P11" i="6" a="1"/>
  <c r="P11" i="6" s="1"/>
  <c r="Q11" i="6" a="1"/>
  <c r="Q11" i="6" s="1"/>
  <c r="R11" i="6" a="1"/>
  <c r="R11" i="6" s="1"/>
  <c r="S11" i="6" a="1"/>
  <c r="S11" i="6" s="1"/>
  <c r="T11" i="6" a="1"/>
  <c r="T11" i="6" s="1"/>
  <c r="U11" i="6" a="1"/>
  <c r="U11" i="6" s="1"/>
  <c r="V11" i="6" a="1"/>
  <c r="V11" i="6" s="1"/>
  <c r="W11" i="6" a="1"/>
  <c r="W11" i="6" s="1"/>
  <c r="X11" i="6" a="1"/>
  <c r="X11" i="6" s="1"/>
  <c r="Y11" i="6" a="1"/>
  <c r="Y11" i="6"/>
  <c r="Z11" i="6" a="1"/>
  <c r="Z11" i="6" s="1"/>
  <c r="AA11" i="6" a="1"/>
  <c r="AA11" i="6" s="1"/>
  <c r="AB11" i="6" a="1"/>
  <c r="AB11" i="6" s="1"/>
  <c r="AC11" i="6" a="1"/>
  <c r="AC11" i="6" s="1"/>
  <c r="AD11" i="6" a="1"/>
  <c r="AD11" i="6" s="1"/>
  <c r="AE11" i="6" a="1"/>
  <c r="AE11" i="6" s="1"/>
  <c r="AF11" i="6" a="1"/>
  <c r="AF11" i="6" s="1"/>
  <c r="AG11" i="6" a="1"/>
  <c r="AG11" i="6" s="1"/>
  <c r="AH11" i="6" a="1"/>
  <c r="AH11" i="6" s="1"/>
  <c r="AI11" i="6" a="1"/>
  <c r="AI11" i="6" s="1"/>
  <c r="AJ11" i="6" a="1"/>
  <c r="AJ11" i="6" s="1"/>
  <c r="AK11" i="6" a="1"/>
  <c r="AK11" i="6" s="1"/>
  <c r="AL11" i="6" a="1"/>
  <c r="AL11" i="6" s="1"/>
  <c r="AM11" i="6" a="1"/>
  <c r="AM11" i="6" s="1"/>
  <c r="L12" i="6" a="1"/>
  <c r="L12" i="6" s="1"/>
  <c r="M12" i="6" a="1"/>
  <c r="M12" i="6" s="1"/>
  <c r="N12" i="6" a="1"/>
  <c r="N12" i="6" s="1"/>
  <c r="O12" i="6" a="1"/>
  <c r="O12" i="6" s="1"/>
  <c r="P12" i="6" a="1"/>
  <c r="P12" i="6" s="1"/>
  <c r="Q12" i="6" a="1"/>
  <c r="Q12" i="6" s="1"/>
  <c r="R12" i="6" a="1"/>
  <c r="R12" i="6" s="1"/>
  <c r="S12" i="6" a="1"/>
  <c r="S12" i="6" s="1"/>
  <c r="T12" i="6" a="1"/>
  <c r="T12" i="6" s="1"/>
  <c r="U12" i="6" a="1"/>
  <c r="U12" i="6" s="1"/>
  <c r="V12" i="6" a="1"/>
  <c r="V12" i="6" s="1"/>
  <c r="W12" i="6" a="1"/>
  <c r="W12" i="6" s="1"/>
  <c r="X12" i="6" a="1"/>
  <c r="X12" i="6" s="1"/>
  <c r="Y12" i="6" a="1"/>
  <c r="Y12" i="6" s="1"/>
  <c r="Z12" i="6" a="1"/>
  <c r="Z12" i="6" s="1"/>
  <c r="AA12" i="6" a="1"/>
  <c r="AA12" i="6" s="1"/>
  <c r="AB12" i="6" a="1"/>
  <c r="AB12" i="6" s="1"/>
  <c r="AC12" i="6" a="1"/>
  <c r="AC12" i="6" s="1"/>
  <c r="AD12" i="6" a="1"/>
  <c r="AD12" i="6" s="1"/>
  <c r="AE12" i="6" a="1"/>
  <c r="AE12" i="6" s="1"/>
  <c r="AF12" i="6" a="1"/>
  <c r="AF12" i="6" s="1"/>
  <c r="AG12" i="6" a="1"/>
  <c r="AG12" i="6" s="1"/>
  <c r="AH12" i="6" a="1"/>
  <c r="AH12" i="6" s="1"/>
  <c r="AI12" i="6" a="1"/>
  <c r="AI12" i="6" s="1"/>
  <c r="AJ12" i="6" a="1"/>
  <c r="AJ12" i="6" s="1"/>
  <c r="AK12" i="6" a="1"/>
  <c r="AK12" i="6" s="1"/>
  <c r="AL12" i="6" a="1"/>
  <c r="AL12" i="6"/>
  <c r="AM12" i="6" a="1"/>
  <c r="AM12" i="6" s="1"/>
  <c r="L13" i="6" a="1"/>
  <c r="L13" i="6" s="1"/>
  <c r="M13" i="6" a="1"/>
  <c r="M13" i="6" s="1"/>
  <c r="N13" i="6" a="1"/>
  <c r="N13" i="6" s="1"/>
  <c r="O13" i="6" a="1"/>
  <c r="O13" i="6"/>
  <c r="P13" i="6" a="1"/>
  <c r="P13" i="6" s="1"/>
  <c r="Q13" i="6" a="1"/>
  <c r="Q13" i="6" s="1"/>
  <c r="R13" i="6" a="1"/>
  <c r="R13" i="6" s="1"/>
  <c r="S13" i="6" a="1"/>
  <c r="S13" i="6" s="1"/>
  <c r="T13" i="6" a="1"/>
  <c r="T13" i="6" s="1"/>
  <c r="U13" i="6" a="1"/>
  <c r="U13" i="6"/>
  <c r="V13" i="6" a="1"/>
  <c r="V13" i="6" s="1"/>
  <c r="W13" i="6" a="1"/>
  <c r="W13" i="6" s="1"/>
  <c r="X13" i="6" a="1"/>
  <c r="X13" i="6" s="1"/>
  <c r="Y13" i="6" a="1"/>
  <c r="Y13" i="6" s="1"/>
  <c r="Z13" i="6" a="1"/>
  <c r="Z13" i="6" s="1"/>
  <c r="AA13" i="6" a="1"/>
  <c r="AA13" i="6"/>
  <c r="AB13" i="6" a="1"/>
  <c r="AB13" i="6" s="1"/>
  <c r="AC13" i="6" a="1"/>
  <c r="AC13" i="6" s="1"/>
  <c r="AD13" i="6" a="1"/>
  <c r="AD13" i="6" s="1"/>
  <c r="AE13" i="6" a="1"/>
  <c r="AE13" i="6" s="1"/>
  <c r="AF13" i="6" a="1"/>
  <c r="AF13" i="6" s="1"/>
  <c r="AG13" i="6" a="1"/>
  <c r="AG13" i="6" s="1"/>
  <c r="AH13" i="6" a="1"/>
  <c r="AH13" i="6" s="1"/>
  <c r="AI13" i="6" a="1"/>
  <c r="AI13" i="6" s="1"/>
  <c r="AJ13" i="6" a="1"/>
  <c r="AJ13" i="6" s="1"/>
  <c r="AK13" i="6" a="1"/>
  <c r="AK13" i="6" s="1"/>
  <c r="AL13" i="6" a="1"/>
  <c r="AL13" i="6" s="1"/>
  <c r="AM13" i="6" a="1"/>
  <c r="AM13" i="6"/>
  <c r="L14" i="6" a="1"/>
  <c r="L14" i="6" s="1"/>
  <c r="M14" i="6" a="1"/>
  <c r="M14" i="6" s="1"/>
  <c r="N14" i="6" a="1"/>
  <c r="N14" i="6" s="1"/>
  <c r="O14" i="6" a="1"/>
  <c r="O14" i="6" s="1"/>
  <c r="P14" i="6" a="1"/>
  <c r="P14" i="6" s="1"/>
  <c r="Q14" i="6" a="1"/>
  <c r="Q14" i="6" s="1"/>
  <c r="R14" i="6" a="1"/>
  <c r="R14" i="6" s="1"/>
  <c r="S14" i="6" a="1"/>
  <c r="S14" i="6" s="1"/>
  <c r="T14" i="6" a="1"/>
  <c r="T14" i="6" s="1"/>
  <c r="U14" i="6" a="1"/>
  <c r="U14" i="6" s="1"/>
  <c r="V14" i="6" a="1"/>
  <c r="V14" i="6" s="1"/>
  <c r="W14" i="6" a="1"/>
  <c r="W14" i="6" s="1"/>
  <c r="X14" i="6" a="1"/>
  <c r="X14" i="6" s="1"/>
  <c r="Y14" i="6" a="1"/>
  <c r="Y14" i="6" s="1"/>
  <c r="Z14" i="6" a="1"/>
  <c r="Z14" i="6" s="1"/>
  <c r="AA14" i="6" a="1"/>
  <c r="AA14" i="6" s="1"/>
  <c r="AB14" i="6" a="1"/>
  <c r="AB14" i="6" s="1"/>
  <c r="AC14" i="6" a="1"/>
  <c r="AC14" i="6" s="1"/>
  <c r="AD14" i="6" a="1"/>
  <c r="AD14" i="6" s="1"/>
  <c r="AE14" i="6" a="1"/>
  <c r="AE14" i="6" s="1"/>
  <c r="AF14" i="6" a="1"/>
  <c r="AF14" i="6" s="1"/>
  <c r="AG14" i="6" a="1"/>
  <c r="AG14" i="6" s="1"/>
  <c r="AH14" i="6" a="1"/>
  <c r="AH14" i="6" s="1"/>
  <c r="AI14" i="6" a="1"/>
  <c r="AI14" i="6" s="1"/>
  <c r="AJ14" i="6" a="1"/>
  <c r="AJ14" i="6" s="1"/>
  <c r="AK14" i="6" a="1"/>
  <c r="AK14" i="6" s="1"/>
  <c r="AL14" i="6" a="1"/>
  <c r="AL14" i="6" s="1"/>
  <c r="AM14" i="6" a="1"/>
  <c r="AM14" i="6" s="1"/>
  <c r="L15" i="6" a="1"/>
  <c r="L15" i="6" s="1"/>
  <c r="M15" i="6" a="1"/>
  <c r="M15" i="6" s="1"/>
  <c r="N15" i="6" a="1"/>
  <c r="N15" i="6" s="1"/>
  <c r="O15" i="6" a="1"/>
  <c r="O15" i="6" s="1"/>
  <c r="P15" i="6" a="1"/>
  <c r="P15" i="6" s="1"/>
  <c r="Q15" i="6" a="1"/>
  <c r="Q15" i="6" s="1"/>
  <c r="R15" i="6" a="1"/>
  <c r="R15" i="6" s="1"/>
  <c r="S15" i="6" a="1"/>
  <c r="S15" i="6" s="1"/>
  <c r="T15" i="6" a="1"/>
  <c r="T15" i="6" s="1"/>
  <c r="U15" i="6" a="1"/>
  <c r="U15" i="6" s="1"/>
  <c r="V15" i="6" a="1"/>
  <c r="V15" i="6" s="1"/>
  <c r="W15" i="6" a="1"/>
  <c r="W15" i="6"/>
  <c r="X15" i="6" a="1"/>
  <c r="X15" i="6" s="1"/>
  <c r="Y15" i="6" a="1"/>
  <c r="Y15" i="6" s="1"/>
  <c r="Z15" i="6" a="1"/>
  <c r="Z15" i="6" s="1"/>
  <c r="AA15" i="6" a="1"/>
  <c r="AA15" i="6" s="1"/>
  <c r="AB15" i="6" a="1"/>
  <c r="AB15" i="6" s="1"/>
  <c r="AC15" i="6" a="1"/>
  <c r="AC15" i="6"/>
  <c r="AD15" i="6" a="1"/>
  <c r="AD15" i="6" s="1"/>
  <c r="AE15" i="6" a="1"/>
  <c r="AE15" i="6" s="1"/>
  <c r="AF15" i="6" a="1"/>
  <c r="AF15" i="6" s="1"/>
  <c r="AG15" i="6" a="1"/>
  <c r="AG15" i="6" s="1"/>
  <c r="AH15" i="6" a="1"/>
  <c r="AH15" i="6" s="1"/>
  <c r="AI15" i="6" a="1"/>
  <c r="AI15" i="6"/>
  <c r="AJ15" i="6" a="1"/>
  <c r="AJ15" i="6" s="1"/>
  <c r="AK15" i="6" a="1"/>
  <c r="AK15" i="6" s="1"/>
  <c r="AL15" i="6" a="1"/>
  <c r="AL15" i="6" s="1"/>
  <c r="AM15" i="6" a="1"/>
  <c r="AM15" i="6" s="1"/>
  <c r="L16" i="6" a="1"/>
  <c r="L16" i="6"/>
  <c r="M16" i="6" a="1"/>
  <c r="M16" i="6" s="1"/>
  <c r="N16" i="6" a="1"/>
  <c r="N16" i="6" s="1"/>
  <c r="O16" i="6" a="1"/>
  <c r="O16" i="6" s="1"/>
  <c r="P16" i="6" a="1"/>
  <c r="P16" i="6" s="1"/>
  <c r="Q16" i="6" a="1"/>
  <c r="Q16" i="6" s="1"/>
  <c r="R16" i="6" a="1"/>
  <c r="R16" i="6" s="1"/>
  <c r="S16" i="6" a="1"/>
  <c r="S16" i="6" s="1"/>
  <c r="T16" i="6" a="1"/>
  <c r="T16" i="6" s="1"/>
  <c r="U16" i="6" a="1"/>
  <c r="U16" i="6" s="1"/>
  <c r="V16" i="6" a="1"/>
  <c r="V16" i="6" s="1"/>
  <c r="W16" i="6" a="1"/>
  <c r="W16" i="6" s="1"/>
  <c r="X16" i="6" a="1"/>
  <c r="X16" i="6"/>
  <c r="Y16" i="6" a="1"/>
  <c r="Y16" i="6" s="1"/>
  <c r="Z16" i="6" a="1"/>
  <c r="Z16" i="6" s="1"/>
  <c r="AA16" i="6" a="1"/>
  <c r="AA16" i="6" s="1"/>
  <c r="AB16" i="6" a="1"/>
  <c r="AB16" i="6" s="1"/>
  <c r="AC16" i="6" a="1"/>
  <c r="AC16" i="6" s="1"/>
  <c r="AD16" i="6" a="1"/>
  <c r="AD16" i="6"/>
  <c r="AE16" i="6" a="1"/>
  <c r="AE16" i="6" s="1"/>
  <c r="AF16" i="6" a="1"/>
  <c r="AF16" i="6" s="1"/>
  <c r="AG16" i="6" a="1"/>
  <c r="AG16" i="6" s="1"/>
  <c r="AH16" i="6" a="1"/>
  <c r="AH16" i="6" s="1"/>
  <c r="AI16" i="6" a="1"/>
  <c r="AI16" i="6" s="1"/>
  <c r="AJ16" i="6" a="1"/>
  <c r="AJ16" i="6" s="1"/>
  <c r="AK16" i="6" a="1"/>
  <c r="AK16" i="6" s="1"/>
  <c r="AL16" i="6" a="1"/>
  <c r="AL16" i="6" s="1"/>
  <c r="AM16" i="6" a="1"/>
  <c r="AM16" i="6" s="1"/>
  <c r="K16" i="6" a="1"/>
  <c r="K16" i="6" s="1"/>
  <c r="K15" i="6" a="1"/>
  <c r="K15" i="6" s="1"/>
  <c r="K14" i="6" a="1"/>
  <c r="K14" i="6"/>
  <c r="K13" i="6" a="1"/>
  <c r="K13" i="6" s="1"/>
  <c r="K12" i="6" a="1"/>
  <c r="K12" i="6" s="1"/>
  <c r="K11" i="6" a="1"/>
  <c r="K11" i="6" s="1"/>
  <c r="K10" i="6" a="1"/>
  <c r="K10" i="6" s="1"/>
  <c r="K9" i="6" a="1"/>
  <c r="K9" i="6" s="1"/>
  <c r="K8" i="6" a="1"/>
  <c r="K8" i="6" s="1"/>
  <c r="K6" i="6" a="1"/>
  <c r="K6" i="6" s="1"/>
  <c r="K5" i="6" a="1"/>
  <c r="K5" i="6" s="1"/>
  <c r="K4" i="6" a="1"/>
  <c r="K4" i="6" s="1"/>
  <c r="K3" i="6" a="1"/>
  <c r="K3" i="6" s="1"/>
  <c r="AS14" i="6" l="1"/>
  <c r="AP14" i="6"/>
  <c r="AO14" i="6"/>
  <c r="AQ14" i="6" s="1"/>
  <c r="AT14" i="6" s="1"/>
  <c r="AS13" i="6"/>
  <c r="AR13" i="6"/>
  <c r="AP13" i="6"/>
  <c r="AO13" i="6"/>
  <c r="AS12" i="6"/>
  <c r="AO11" i="6"/>
  <c r="AS10" i="6"/>
  <c r="AR10" i="6"/>
  <c r="AP10" i="6"/>
  <c r="AO10" i="6"/>
  <c r="AS9" i="6"/>
  <c r="AS8" i="6"/>
  <c r="AR8" i="6"/>
  <c r="AP8" i="6"/>
  <c r="AO8" i="6"/>
  <c r="AQ8" i="6" s="1"/>
  <c r="AT8" i="6" s="1"/>
  <c r="AS6" i="6"/>
  <c r="AR6" i="6"/>
  <c r="AP6" i="6"/>
  <c r="AO6" i="6"/>
  <c r="AS5" i="6"/>
  <c r="AR5" i="6"/>
  <c r="AP5" i="6"/>
  <c r="AO5" i="6"/>
  <c r="AQ5" i="6" s="1"/>
  <c r="AT5" i="6" s="1"/>
  <c r="AS4" i="6"/>
  <c r="AR4" i="6"/>
  <c r="AP4" i="6"/>
  <c r="AO4" i="6"/>
  <c r="AS3" i="6"/>
  <c r="AR3" i="6"/>
  <c r="AP3" i="6"/>
  <c r="AO3" i="6"/>
  <c r="L32" i="7"/>
  <c r="K32" i="7"/>
  <c r="J32" i="7"/>
  <c r="H32" i="7"/>
  <c r="G32" i="7"/>
  <c r="F32" i="7"/>
  <c r="E32" i="7"/>
  <c r="D32" i="7"/>
  <c r="B32" i="7"/>
  <c r="L31" i="7"/>
  <c r="K31" i="7"/>
  <c r="J31" i="7"/>
  <c r="H31" i="7"/>
  <c r="G31" i="7"/>
  <c r="F31" i="7"/>
  <c r="E31" i="7"/>
  <c r="D31" i="7"/>
  <c r="B31" i="7"/>
  <c r="L30" i="7"/>
  <c r="K30" i="7"/>
  <c r="J30" i="7"/>
  <c r="H30" i="7"/>
  <c r="G30" i="7"/>
  <c r="F30" i="7"/>
  <c r="E30" i="7"/>
  <c r="D30" i="7"/>
  <c r="B30" i="7"/>
  <c r="L29" i="7"/>
  <c r="K29" i="7"/>
  <c r="J29" i="7"/>
  <c r="H29" i="7"/>
  <c r="G29" i="7"/>
  <c r="F29" i="7"/>
  <c r="E29" i="7"/>
  <c r="D29" i="7"/>
  <c r="B29" i="7"/>
  <c r="L28" i="7"/>
  <c r="K28" i="7"/>
  <c r="J28" i="7"/>
  <c r="H28" i="7"/>
  <c r="G28" i="7"/>
  <c r="F28" i="7"/>
  <c r="E28" i="7"/>
  <c r="D28" i="7"/>
  <c r="B28" i="7"/>
  <c r="L27" i="7"/>
  <c r="K27" i="7"/>
  <c r="J27" i="7"/>
  <c r="H27" i="7"/>
  <c r="G27" i="7"/>
  <c r="F27" i="7"/>
  <c r="E27" i="7"/>
  <c r="D27" i="7"/>
  <c r="B27" i="7"/>
  <c r="L26" i="7"/>
  <c r="K26" i="7"/>
  <c r="J26" i="7"/>
  <c r="H26" i="7"/>
  <c r="G26" i="7"/>
  <c r="F26" i="7"/>
  <c r="E26" i="7"/>
  <c r="D26" i="7"/>
  <c r="B26" i="7"/>
  <c r="L25" i="7"/>
  <c r="K25" i="7"/>
  <c r="J25" i="7"/>
  <c r="H25" i="7"/>
  <c r="G25" i="7"/>
  <c r="F25" i="7"/>
  <c r="E25" i="7"/>
  <c r="D25" i="7"/>
  <c r="B25" i="7"/>
  <c r="L24" i="7"/>
  <c r="K24" i="7"/>
  <c r="J24" i="7"/>
  <c r="I24" i="7"/>
  <c r="H24" i="7"/>
  <c r="G24" i="7"/>
  <c r="F24" i="7"/>
  <c r="E24" i="7"/>
  <c r="D24" i="7"/>
  <c r="B24" i="7"/>
  <c r="L23" i="7"/>
  <c r="K23" i="7"/>
  <c r="J23" i="7"/>
  <c r="H23" i="7"/>
  <c r="G23" i="7"/>
  <c r="F23" i="7"/>
  <c r="E23" i="7"/>
  <c r="D23" i="7"/>
  <c r="B23" i="7"/>
  <c r="L22" i="7"/>
  <c r="K22" i="7"/>
  <c r="J22" i="7"/>
  <c r="H22" i="7"/>
  <c r="G22" i="7"/>
  <c r="F22" i="7"/>
  <c r="E22" i="7"/>
  <c r="D22" i="7"/>
  <c r="B22" i="7"/>
  <c r="L21" i="7"/>
  <c r="K21" i="7"/>
  <c r="J21" i="7"/>
  <c r="H21" i="7"/>
  <c r="G21" i="7"/>
  <c r="F21" i="7"/>
  <c r="E21" i="7"/>
  <c r="D21" i="7"/>
  <c r="B21" i="7"/>
  <c r="L20" i="7"/>
  <c r="K20" i="7"/>
  <c r="J20" i="7"/>
  <c r="H20" i="7"/>
  <c r="G20" i="7"/>
  <c r="F20" i="7"/>
  <c r="E20" i="7"/>
  <c r="D20" i="7"/>
  <c r="B20" i="7"/>
  <c r="L19" i="7"/>
  <c r="K19" i="7"/>
  <c r="J19" i="7"/>
  <c r="H19" i="7"/>
  <c r="G19" i="7"/>
  <c r="F19" i="7"/>
  <c r="E19" i="7"/>
  <c r="D19" i="7"/>
  <c r="B19" i="7"/>
  <c r="L18" i="7"/>
  <c r="K18" i="7"/>
  <c r="J18" i="7"/>
  <c r="H18" i="7"/>
  <c r="G18" i="7"/>
  <c r="F18" i="7"/>
  <c r="E18" i="7"/>
  <c r="D18" i="7"/>
  <c r="B18" i="7"/>
  <c r="L17" i="7"/>
  <c r="K17" i="7"/>
  <c r="J17" i="7"/>
  <c r="H17" i="7"/>
  <c r="G17" i="7"/>
  <c r="F17" i="7"/>
  <c r="E17" i="7"/>
  <c r="D17" i="7"/>
  <c r="B17" i="7"/>
  <c r="L16" i="7"/>
  <c r="K16" i="7"/>
  <c r="J16" i="7"/>
  <c r="H16" i="7"/>
  <c r="G16" i="7"/>
  <c r="F16" i="7"/>
  <c r="E16" i="7"/>
  <c r="D16" i="7"/>
  <c r="B16" i="7"/>
  <c r="L15" i="7"/>
  <c r="K15" i="7"/>
  <c r="J15" i="7"/>
  <c r="H15" i="7"/>
  <c r="G15" i="7"/>
  <c r="F15" i="7"/>
  <c r="E15" i="7"/>
  <c r="D15" i="7"/>
  <c r="B15" i="7"/>
  <c r="L14" i="7"/>
  <c r="K14" i="7"/>
  <c r="J14" i="7"/>
  <c r="H14" i="7"/>
  <c r="G14" i="7"/>
  <c r="F14" i="7"/>
  <c r="E14" i="7"/>
  <c r="D14" i="7"/>
  <c r="B14" i="7"/>
  <c r="L13" i="7"/>
  <c r="K13" i="7"/>
  <c r="J13" i="7"/>
  <c r="H13" i="7"/>
  <c r="G13" i="7"/>
  <c r="F13" i="7"/>
  <c r="E13" i="7"/>
  <c r="D13" i="7"/>
  <c r="B13" i="7"/>
  <c r="L12" i="7"/>
  <c r="K12" i="7"/>
  <c r="J12" i="7"/>
  <c r="H12" i="7"/>
  <c r="G12" i="7"/>
  <c r="F12" i="7"/>
  <c r="E12" i="7"/>
  <c r="D12" i="7"/>
  <c r="B12" i="7"/>
  <c r="L11" i="7"/>
  <c r="K11" i="7"/>
  <c r="J11" i="7"/>
  <c r="H11" i="7"/>
  <c r="G11" i="7"/>
  <c r="F11" i="7"/>
  <c r="E11" i="7"/>
  <c r="D11" i="7"/>
  <c r="B11" i="7"/>
  <c r="L10" i="7"/>
  <c r="K10" i="7"/>
  <c r="J10" i="7"/>
  <c r="H10" i="7"/>
  <c r="G10" i="7"/>
  <c r="F10" i="7"/>
  <c r="E10" i="7"/>
  <c r="D10" i="7"/>
  <c r="B10" i="7"/>
  <c r="L9" i="7"/>
  <c r="K9" i="7"/>
  <c r="J9" i="7"/>
  <c r="H9" i="7"/>
  <c r="G9" i="7"/>
  <c r="F9" i="7"/>
  <c r="E9" i="7"/>
  <c r="D9" i="7"/>
  <c r="B9" i="7"/>
  <c r="L8" i="7"/>
  <c r="K8" i="7"/>
  <c r="J8" i="7"/>
  <c r="H8" i="7"/>
  <c r="G8" i="7"/>
  <c r="F8" i="7"/>
  <c r="E8" i="7"/>
  <c r="D8" i="7"/>
  <c r="B8" i="7"/>
  <c r="L7" i="7"/>
  <c r="K7" i="7"/>
  <c r="J7" i="7"/>
  <c r="H7" i="7"/>
  <c r="G7" i="7"/>
  <c r="F7" i="7"/>
  <c r="E7" i="7"/>
  <c r="D7" i="7"/>
  <c r="B7" i="7"/>
  <c r="L6" i="7"/>
  <c r="K6" i="7"/>
  <c r="J6" i="7"/>
  <c r="I6" i="7"/>
  <c r="H6" i="7"/>
  <c r="G6" i="7"/>
  <c r="F6" i="7"/>
  <c r="E6" i="7"/>
  <c r="D6" i="7"/>
  <c r="B6" i="7"/>
  <c r="L5" i="7"/>
  <c r="K5" i="7"/>
  <c r="J5" i="7"/>
  <c r="H5" i="7"/>
  <c r="G5" i="7"/>
  <c r="F5" i="7"/>
  <c r="E5" i="7"/>
  <c r="D5" i="7"/>
  <c r="B5" i="7"/>
  <c r="L4" i="7"/>
  <c r="K4" i="7"/>
  <c r="J4" i="7"/>
  <c r="H4" i="7"/>
  <c r="G4" i="7"/>
  <c r="F4" i="7"/>
  <c r="E4" i="7"/>
  <c r="D4" i="7"/>
  <c r="B4" i="7"/>
  <c r="K3" i="7"/>
  <c r="J3" i="7"/>
  <c r="H3" i="7"/>
  <c r="G3" i="7"/>
  <c r="F3" i="7"/>
  <c r="E3" i="7"/>
  <c r="D3" i="7"/>
  <c r="B3" i="7"/>
  <c r="K40" i="5"/>
  <c r="J40" i="5"/>
  <c r="I40" i="5"/>
  <c r="H40" i="5"/>
  <c r="G40" i="5"/>
  <c r="F40" i="5"/>
  <c r="E40" i="5"/>
  <c r="D40" i="5"/>
  <c r="K39" i="5"/>
  <c r="J39" i="5"/>
  <c r="I39" i="5"/>
  <c r="H39" i="5"/>
  <c r="G39" i="5"/>
  <c r="F39" i="5"/>
  <c r="E39" i="5"/>
  <c r="D39" i="5"/>
  <c r="K38" i="5"/>
  <c r="AN16" i="6" s="1" a="1"/>
  <c r="AN16" i="6" s="1"/>
  <c r="AS16" i="6" s="1"/>
  <c r="J38" i="5"/>
  <c r="AN15" i="6" s="1" a="1"/>
  <c r="AN15" i="6" s="1"/>
  <c r="AS15" i="6" s="1"/>
  <c r="I38" i="5"/>
  <c r="AN14" i="6" s="1" a="1"/>
  <c r="AN14" i="6" s="1"/>
  <c r="AR14" i="6" s="1"/>
  <c r="H38" i="5"/>
  <c r="AN13" i="6" s="1" a="1"/>
  <c r="AN13" i="6" s="1"/>
  <c r="G38" i="5"/>
  <c r="AN12" i="6" s="1" a="1"/>
  <c r="AN12" i="6" s="1"/>
  <c r="AR12" i="6" s="1"/>
  <c r="F38" i="5"/>
  <c r="AN11" i="6" s="1" a="1"/>
  <c r="AN11" i="6" s="1"/>
  <c r="AS11" i="6" s="1"/>
  <c r="E38" i="5"/>
  <c r="AN10" i="6" s="1" a="1"/>
  <c r="AN10" i="6" s="1"/>
  <c r="D38" i="5"/>
  <c r="AN9" i="6" s="1" a="1"/>
  <c r="AN9" i="6" s="1"/>
  <c r="AR9" i="6" s="1"/>
  <c r="C37" i="5"/>
  <c r="B37" i="5"/>
  <c r="A37" i="5"/>
  <c r="C36" i="5"/>
  <c r="B36" i="5"/>
  <c r="A36" i="5"/>
  <c r="C35" i="5"/>
  <c r="B35" i="5"/>
  <c r="A35" i="5"/>
  <c r="C34" i="5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B19" i="5"/>
  <c r="A19" i="5"/>
  <c r="C18" i="5"/>
  <c r="B18" i="5"/>
  <c r="A18" i="5"/>
  <c r="C17" i="5"/>
  <c r="B17" i="5"/>
  <c r="A17" i="5"/>
  <c r="C16" i="5"/>
  <c r="B16" i="5"/>
  <c r="A16" i="5"/>
  <c r="C15" i="5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J5" i="5"/>
  <c r="H5" i="5"/>
  <c r="F5" i="5"/>
  <c r="C5" i="5"/>
  <c r="J4" i="5"/>
  <c r="H4" i="5"/>
  <c r="F4" i="5"/>
  <c r="C4" i="5"/>
  <c r="L41" i="1"/>
  <c r="G41" i="1"/>
  <c r="F41" i="1"/>
  <c r="E41" i="1"/>
  <c r="D41" i="1"/>
  <c r="L40" i="1"/>
  <c r="G40" i="1"/>
  <c r="F40" i="1"/>
  <c r="E40" i="1"/>
  <c r="D40" i="1"/>
  <c r="L39" i="1"/>
  <c r="G39" i="1"/>
  <c r="F39" i="1"/>
  <c r="E39" i="1"/>
  <c r="D39" i="1"/>
  <c r="K38" i="1"/>
  <c r="K37" i="1"/>
  <c r="K36" i="1"/>
  <c r="AL7" i="6" s="1" a="1"/>
  <c r="AL7" i="6" s="1"/>
  <c r="K35" i="1"/>
  <c r="K34" i="1"/>
  <c r="K33" i="1"/>
  <c r="K32" i="1"/>
  <c r="K31" i="1"/>
  <c r="K30" i="1"/>
  <c r="AF7" i="6" s="1" a="1"/>
  <c r="AF7" i="6" s="1"/>
  <c r="K29" i="1"/>
  <c r="AE7" i="6" s="1" a="1"/>
  <c r="AE7" i="6" s="1"/>
  <c r="K28" i="1"/>
  <c r="K27" i="1"/>
  <c r="K26" i="1"/>
  <c r="K25" i="1"/>
  <c r="K24" i="1"/>
  <c r="Z7" i="6" s="1" a="1"/>
  <c r="Z7" i="6" s="1"/>
  <c r="K23" i="1"/>
  <c r="K22" i="1"/>
  <c r="K21" i="1"/>
  <c r="K20" i="1"/>
  <c r="K19" i="1"/>
  <c r="K18" i="1"/>
  <c r="T7" i="6" s="1" a="1"/>
  <c r="T7" i="6" s="1"/>
  <c r="K17" i="1"/>
  <c r="S7" i="6" s="1" a="1"/>
  <c r="S7" i="6" s="1"/>
  <c r="K16" i="1"/>
  <c r="K15" i="1"/>
  <c r="K14" i="1"/>
  <c r="K13" i="1"/>
  <c r="K12" i="1"/>
  <c r="N7" i="6" s="1" a="1"/>
  <c r="N7" i="6" s="1"/>
  <c r="K11" i="1"/>
  <c r="K10" i="1"/>
  <c r="K9" i="1"/>
  <c r="AP11" i="6" l="1"/>
  <c r="AQ11" i="6" s="1"/>
  <c r="AT11" i="6" s="1"/>
  <c r="AR11" i="6"/>
  <c r="AO9" i="6"/>
  <c r="AO12" i="6"/>
  <c r="AO15" i="6"/>
  <c r="AP9" i="6"/>
  <c r="AQ9" i="6" s="1"/>
  <c r="AT9" i="6" s="1"/>
  <c r="AP12" i="6"/>
  <c r="AP15" i="6"/>
  <c r="AR15" i="6"/>
  <c r="AO16" i="6"/>
  <c r="AP16" i="6"/>
  <c r="AR16" i="6"/>
  <c r="I9" i="7"/>
  <c r="Q7" i="6" a="1"/>
  <c r="Q7" i="6" s="1"/>
  <c r="I22" i="7"/>
  <c r="AD7" i="6" a="1"/>
  <c r="AD7" i="6" s="1"/>
  <c r="I23" i="7"/>
  <c r="I10" i="7"/>
  <c r="R7" i="6" a="1"/>
  <c r="R7" i="6" s="1"/>
  <c r="I13" i="7"/>
  <c r="U7" i="6" a="1"/>
  <c r="U7" i="6" s="1"/>
  <c r="I25" i="7"/>
  <c r="AG7" i="6" a="1"/>
  <c r="AG7" i="6" s="1"/>
  <c r="I18" i="7"/>
  <c r="I14" i="7"/>
  <c r="V7" i="6" a="1"/>
  <c r="V7" i="6" s="1"/>
  <c r="H39" i="1"/>
  <c r="K7" i="6" a="1"/>
  <c r="K7" i="6" s="1"/>
  <c r="I27" i="7"/>
  <c r="AI7" i="6" a="1"/>
  <c r="AI7" i="6" s="1"/>
  <c r="I4" i="7"/>
  <c r="L7" i="6" a="1"/>
  <c r="L7" i="6" s="1"/>
  <c r="I16" i="7"/>
  <c r="X7" i="6" a="1"/>
  <c r="X7" i="6" s="1"/>
  <c r="I28" i="7"/>
  <c r="AJ7" i="6" a="1"/>
  <c r="AJ7" i="6" s="1"/>
  <c r="I30" i="7"/>
  <c r="I26" i="7"/>
  <c r="AH7" i="6" a="1"/>
  <c r="AH7" i="6" s="1"/>
  <c r="I15" i="7"/>
  <c r="W7" i="6" a="1"/>
  <c r="W7" i="6" s="1"/>
  <c r="I5" i="7"/>
  <c r="M7" i="6" a="1"/>
  <c r="M7" i="6" s="1"/>
  <c r="I17" i="7"/>
  <c r="Y7" i="6" a="1"/>
  <c r="Y7" i="6" s="1"/>
  <c r="I29" i="7"/>
  <c r="AK7" i="6" a="1"/>
  <c r="AK7" i="6" s="1"/>
  <c r="I21" i="7"/>
  <c r="AC7" i="6" a="1"/>
  <c r="AC7" i="6" s="1"/>
  <c r="I12" i="7"/>
  <c r="I7" i="7"/>
  <c r="O7" i="6" a="1"/>
  <c r="O7" i="6" s="1"/>
  <c r="I19" i="7"/>
  <c r="AA7" i="6" a="1"/>
  <c r="AA7" i="6" s="1"/>
  <c r="I31" i="7"/>
  <c r="AM7" i="6" a="1"/>
  <c r="AM7" i="6" s="1"/>
  <c r="I8" i="7"/>
  <c r="P7" i="6" a="1"/>
  <c r="P7" i="6" s="1"/>
  <c r="I20" i="7"/>
  <c r="AB7" i="6" a="1"/>
  <c r="AB7" i="6" s="1"/>
  <c r="I32" i="7"/>
  <c r="AN7" i="6" a="1"/>
  <c r="AN7" i="6" s="1"/>
  <c r="I11" i="7"/>
  <c r="AQ3" i="6"/>
  <c r="AT3" i="6" s="1"/>
  <c r="AQ6" i="6"/>
  <c r="AT6" i="6" s="1"/>
  <c r="AQ12" i="6"/>
  <c r="AT12" i="6" s="1"/>
  <c r="AQ4" i="6"/>
  <c r="AT4" i="6" s="1"/>
  <c r="AQ10" i="6"/>
  <c r="AT10" i="6" s="1"/>
  <c r="AQ13" i="6"/>
  <c r="AT13" i="6" s="1"/>
  <c r="AQ16" i="6"/>
  <c r="AT16" i="6" s="1"/>
  <c r="AQ15" i="6"/>
  <c r="AT15" i="6" s="1"/>
  <c r="H40" i="1"/>
  <c r="I3" i="7"/>
  <c r="H41" i="1"/>
  <c r="AR7" i="6" l="1"/>
  <c r="AP7" i="6"/>
  <c r="AO7" i="6"/>
  <c r="AQ7" i="6" s="1"/>
  <c r="AT7" i="6" s="1"/>
  <c r="AS7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<sst xmlns="http://schemas.openxmlformats.org/spreadsheetml/2006/main" count="177" uniqueCount="123">
  <si>
    <t>Sample No.</t>
  </si>
  <si>
    <t>Product Code:</t>
  </si>
  <si>
    <t>Specification:</t>
  </si>
  <si>
    <t>Prod. Order</t>
  </si>
  <si>
    <t>PO</t>
  </si>
  <si>
    <t>Machine</t>
  </si>
  <si>
    <t>Quantity</t>
  </si>
  <si>
    <t>Production Date</t>
  </si>
  <si>
    <t>Inspection Date</t>
  </si>
  <si>
    <t>SWANSON PLASTICS (INDIA) PVT. LTD.</t>
  </si>
  <si>
    <t>Film Inspection Form</t>
  </si>
  <si>
    <t>Inspected by:</t>
  </si>
  <si>
    <t>Distribution: Department Concerned</t>
  </si>
  <si>
    <t>(QC Inspector)</t>
  </si>
  <si>
    <t>Verified by:</t>
  </si>
  <si>
    <t>(QC HOD)</t>
  </si>
  <si>
    <t>Ref:</t>
  </si>
  <si>
    <t>Retention Period: 5 years</t>
  </si>
  <si>
    <t>Average</t>
  </si>
  <si>
    <t>Minimum</t>
  </si>
  <si>
    <t>Maximum</t>
  </si>
  <si>
    <t>FQP-QC02-04</t>
  </si>
  <si>
    <t>Eff. Date: 01/08/2017</t>
  </si>
  <si>
    <t>Force-elongation-MD@5%                                            (L-1.77 T-2.77) N</t>
  </si>
  <si>
    <t>Force-elongation-CD@5%                                            (L-1.49 T-2.49) N</t>
  </si>
  <si>
    <t>Avg</t>
  </si>
  <si>
    <t xml:space="preserve">Force~Tensile Strength-MD~peak                                            (L-9.07 T-12.57) N </t>
  </si>
  <si>
    <t xml:space="preserve">Force~Tensile Strength-CD~peak 
(L-6.13 T-9.63) N </t>
  </si>
  <si>
    <t>COF-Kinetic(R-S)                                                     (L-0.10 T-0.20 U-0.35)</t>
  </si>
  <si>
    <t>Sr. No.</t>
  </si>
  <si>
    <t>Requirement</t>
  </si>
  <si>
    <t>Test Method</t>
  </si>
  <si>
    <t>Units</t>
  </si>
  <si>
    <t>Sub group</t>
  </si>
  <si>
    <t>Report To</t>
  </si>
  <si>
    <t>Target</t>
  </si>
  <si>
    <t>LSL</t>
  </si>
  <si>
    <t>USL</t>
  </si>
  <si>
    <t>RC</t>
  </si>
  <si>
    <t>STDEV</t>
  </si>
  <si>
    <t>Min</t>
  </si>
  <si>
    <t>Max</t>
  </si>
  <si>
    <t>Pass/Fail</t>
  </si>
  <si>
    <t>Basis weight</t>
  </si>
  <si>
    <t>As per RMS</t>
  </si>
  <si>
    <t>GSM</t>
  </si>
  <si>
    <t>18.00</t>
  </si>
  <si>
    <t>N</t>
  </si>
  <si>
    <t>%</t>
  </si>
  <si>
    <t>OBS 0</t>
  </si>
  <si>
    <t>0.40</t>
  </si>
  <si>
    <t>0.20</t>
  </si>
  <si>
    <t>Delta E</t>
  </si>
  <si>
    <t>Color units - Delta E</t>
  </si>
  <si>
    <t>0.00</t>
  </si>
  <si>
    <t>5.00</t>
  </si>
  <si>
    <t xml:space="preserve">COF-Kinetic(R-R) </t>
  </si>
  <si>
    <t xml:space="preserve">COF-Kinetic(R-S)         </t>
  </si>
  <si>
    <t xml:space="preserve">Opacity             </t>
  </si>
  <si>
    <t xml:space="preserve">Force-elongation-MD@5%                            </t>
  </si>
  <si>
    <t xml:space="preserve">Force-elongation-CD@5%       </t>
  </si>
  <si>
    <t xml:space="preserve">Force~Tensile Strength-CD~peak </t>
  </si>
  <si>
    <t>Force~Tensile Strength-MD~peak</t>
  </si>
  <si>
    <t>Colour L</t>
  </si>
  <si>
    <t>Modulus-MD-web@2%</t>
  </si>
  <si>
    <t xml:space="preserve">Gloss Level </t>
  </si>
  <si>
    <t>0.30</t>
  </si>
  <si>
    <t>0.50</t>
  </si>
  <si>
    <t>0.10</t>
  </si>
  <si>
    <t>60.0</t>
  </si>
  <si>
    <t>57.0</t>
  </si>
  <si>
    <t>63.0</t>
  </si>
  <si>
    <t>7.0</t>
  </si>
  <si>
    <t>15.70</t>
  </si>
  <si>
    <t>20.30</t>
  </si>
  <si>
    <t>Color units - L</t>
  </si>
  <si>
    <t>Color units - A</t>
  </si>
  <si>
    <t>Color units - B</t>
  </si>
  <si>
    <t>N/cm</t>
  </si>
  <si>
    <t>Gloss Unit</t>
  </si>
  <si>
    <t>Cpk</t>
  </si>
  <si>
    <t>10.0</t>
  </si>
  <si>
    <t>1.00</t>
  </si>
  <si>
    <t>Colour a</t>
  </si>
  <si>
    <t>Colour b</t>
  </si>
  <si>
    <t>Basic Weight
(L-15.70 T-18.00 U-20.30)
GSM</t>
  </si>
  <si>
    <t xml:space="preserve">COF-Kinetic(R-R)
(L-0.30 T-0.40 U-0.50) </t>
  </si>
  <si>
    <t>Testing Equipment Identification number</t>
  </si>
  <si>
    <t xml:space="preserve">Gloss Level 
(Gloss Unit)                                                           (T-7.0  U-10.0)     </t>
  </si>
  <si>
    <t>Page No 1 of 2</t>
  </si>
  <si>
    <t>Page No 2 of 2</t>
  </si>
  <si>
    <t>Modulus-MD-web@ 2%                                                                 (L-18.2   T-24.7   U-31.2) N/cm</t>
  </si>
  <si>
    <t>Opacity                                                                         ( L-57.0 T-60.0 U-63.0)
%</t>
  </si>
  <si>
    <t>Colour L
(Colour units-H)                                              (L-91.5 T-95.5 U-99.5)</t>
  </si>
  <si>
    <t>Colour A
(Colour units-H)                                                                                   (L-(-4.4) T-(-0.4) U-(3.6))</t>
  </si>
  <si>
    <t>Colour B
(Colour units-H)                                       (L-(-4.5) T-(-0.5) U-(3.5))</t>
  </si>
  <si>
    <t>Delta E
(Colour Units-Delta E)                                                 (T-0.00 U-5.00)</t>
  </si>
  <si>
    <t>Reference:</t>
  </si>
  <si>
    <t>MRMP:99508624.005 GCAS: 96977186.005</t>
  </si>
  <si>
    <t>Test Name - (O) - Optional, (RRG#) - Reference Part Report Group #, (MRG#) - Master Part Report Group #:</t>
  </si>
  <si>
    <t>Basis Weight~~.</t>
  </si>
  <si>
    <t>Force ~ Elongation~~MD</t>
  </si>
  <si>
    <t>Force ~ Elongation~~CD</t>
  </si>
  <si>
    <t>Force ~ Tensile Strength~~MD ~ Peak</t>
  </si>
  <si>
    <t>Force ~ Tensile Strength~~CD ~ Peak</t>
  </si>
  <si>
    <t>Modulus~~Web ~ MD at 2 Percent</t>
  </si>
  <si>
    <t>Phys Chem ~ Coef of Friction ~ Kinetic~~.</t>
  </si>
  <si>
    <t>Record Review~~Laboratory Review</t>
  </si>
  <si>
    <t>Date</t>
  </si>
  <si>
    <t>Time</t>
  </si>
  <si>
    <t>Ref</t>
  </si>
  <si>
    <t>99508624.005.1</t>
  </si>
  <si>
    <t>99508624.005.6</t>
  </si>
  <si>
    <t>99508624.005.7</t>
  </si>
  <si>
    <t>99508624.005.8</t>
  </si>
  <si>
    <t>99508624.005.9</t>
  </si>
  <si>
    <t>99508624.005.12</t>
  </si>
  <si>
    <t>99508624.005.14</t>
  </si>
  <si>
    <t>99508624.005.15</t>
  </si>
  <si>
    <t>99508624.005.20</t>
  </si>
  <si>
    <t/>
  </si>
  <si>
    <t>UTM-IN-01-06A-0001</t>
  </si>
  <si>
    <t>STM-IN-01-06A-0001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</si>
</sst>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0.0"/>
    <numFmt numFmtId="165" formatCode="0.000"/>
    <numFmt numFmtId="166" formatCode="0.00_);[Red]\(0.00\)"/>
    <numFmt numFmtId="168" formatCode="[$-14009]dd\-mm\-yyyy;@"/>
  </numFmts>
  <fonts count="1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Calibri"/>
      <family val="2"/>
    </font>
    <font>
      <sz val="11"/>
      <color theme="1"/>
      <name val="Calibri"/>
      <family val="1"/>
      <charset val="136"/>
      <scheme val="minor"/>
    </font>
    <font>
      <sz val="12"/>
      <color rgb="FF000000"/>
      <name val="Times New Roman"/>
      <family val="1"/>
    </font>
    <font>
      <sz val="8"/>
      <name val="Calibri"/>
      <family val="2"/>
      <scheme val="minor"/>
    </font>
    <font>
      <i/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9"/>
      <name val="Calibri"/>
      <family val="2"/>
      <scheme val="minor"/>
    </font>
    <font>
      <sz val="9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4">
    <xf numFmtId="0" fontId="0" fillId="0" borderId="0"/>
    <xf numFmtId="44" fontId="5" fillId="0" borderId="0" applyFont="0" applyFill="0" applyBorder="0" applyAlignment="0" applyProtection="0"/>
    <xf numFmtId="0" fontId="8" fillId="0" borderId="0">
      <alignment vertical="center"/>
    </xf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79">
    <xf numFmtId="0" fontId="0" fillId="0" borderId="0" xfId="0"/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2" fontId="6" fillId="0" borderId="0" xfId="0" applyNumberFormat="1" applyFont="1" applyAlignment="1">
      <alignment wrapText="1"/>
    </xf>
    <xf numFmtId="49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horizontal="left" vertical="center"/>
    </xf>
    <xf numFmtId="164" fontId="6" fillId="0" borderId="0" xfId="0" applyNumberFormat="1" applyFont="1" applyAlignment="1">
      <alignment horizontal="center" wrapText="1"/>
    </xf>
    <xf numFmtId="164" fontId="6" fillId="0" borderId="0" xfId="0" applyNumberFormat="1" applyFont="1" applyAlignment="1">
      <alignment wrapText="1"/>
    </xf>
    <xf numFmtId="49" fontId="0" fillId="0" borderId="0" xfId="0" applyNumberFormat="1"/>
    <xf numFmtId="49" fontId="1" fillId="2" borderId="13" xfId="0" quotePrefix="1" applyNumberFormat="1" applyFont="1" applyFill="1" applyBorder="1" applyAlignment="1">
      <alignment horizontal="center" vertical="center" wrapText="1"/>
    </xf>
    <xf numFmtId="49" fontId="1" fillId="2" borderId="6" xfId="0" quotePrefix="1" applyNumberFormat="1" applyFont="1" applyFill="1" applyBorder="1" applyAlignment="1">
      <alignment horizontal="center" vertical="center" wrapText="1"/>
    </xf>
    <xf numFmtId="49" fontId="1" fillId="2" borderId="4" xfId="0" quotePrefix="1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2" xfId="0" quotePrefix="1" applyNumberFormat="1" applyFont="1" applyFill="1" applyBorder="1" applyAlignment="1">
      <alignment horizontal="center" vertical="center" wrapText="1"/>
    </xf>
    <xf numFmtId="49" fontId="1" fillId="2" borderId="7" xfId="0" quotePrefix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3" fillId="4" borderId="1" xfId="0" applyFont="1" applyFill="1" applyBorder="1"/>
    <xf numFmtId="0" fontId="13" fillId="3" borderId="1" xfId="0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 applyProtection="1">
      <alignment horizontal="left" vertical="center"/>
      <protection locked="0"/>
    </xf>
    <xf numFmtId="0" fontId="13" fillId="0" borderId="1" xfId="0" applyFont="1" applyBorder="1" applyAlignment="1">
      <alignment horizontal="center" vertical="center" wrapText="1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49" fontId="13" fillId="2" borderId="1" xfId="0" applyNumberFormat="1" applyFont="1" applyFill="1" applyBorder="1" applyAlignment="1" applyProtection="1">
      <alignment horizontal="center" vertical="center"/>
      <protection locked="0"/>
    </xf>
    <xf numFmtId="2" fontId="13" fillId="5" borderId="1" xfId="0" applyNumberFormat="1" applyFont="1" applyFill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 wrapText="1"/>
    </xf>
    <xf numFmtId="166" fontId="14" fillId="5" borderId="1" xfId="2" applyNumberFormat="1" applyFont="1" applyFill="1" applyBorder="1" applyAlignment="1">
      <alignment horizontal="center" vertical="center" shrinkToFit="1"/>
    </xf>
    <xf numFmtId="49" fontId="13" fillId="0" borderId="0" xfId="0" applyNumberFormat="1" applyFont="1" applyAlignment="1" applyProtection="1">
      <alignment horizontal="left" vertical="center"/>
      <protection locked="0"/>
    </xf>
    <xf numFmtId="16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64" fontId="13" fillId="5" borderId="1" xfId="0" applyNumberFormat="1" applyFont="1" applyFill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 applyProtection="1">
      <alignment horizontal="center" vertical="center" wrapText="1"/>
      <protection locked="0"/>
    </xf>
    <xf numFmtId="0" fontId="13" fillId="2" borderId="1" xfId="0" applyFont="1" applyFill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 wrapText="1"/>
    </xf>
    <xf numFmtId="49" fontId="13" fillId="2" borderId="1" xfId="0" applyNumberFormat="1" applyFont="1" applyFill="1" applyBorder="1" applyAlignment="1">
      <alignment horizontal="center" vertical="center"/>
    </xf>
    <xf numFmtId="2" fontId="13" fillId="4" borderId="1" xfId="0" applyNumberFormat="1" applyFont="1" applyFill="1" applyBorder="1" applyAlignment="1" applyProtection="1">
      <alignment horizontal="center" vertical="center" wrapText="1"/>
      <protection locked="0"/>
    </xf>
    <xf numFmtId="164" fontId="13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right" vertical="center" wrapText="1"/>
    </xf>
    <xf numFmtId="0" fontId="1" fillId="2" borderId="0" xfId="0" applyFont="1" applyFill="1" applyAlignment="1" applyProtection="1">
      <alignment wrapText="1"/>
      <protection locked="0"/>
    </xf>
    <xf numFmtId="0" fontId="11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36" xfId="0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2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29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0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2" xfId="0" applyNumberFormat="1" applyFont="1" applyFill="1" applyBorder="1" applyAlignment="1">
      <alignment horizontal="center" vertical="center" wrapText="1"/>
    </xf>
    <xf numFmtId="164" fontId="1" fillId="2" borderId="12" xfId="0" applyNumberFormat="1" applyFont="1" applyFill="1" applyBorder="1" applyAlignment="1">
      <alignment horizontal="center" vertical="center" wrapText="1"/>
    </xf>
    <xf numFmtId="2" fontId="1" fillId="2" borderId="27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2" fontId="1" fillId="2" borderId="30" xfId="0" applyNumberFormat="1" applyFont="1" applyFill="1" applyBorder="1" applyAlignment="1">
      <alignment horizontal="center" vertical="center" wrapText="1"/>
    </xf>
    <xf numFmtId="2" fontId="1" fillId="2" borderId="18" xfId="0" applyNumberFormat="1" applyFont="1" applyFill="1" applyBorder="1" applyAlignment="1">
      <alignment horizontal="center" vertical="center" wrapText="1"/>
    </xf>
    <xf numFmtId="164" fontId="1" fillId="2" borderId="18" xfId="0" applyNumberFormat="1" applyFont="1" applyFill="1" applyBorder="1" applyAlignment="1">
      <alignment horizontal="center" vertical="center" wrapText="1"/>
    </xf>
    <xf numFmtId="2" fontId="1" fillId="2" borderId="28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39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2" fillId="2" borderId="0" xfId="0" applyFont="1" applyFill="1" applyAlignment="1">
      <alignment vertical="center" wrapText="1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4" fontId="1" fillId="2" borderId="27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>
      <alignment vertical="center" wrapText="1"/>
    </xf>
    <xf numFmtId="14" fontId="1" fillId="2" borderId="28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vertical="center" wrapText="1"/>
    </xf>
    <xf numFmtId="1" fontId="1" fillId="2" borderId="18" xfId="0" applyNumberFormat="1" applyFont="1" applyFill="1" applyBorder="1" applyAlignment="1">
      <alignment horizontal="center" vertical="center" wrapText="1"/>
    </xf>
    <xf numFmtId="49" fontId="1" fillId="2" borderId="13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3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4" xfId="0" quotePrefix="1" applyNumberFormat="1" applyFont="1" applyFill="1" applyBorder="1" applyAlignment="1" applyProtection="1">
      <alignment horizontal="center" vertical="center" wrapText="1"/>
      <protection locked="0"/>
    </xf>
    <xf numFmtId="2" fontId="1" fillId="2" borderId="10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29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2" xfId="0" quotePrefix="1" applyNumberFormat="1" applyFont="1" applyFill="1" applyBorder="1" applyAlignment="1" applyProtection="1">
      <alignment horizontal="center" vertical="center" wrapText="1"/>
      <protection locked="0"/>
    </xf>
    <xf numFmtId="164" fontId="1" fillId="2" borderId="30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0" xfId="0" applyNumberFormat="1" applyFont="1" applyFill="1" applyBorder="1" applyAlignment="1">
      <alignment horizontal="center" vertical="center" wrapText="1"/>
    </xf>
    <xf numFmtId="164" fontId="1" fillId="2" borderId="27" xfId="0" applyNumberFormat="1" applyFont="1" applyFill="1" applyBorder="1" applyAlignment="1">
      <alignment horizontal="center" vertical="center" wrapText="1"/>
    </xf>
    <xf numFmtId="2" fontId="1" fillId="2" borderId="2" xfId="0" applyNumberFormat="1" applyFont="1" applyFill="1" applyBorder="1" applyAlignment="1">
      <alignment horizontal="center" vertical="center" wrapText="1"/>
    </xf>
    <xf numFmtId="164" fontId="1" fillId="2" borderId="30" xfId="0" applyNumberFormat="1" applyFont="1" applyFill="1" applyBorder="1" applyAlignment="1">
      <alignment horizontal="center" vertical="center" wrapText="1"/>
    </xf>
    <xf numFmtId="2" fontId="1" fillId="2" borderId="36" xfId="0" applyNumberFormat="1" applyFont="1" applyFill="1" applyBorder="1" applyAlignment="1">
      <alignment horizontal="center" vertical="center" wrapText="1"/>
    </xf>
    <xf numFmtId="164" fontId="1" fillId="2" borderId="28" xfId="0" applyNumberFormat="1" applyFont="1" applyFill="1" applyBorder="1" applyAlignment="1">
      <alignment horizontal="center" vertical="center" wrapText="1"/>
    </xf>
    <xf numFmtId="0" fontId="1" fillId="2" borderId="0" xfId="0" quotePrefix="1" applyFont="1" applyFill="1" applyAlignment="1">
      <alignment wrapText="1"/>
    </xf>
    <xf numFmtId="0" fontId="9" fillId="2" borderId="0" xfId="0" applyFont="1" applyFill="1" applyAlignment="1">
      <alignment wrapText="1"/>
    </xf>
    <xf numFmtId="0" fontId="2" fillId="2" borderId="0" xfId="0" applyFont="1" applyFill="1" applyAlignment="1">
      <alignment horizontal="center" vertical="center" wrapText="1"/>
    </xf>
    <xf numFmtId="49" fontId="1" fillId="2" borderId="14" xfId="0" quotePrefix="1" applyNumberFormat="1" applyFont="1" applyFill="1" applyBorder="1" applyAlignment="1">
      <alignment horizontal="right" vertical="center" wrapText="1"/>
    </xf>
    <xf numFmtId="49" fontId="1" fillId="2" borderId="16" xfId="0" quotePrefix="1" applyNumberFormat="1" applyFont="1" applyFill="1" applyBorder="1" applyAlignment="1">
      <alignment horizontal="right" vertical="center" wrapText="1"/>
    </xf>
    <xf numFmtId="49" fontId="1" fillId="2" borderId="17" xfId="0" quotePrefix="1" applyNumberFormat="1" applyFont="1" applyFill="1" applyBorder="1" applyAlignment="1">
      <alignment horizontal="righ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164" fontId="1" fillId="2" borderId="18" xfId="0" applyNumberFormat="1" applyFont="1" applyFill="1" applyBorder="1" applyAlignment="1">
      <alignment horizontal="right" vertical="center" wrapText="1"/>
    </xf>
    <xf numFmtId="164" fontId="1" fillId="2" borderId="12" xfId="0" applyNumberFormat="1" applyFont="1" applyFill="1" applyBorder="1" applyAlignment="1">
      <alignment horizontal="right" vertical="center" wrapText="1"/>
    </xf>
    <xf numFmtId="49" fontId="12" fillId="2" borderId="39" xfId="0" quotePrefix="1" applyNumberFormat="1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49" fontId="12" fillId="2" borderId="0" xfId="0" quotePrefix="1" applyNumberFormat="1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49" fontId="1" fillId="2" borderId="8" xfId="0" quotePrefix="1" applyNumberFormat="1" applyFont="1" applyFill="1" applyBorder="1" applyAlignment="1">
      <alignment horizontal="right" vertical="center" wrapText="1"/>
    </xf>
    <xf numFmtId="49" fontId="1" fillId="2" borderId="9" xfId="0" quotePrefix="1" applyNumberFormat="1" applyFont="1" applyFill="1" applyBorder="1" applyAlignment="1">
      <alignment horizontal="right" vertical="center" wrapText="1"/>
    </xf>
    <xf numFmtId="49" fontId="1" fillId="2" borderId="11" xfId="0" quotePrefix="1" applyNumberFormat="1" applyFont="1" applyFill="1" applyBorder="1" applyAlignment="1">
      <alignment horizontal="right" vertical="center" wrapText="1"/>
    </xf>
    <xf numFmtId="49" fontId="1" fillId="2" borderId="13" xfId="0" quotePrefix="1" applyNumberFormat="1" applyFont="1" applyFill="1" applyBorder="1" applyAlignment="1">
      <alignment horizontal="right" vertical="center" wrapText="1"/>
    </xf>
    <xf numFmtId="49" fontId="1" fillId="2" borderId="3" xfId="0" quotePrefix="1" applyNumberFormat="1" applyFont="1" applyFill="1" applyBorder="1" applyAlignment="1">
      <alignment horizontal="right" vertical="center" wrapText="1"/>
    </xf>
    <xf numFmtId="49" fontId="1" fillId="2" borderId="4" xfId="0" quotePrefix="1" applyNumberFormat="1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 applyProtection="1">
      <alignment horizontal="center" vertical="center" wrapText="1"/>
      <protection locked="0"/>
    </xf>
    <xf numFmtId="14" fontId="1" fillId="2" borderId="12" xfId="0" applyNumberFormat="1" applyFont="1" applyFill="1" applyBorder="1" applyAlignment="1" applyProtection="1">
      <alignment horizontal="left" vertical="center" wrapText="1"/>
      <protection locked="0"/>
    </xf>
    <xf numFmtId="14" fontId="1" fillId="2" borderId="18" xfId="0" applyNumberFormat="1" applyFont="1" applyFill="1" applyBorder="1" applyAlignment="1" applyProtection="1">
      <alignment horizontal="left" vertical="center" wrapText="1"/>
      <protection locked="0"/>
    </xf>
    <xf numFmtId="0" fontId="1" fillId="2" borderId="15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14" fontId="1" fillId="2" borderId="10" xfId="0" applyNumberFormat="1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14" fontId="1" fillId="2" borderId="36" xfId="0" applyNumberFormat="1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left" vertical="center" wrapText="1"/>
    </xf>
    <xf numFmtId="0" fontId="1" fillId="2" borderId="34" xfId="0" applyFont="1" applyFill="1" applyBorder="1" applyAlignment="1">
      <alignment horizontal="left" vertical="center" wrapText="1"/>
    </xf>
    <xf numFmtId="168" fontId="0" fillId="0" borderId="0" xfId="0" applyNumberFormat="1" applyAlignment="1" applyProtection="1">
      <alignment horizontal="center" vertical="center"/>
      <protection locked="0"/>
    </xf>
  </cellXfs>
  <cellStyles count="74">
    <cellStyle name="Currency 2" xfId="1" xr:uid="{00000000-0005-0000-0000-000000000000}"/>
    <cellStyle name="Currency 2 2" xfId="4" xr:uid="{00000000-0005-0000-0000-000001000000}"/>
    <cellStyle name="Currency 2 2 2" xfId="10" xr:uid="{00000000-0005-0000-0000-000002000000}"/>
    <cellStyle name="Currency 2 2 2 2" xfId="37" xr:uid="{00000000-0005-0000-0000-000003000000}"/>
    <cellStyle name="Currency 2 2 2 2 2" xfId="73" xr:uid="{075D7E5D-0858-45F9-BA54-8BBDFC103874}"/>
    <cellStyle name="Currency 2 2 2 3" xfId="28" xr:uid="{00000000-0005-0000-0000-000004000000}"/>
    <cellStyle name="Currency 2 2 2 3 2" xfId="64" xr:uid="{81F9C398-EC35-460E-A652-C7B990952CEE}"/>
    <cellStyle name="Currency 2 2 2 4" xfId="19" xr:uid="{00000000-0005-0000-0000-000005000000}"/>
    <cellStyle name="Currency 2 2 2 4 2" xfId="55" xr:uid="{6203866B-647B-4027-8C32-7A442A85A618}"/>
    <cellStyle name="Currency 2 2 2 5" xfId="46" xr:uid="{5EB79F1C-E7F1-4AEB-828D-00D68A00C302}"/>
    <cellStyle name="Currency 2 2 3" xfId="7" xr:uid="{00000000-0005-0000-0000-000006000000}"/>
    <cellStyle name="Currency 2 2 3 2" xfId="34" xr:uid="{00000000-0005-0000-0000-000007000000}"/>
    <cellStyle name="Currency 2 2 3 2 2" xfId="70" xr:uid="{2735861E-0239-4064-93DA-DD6C26FE90E3}"/>
    <cellStyle name="Currency 2 2 3 3" xfId="25" xr:uid="{00000000-0005-0000-0000-000008000000}"/>
    <cellStyle name="Currency 2 2 3 3 2" xfId="61" xr:uid="{EC77610C-700D-495C-95C8-75AC038B2B71}"/>
    <cellStyle name="Currency 2 2 3 4" xfId="16" xr:uid="{00000000-0005-0000-0000-000009000000}"/>
    <cellStyle name="Currency 2 2 3 4 2" xfId="52" xr:uid="{29368D19-11E5-4697-B6AB-76F0751DFB3B}"/>
    <cellStyle name="Currency 2 2 3 5" xfId="43" xr:uid="{26715802-DFF7-4DF9-BC43-11452148D576}"/>
    <cellStyle name="Currency 2 2 4" xfId="31" xr:uid="{00000000-0005-0000-0000-00000A000000}"/>
    <cellStyle name="Currency 2 2 4 2" xfId="67" xr:uid="{C64E640A-600B-42FC-B089-4ACD747F7B15}"/>
    <cellStyle name="Currency 2 2 5" xfId="22" xr:uid="{00000000-0005-0000-0000-00000B000000}"/>
    <cellStyle name="Currency 2 2 5 2" xfId="58" xr:uid="{52A29927-F00E-49CE-B159-10D286F34A1F}"/>
    <cellStyle name="Currency 2 2 6" xfId="13" xr:uid="{00000000-0005-0000-0000-00000C000000}"/>
    <cellStyle name="Currency 2 2 6 2" xfId="49" xr:uid="{91210C5E-3F50-4AD9-8E27-E9AB9251B324}"/>
    <cellStyle name="Currency 2 2 7" xfId="40" xr:uid="{95587B59-0082-433C-B262-4DA45FC9C6A3}"/>
    <cellStyle name="Currency 2 3" xfId="3" xr:uid="{00000000-0005-0000-0000-00000D000000}"/>
    <cellStyle name="Currency 2 3 2" xfId="9" xr:uid="{00000000-0005-0000-0000-00000E000000}"/>
    <cellStyle name="Currency 2 3 2 2" xfId="36" xr:uid="{00000000-0005-0000-0000-00000F000000}"/>
    <cellStyle name="Currency 2 3 2 2 2" xfId="72" xr:uid="{8FA210AD-0948-4E0A-BFDF-4A31FF940E07}"/>
    <cellStyle name="Currency 2 3 2 3" xfId="27" xr:uid="{00000000-0005-0000-0000-000010000000}"/>
    <cellStyle name="Currency 2 3 2 3 2" xfId="63" xr:uid="{8D3EAB59-0D5D-4E9A-912E-0FC4CF8DB330}"/>
    <cellStyle name="Currency 2 3 2 4" xfId="18" xr:uid="{00000000-0005-0000-0000-000011000000}"/>
    <cellStyle name="Currency 2 3 2 4 2" xfId="54" xr:uid="{7AA32FCB-4FAB-4A33-9AB3-0119221E14F4}"/>
    <cellStyle name="Currency 2 3 2 5" xfId="45" xr:uid="{3A659055-B63C-4818-8587-8EA52813CBD7}"/>
    <cellStyle name="Currency 2 3 3" xfId="6" xr:uid="{00000000-0005-0000-0000-000012000000}"/>
    <cellStyle name="Currency 2 3 3 2" xfId="33" xr:uid="{00000000-0005-0000-0000-000013000000}"/>
    <cellStyle name="Currency 2 3 3 2 2" xfId="69" xr:uid="{BF906863-9CEC-41CD-9BA5-FBAC78C286EE}"/>
    <cellStyle name="Currency 2 3 3 3" xfId="24" xr:uid="{00000000-0005-0000-0000-000014000000}"/>
    <cellStyle name="Currency 2 3 3 3 2" xfId="60" xr:uid="{7DF2F719-4A77-4CF0-86FA-BCD63DE6BC23}"/>
    <cellStyle name="Currency 2 3 3 4" xfId="15" xr:uid="{00000000-0005-0000-0000-000015000000}"/>
    <cellStyle name="Currency 2 3 3 4 2" xfId="51" xr:uid="{CF056F62-C353-44A2-A123-54E7A2169AFF}"/>
    <cellStyle name="Currency 2 3 3 5" xfId="42" xr:uid="{DF58FEB0-B1F4-45AA-9155-168E2D21E1A9}"/>
    <cellStyle name="Currency 2 3 4" xfId="30" xr:uid="{00000000-0005-0000-0000-000016000000}"/>
    <cellStyle name="Currency 2 3 4 2" xfId="66" xr:uid="{0A0679D1-364A-4B5B-8FAC-C78E1600F802}"/>
    <cellStyle name="Currency 2 3 5" xfId="21" xr:uid="{00000000-0005-0000-0000-000017000000}"/>
    <cellStyle name="Currency 2 3 5 2" xfId="57" xr:uid="{20C895DE-7098-45E6-8777-AE2EEC50CA46}"/>
    <cellStyle name="Currency 2 3 6" xfId="12" xr:uid="{00000000-0005-0000-0000-000018000000}"/>
    <cellStyle name="Currency 2 3 6 2" xfId="48" xr:uid="{D14E5EF0-27E8-4C45-9BEA-FE7113E530CD}"/>
    <cellStyle name="Currency 2 3 7" xfId="39" xr:uid="{8EAEB037-8D56-46C8-B47E-0409C2A247CD}"/>
    <cellStyle name="Currency 2 4" xfId="8" xr:uid="{00000000-0005-0000-0000-000019000000}"/>
    <cellStyle name="Currency 2 4 2" xfId="35" xr:uid="{00000000-0005-0000-0000-00001A000000}"/>
    <cellStyle name="Currency 2 4 2 2" xfId="71" xr:uid="{7F044732-C6C1-4AD5-B1B6-69AC5FE811BD}"/>
    <cellStyle name="Currency 2 4 3" xfId="26" xr:uid="{00000000-0005-0000-0000-00001B000000}"/>
    <cellStyle name="Currency 2 4 3 2" xfId="62" xr:uid="{AA517306-F1DF-4638-88F9-A3F754D577E8}"/>
    <cellStyle name="Currency 2 4 4" xfId="17" xr:uid="{00000000-0005-0000-0000-00001C000000}"/>
    <cellStyle name="Currency 2 4 4 2" xfId="53" xr:uid="{2C7AFA57-3C96-4913-8522-13C748178719}"/>
    <cellStyle name="Currency 2 4 5" xfId="44" xr:uid="{6ED62A7A-1947-4796-8643-8D53943CF2EB}"/>
    <cellStyle name="Currency 2 5" xfId="5" xr:uid="{00000000-0005-0000-0000-00001D000000}"/>
    <cellStyle name="Currency 2 5 2" xfId="32" xr:uid="{00000000-0005-0000-0000-00001E000000}"/>
    <cellStyle name="Currency 2 5 2 2" xfId="68" xr:uid="{86D3FCF6-96FD-433C-A9A9-2FC17531D1CA}"/>
    <cellStyle name="Currency 2 5 3" xfId="23" xr:uid="{00000000-0005-0000-0000-00001F000000}"/>
    <cellStyle name="Currency 2 5 3 2" xfId="59" xr:uid="{D45C1E82-060C-476F-93EE-6D378138883B}"/>
    <cellStyle name="Currency 2 5 4" xfId="14" xr:uid="{00000000-0005-0000-0000-000020000000}"/>
    <cellStyle name="Currency 2 5 4 2" xfId="50" xr:uid="{E5830A72-249E-4082-9524-A9C910EC23AE}"/>
    <cellStyle name="Currency 2 5 5" xfId="41" xr:uid="{E3D97DFE-56CA-4CB4-B523-678B23BED075}"/>
    <cellStyle name="Currency 2 6" xfId="29" xr:uid="{00000000-0005-0000-0000-000021000000}"/>
    <cellStyle name="Currency 2 6 2" xfId="65" xr:uid="{63DD7D09-0E7D-4B3E-92A8-D9D767D28B7C}"/>
    <cellStyle name="Currency 2 7" xfId="20" xr:uid="{00000000-0005-0000-0000-000022000000}"/>
    <cellStyle name="Currency 2 7 2" xfId="56" xr:uid="{083E3A9C-6D44-4BA5-A8D5-201F55A5D8FB}"/>
    <cellStyle name="Currency 2 8" xfId="11" xr:uid="{00000000-0005-0000-0000-000023000000}"/>
    <cellStyle name="Currency 2 8 2" xfId="47" xr:uid="{86CE6EA3-0A2A-4C76-9987-830EBF2AB9FB}"/>
    <cellStyle name="Currency 2 9" xfId="38" xr:uid="{A84D043A-8A3E-48AA-9EEB-B30FBDD415BB}"/>
    <cellStyle name="Normal" xfId="0" builtinId="0"/>
    <cellStyle name="常规 3" xfId="2" xr:uid="{00000000-0005-0000-0000-000025000000}"/>
  </cellStyles>
  <dxfs count="1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Force-elongation-MD@5%25%20%20%20%20%20%20%20%20%20%20%20%20%20%20%20%20%20%20%20%20%20%20%20%20%20%20%20%20%20%20%20%20%20%20%20%20%20%20%20%20%20%20%20%20(L-1.77%20T-2.77)%20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Modulus-MD-web@2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9"/>
  <sheetViews>
    <sheetView tabSelected="1" view="pageBreakPreview" zoomScaleNormal="100" zoomScaleSheetLayoutView="100" workbookViewId="0">
      <selection activeCell="D12" sqref="D12"/>
    </sheetView>
  </sheetViews>
  <sheetFormatPr defaultColWidth="9.140625" defaultRowHeight="15.75" customHeight="1"/>
  <cols>
    <col min="1" max="3" width="12.85546875" style="65" customWidth="1"/>
    <col min="4" max="7" width="21.42578125" style="65" customWidth="1"/>
    <col min="8" max="11" width="10.42578125" style="65" customWidth="1"/>
    <col min="12" max="12" width="20.42578125" style="65" customWidth="1"/>
    <col min="13" max="16384" width="9.140625" style="65"/>
  </cols>
  <sheetData>
    <row r="1" spans="1:38" s="51" customFormat="1" ht="15.75" customHeight="1">
      <c r="A1" s="139" t="s">
        <v>9</v>
      </c>
      <c r="B1" s="139"/>
      <c r="C1" s="139"/>
      <c r="D1" s="139"/>
      <c r="E1" s="139"/>
      <c r="F1" s="139"/>
      <c r="G1" s="139"/>
      <c r="H1" s="139"/>
      <c r="I1" s="139"/>
      <c r="J1" s="139"/>
      <c r="K1" s="49"/>
      <c r="L1" s="50" t="s">
        <v>21</v>
      </c>
    </row>
    <row r="2" spans="1:38" s="51" customFormat="1" ht="15.75" customHeight="1">
      <c r="A2" s="140" t="s">
        <v>10</v>
      </c>
      <c r="B2" s="140"/>
      <c r="C2" s="140"/>
      <c r="D2" s="140"/>
      <c r="E2" s="140"/>
      <c r="F2" s="140"/>
      <c r="G2" s="140"/>
      <c r="H2" s="140"/>
      <c r="I2" s="140"/>
      <c r="J2" s="140"/>
      <c r="K2" s="52"/>
      <c r="L2" s="53" t="s">
        <v>22</v>
      </c>
    </row>
    <row r="3" spans="1:38" s="51" customFormat="1" ht="15.75" customHeight="1" thickBot="1">
      <c r="A3" s="141"/>
      <c r="B3" s="141"/>
      <c r="C3" s="141"/>
      <c r="D3" s="141"/>
      <c r="E3" s="141"/>
      <c r="F3" s="141"/>
      <c r="G3" s="141"/>
      <c r="H3" s="141"/>
      <c r="I3" s="141"/>
      <c r="J3" s="141"/>
      <c r="K3" s="54" t="s">
        <v>16</v>
      </c>
      <c r="L3" s="55"/>
    </row>
    <row r="4" spans="1:38" s="60" customFormat="1" ht="23.25" customHeight="1">
      <c r="A4" s="143" t="s">
        <v>1</v>
      </c>
      <c r="B4" s="144"/>
      <c r="C4" s="142"/>
      <c r="D4" s="142"/>
      <c r="E4" s="56" t="s">
        <v>3</v>
      </c>
      <c r="F4" s="89"/>
      <c r="G4" s="58" t="s">
        <v>5</v>
      </c>
      <c r="H4" s="142"/>
      <c r="I4" s="142"/>
      <c r="J4" s="148" t="s">
        <v>7</v>
      </c>
      <c r="K4" s="148"/>
      <c r="L4" s="90"/>
    </row>
    <row r="5" spans="1:38" s="60" customFormat="1" ht="23.25" customHeight="1" thickBot="1">
      <c r="A5" s="145" t="s">
        <v>2</v>
      </c>
      <c r="B5" s="146"/>
      <c r="C5" s="125"/>
      <c r="D5" s="125"/>
      <c r="E5" s="61" t="s">
        <v>4</v>
      </c>
      <c r="F5" s="91"/>
      <c r="G5" s="92" t="s">
        <v>6</v>
      </c>
      <c r="H5" s="147" t="s">
        <v>120</v>
      </c>
      <c r="I5" s="147"/>
      <c r="J5" s="149" t="s">
        <v>8</v>
      </c>
      <c r="K5" s="149"/>
      <c r="L5" s="93"/>
    </row>
    <row r="6" spans="1:38" s="60" customFormat="1" ht="15.75" customHeight="1" thickBot="1">
      <c r="A6" s="119" t="s">
        <v>87</v>
      </c>
      <c r="B6" s="120"/>
      <c r="C6" s="120"/>
      <c r="D6" s="94"/>
      <c r="E6" s="121"/>
      <c r="F6" s="121"/>
      <c r="G6" s="95"/>
      <c r="H6" s="150"/>
      <c r="I6" s="150"/>
      <c r="J6" s="150"/>
      <c r="K6" s="151"/>
      <c r="L6" s="96"/>
    </row>
    <row r="7" spans="1:38" s="68" customFormat="1" ht="41.25" customHeight="1">
      <c r="A7" s="122" t="s">
        <v>0</v>
      </c>
      <c r="B7" s="123"/>
      <c r="C7" s="123"/>
      <c r="D7" s="123" t="s">
        <v>85</v>
      </c>
      <c r="E7" s="123" t="s">
        <v>86</v>
      </c>
      <c r="F7" s="123" t="s">
        <v>28</v>
      </c>
      <c r="G7" s="123" t="s">
        <v>92</v>
      </c>
      <c r="H7" s="157" t="s">
        <v>91</v>
      </c>
      <c r="I7" s="158"/>
      <c r="J7" s="158"/>
      <c r="K7" s="159"/>
      <c r="L7" s="160" t="s">
        <v>88</v>
      </c>
    </row>
    <row r="8" spans="1:38" s="68" customFormat="1" ht="18.75" customHeight="1" thickBot="1">
      <c r="A8" s="124"/>
      <c r="B8" s="125"/>
      <c r="C8" s="125"/>
      <c r="D8" s="125"/>
      <c r="E8" s="125"/>
      <c r="F8" s="125"/>
      <c r="G8" s="125"/>
      <c r="H8" s="97">
        <v>1</v>
      </c>
      <c r="I8" s="97">
        <v>2</v>
      </c>
      <c r="J8" s="97">
        <v>3</v>
      </c>
      <c r="K8" s="97" t="s">
        <v>25</v>
      </c>
      <c r="L8" s="161"/>
    </row>
    <row r="9" spans="1:38" ht="19.5" customHeight="1">
      <c r="A9" s="98"/>
      <c r="B9" s="99"/>
      <c r="C9" s="100"/>
      <c r="D9" s="101"/>
      <c r="E9" s="101"/>
      <c r="F9" s="101"/>
      <c r="G9" s="16"/>
      <c r="H9" s="72"/>
      <c r="I9" s="72"/>
      <c r="J9" s="72"/>
      <c r="K9" s="102" t="e">
        <f>AVERAGE(H9:J9)</f>
        <v>#DIV/0!</v>
      </c>
      <c r="L9" s="103"/>
      <c r="AL9" s="68"/>
    </row>
    <row r="10" spans="1:38" ht="19.5" customHeight="1">
      <c r="A10" s="104"/>
      <c r="B10" s="99"/>
      <c r="C10" s="100"/>
      <c r="D10" s="69"/>
      <c r="E10" s="69"/>
      <c r="F10" s="69"/>
      <c r="G10" s="16"/>
      <c r="H10" s="70"/>
      <c r="I10" s="70"/>
      <c r="J10" s="70"/>
      <c r="K10" s="102" t="e">
        <f t="shared" ref="K10:K38" si="0">AVERAGE(H10:J10)</f>
        <v>#DIV/0!</v>
      </c>
      <c r="L10" s="105"/>
    </row>
    <row r="11" spans="1:38" ht="19.5" customHeight="1">
      <c r="A11" s="104"/>
      <c r="B11" s="99"/>
      <c r="C11" s="100"/>
      <c r="D11" s="69"/>
      <c r="E11" s="69"/>
      <c r="F11" s="69"/>
      <c r="G11" s="16"/>
      <c r="H11" s="70"/>
      <c r="I11" s="70"/>
      <c r="J11" s="70"/>
      <c r="K11" s="102" t="e">
        <f t="shared" si="0"/>
        <v>#DIV/0!</v>
      </c>
      <c r="L11" s="103"/>
    </row>
    <row r="12" spans="1:38" ht="19.5" customHeight="1">
      <c r="A12" s="104"/>
      <c r="B12" s="99"/>
      <c r="C12" s="100"/>
      <c r="D12" s="69"/>
      <c r="E12" s="69"/>
      <c r="F12" s="69"/>
      <c r="G12" s="16"/>
      <c r="H12" s="72"/>
      <c r="I12" s="72"/>
      <c r="J12" s="72"/>
      <c r="K12" s="102" t="e">
        <f t="shared" si="0"/>
        <v>#DIV/0!</v>
      </c>
      <c r="L12" s="103"/>
    </row>
    <row r="13" spans="1:38" ht="19.5" customHeight="1">
      <c r="A13" s="98"/>
      <c r="B13" s="99"/>
      <c r="C13" s="100"/>
      <c r="D13" s="69"/>
      <c r="E13" s="69"/>
      <c r="F13" s="69"/>
      <c r="G13" s="16"/>
      <c r="H13" s="70"/>
      <c r="I13" s="70"/>
      <c r="J13" s="70"/>
      <c r="K13" s="102" t="e">
        <f t="shared" si="0"/>
        <v>#DIV/0!</v>
      </c>
      <c r="L13" s="105"/>
      <c r="N13" s="155"/>
      <c r="O13" s="155"/>
    </row>
    <row r="14" spans="1:38" ht="19.5" customHeight="1">
      <c r="A14" s="104"/>
      <c r="B14" s="99"/>
      <c r="C14" s="100"/>
      <c r="D14" s="69"/>
      <c r="E14" s="69"/>
      <c r="F14" s="69"/>
      <c r="G14" s="16"/>
      <c r="H14" s="72"/>
      <c r="I14" s="72"/>
      <c r="J14" s="72"/>
      <c r="K14" s="102" t="e">
        <f t="shared" si="0"/>
        <v>#DIV/0!</v>
      </c>
      <c r="L14" s="103"/>
    </row>
    <row r="15" spans="1:38" ht="19.5" customHeight="1">
      <c r="A15" s="104"/>
      <c r="B15" s="99"/>
      <c r="C15" s="100"/>
      <c r="D15" s="69"/>
      <c r="E15" s="69"/>
      <c r="F15" s="69"/>
      <c r="G15" s="16"/>
      <c r="H15" s="70"/>
      <c r="I15" s="70"/>
      <c r="J15" s="70"/>
      <c r="K15" s="102" t="e">
        <f t="shared" si="0"/>
        <v>#DIV/0!</v>
      </c>
      <c r="L15" s="103"/>
    </row>
    <row r="16" spans="1:38" ht="19.5" customHeight="1">
      <c r="A16" s="98"/>
      <c r="B16" s="99"/>
      <c r="C16" s="100"/>
      <c r="D16" s="69"/>
      <c r="E16" s="69"/>
      <c r="F16" s="69"/>
      <c r="G16" s="16"/>
      <c r="H16" s="72"/>
      <c r="I16" s="72"/>
      <c r="J16" s="72"/>
      <c r="K16" s="102" t="e">
        <f t="shared" si="0"/>
        <v>#DIV/0!</v>
      </c>
      <c r="L16" s="105"/>
    </row>
    <row r="17" spans="1:12" ht="19.5" customHeight="1">
      <c r="A17" s="104"/>
      <c r="B17" s="99"/>
      <c r="C17" s="100"/>
      <c r="D17" s="69"/>
      <c r="E17" s="69"/>
      <c r="F17" s="69"/>
      <c r="G17" s="16"/>
      <c r="H17" s="70"/>
      <c r="I17" s="70"/>
      <c r="J17" s="70"/>
      <c r="K17" s="102" t="e">
        <f t="shared" si="0"/>
        <v>#DIV/0!</v>
      </c>
      <c r="L17" s="103"/>
    </row>
    <row r="18" spans="1:12" ht="19.5" customHeight="1">
      <c r="A18" s="98"/>
      <c r="B18" s="99"/>
      <c r="C18" s="100"/>
      <c r="D18" s="69"/>
      <c r="E18" s="69"/>
      <c r="F18" s="69"/>
      <c r="G18" s="16"/>
      <c r="H18" s="72"/>
      <c r="I18" s="72"/>
      <c r="J18" s="72"/>
      <c r="K18" s="102" t="e">
        <f t="shared" si="0"/>
        <v>#DIV/0!</v>
      </c>
      <c r="L18" s="105"/>
    </row>
    <row r="19" spans="1:12" ht="19.5" customHeight="1">
      <c r="A19" s="104"/>
      <c r="B19" s="99"/>
      <c r="C19" s="100"/>
      <c r="D19" s="69"/>
      <c r="E19" s="69"/>
      <c r="F19" s="69"/>
      <c r="G19" s="16"/>
      <c r="H19" s="70"/>
      <c r="I19" s="70"/>
      <c r="J19" s="70"/>
      <c r="K19" s="102" t="e">
        <f t="shared" si="0"/>
        <v>#DIV/0!</v>
      </c>
      <c r="L19" s="103"/>
    </row>
    <row r="20" spans="1:12" ht="19.5" customHeight="1">
      <c r="A20" s="104"/>
      <c r="B20" s="99"/>
      <c r="C20" s="100"/>
      <c r="D20" s="69"/>
      <c r="E20" s="69"/>
      <c r="F20" s="69"/>
      <c r="G20" s="16"/>
      <c r="H20" s="70"/>
      <c r="I20" s="70"/>
      <c r="J20" s="70"/>
      <c r="K20" s="102" t="e">
        <f t="shared" si="0"/>
        <v>#DIV/0!</v>
      </c>
      <c r="L20" s="105"/>
    </row>
    <row r="21" spans="1:12" ht="19.5" customHeight="1">
      <c r="A21" s="98"/>
      <c r="B21" s="99"/>
      <c r="C21" s="100"/>
      <c r="D21" s="69"/>
      <c r="E21" s="69"/>
      <c r="F21" s="69"/>
      <c r="G21" s="16"/>
      <c r="H21" s="72"/>
      <c r="I21" s="72"/>
      <c r="J21" s="72"/>
      <c r="K21" s="102" t="e">
        <f t="shared" si="0"/>
        <v>#DIV/0!</v>
      </c>
      <c r="L21" s="103"/>
    </row>
    <row r="22" spans="1:12" ht="19.5" customHeight="1">
      <c r="A22" s="104"/>
      <c r="B22" s="99"/>
      <c r="C22" s="100"/>
      <c r="D22" s="69"/>
      <c r="E22" s="69"/>
      <c r="F22" s="69"/>
      <c r="G22" s="16"/>
      <c r="H22" s="70"/>
      <c r="I22" s="70"/>
      <c r="J22" s="70"/>
      <c r="K22" s="102" t="e">
        <f t="shared" si="0"/>
        <v>#DIV/0!</v>
      </c>
      <c r="L22" s="105"/>
    </row>
    <row r="23" spans="1:12" ht="19.5" customHeight="1">
      <c r="A23" s="104"/>
      <c r="B23" s="99"/>
      <c r="C23" s="100"/>
      <c r="D23" s="69"/>
      <c r="E23" s="69"/>
      <c r="F23" s="69"/>
      <c r="G23" s="16"/>
      <c r="H23" s="70"/>
      <c r="I23" s="70"/>
      <c r="J23" s="70"/>
      <c r="K23" s="102" t="e">
        <f t="shared" si="0"/>
        <v>#DIV/0!</v>
      </c>
      <c r="L23" s="103"/>
    </row>
    <row r="24" spans="1:12" ht="19.5" customHeight="1">
      <c r="A24" s="104"/>
      <c r="B24" s="99"/>
      <c r="C24" s="100"/>
      <c r="D24" s="69"/>
      <c r="E24" s="69"/>
      <c r="F24" s="69"/>
      <c r="G24" s="16"/>
      <c r="H24" s="70"/>
      <c r="I24" s="70"/>
      <c r="J24" s="70"/>
      <c r="K24" s="102" t="e">
        <f t="shared" si="0"/>
        <v>#DIV/0!</v>
      </c>
      <c r="L24" s="103"/>
    </row>
    <row r="25" spans="1:12" ht="19.5" customHeight="1">
      <c r="A25" s="104"/>
      <c r="B25" s="99"/>
      <c r="C25" s="100"/>
      <c r="D25" s="69"/>
      <c r="E25" s="69"/>
      <c r="F25" s="69"/>
      <c r="G25" s="16"/>
      <c r="H25" s="72"/>
      <c r="I25" s="72"/>
      <c r="J25" s="72"/>
      <c r="K25" s="102" t="e">
        <f t="shared" si="0"/>
        <v>#DIV/0!</v>
      </c>
      <c r="L25" s="105"/>
    </row>
    <row r="26" spans="1:12" ht="19.5" customHeight="1">
      <c r="A26" s="98"/>
      <c r="B26" s="99"/>
      <c r="C26" s="100"/>
      <c r="D26" s="69"/>
      <c r="E26" s="69"/>
      <c r="F26" s="69"/>
      <c r="G26" s="16"/>
      <c r="H26" s="70"/>
      <c r="I26" s="70"/>
      <c r="J26" s="70"/>
      <c r="K26" s="102" t="e">
        <f t="shared" si="0"/>
        <v>#DIV/0!</v>
      </c>
      <c r="L26" s="103"/>
    </row>
    <row r="27" spans="1:12" ht="19.5" customHeight="1">
      <c r="A27" s="104"/>
      <c r="B27" s="99"/>
      <c r="C27" s="100"/>
      <c r="D27" s="69"/>
      <c r="E27" s="69"/>
      <c r="F27" s="69"/>
      <c r="G27" s="16"/>
      <c r="H27" s="72"/>
      <c r="I27" s="72"/>
      <c r="J27" s="72"/>
      <c r="K27" s="102" t="e">
        <f t="shared" si="0"/>
        <v>#DIV/0!</v>
      </c>
      <c r="L27" s="103"/>
    </row>
    <row r="28" spans="1:12" ht="19.5" customHeight="1">
      <c r="A28" s="104"/>
      <c r="B28" s="99"/>
      <c r="C28" s="100"/>
      <c r="D28" s="69"/>
      <c r="E28" s="69"/>
      <c r="F28" s="69"/>
      <c r="G28" s="16"/>
      <c r="H28" s="70"/>
      <c r="I28" s="70"/>
      <c r="J28" s="70"/>
      <c r="K28" s="102" t="e">
        <f t="shared" si="0"/>
        <v>#DIV/0!</v>
      </c>
      <c r="L28" s="105"/>
    </row>
    <row r="29" spans="1:12" ht="19.5" customHeight="1">
      <c r="A29" s="98"/>
      <c r="B29" s="99"/>
      <c r="C29" s="100"/>
      <c r="D29" s="69"/>
      <c r="E29" s="69"/>
      <c r="F29" s="69"/>
      <c r="G29" s="16"/>
      <c r="H29" s="72"/>
      <c r="I29" s="72"/>
      <c r="J29" s="72"/>
      <c r="K29" s="102" t="e">
        <f t="shared" si="0"/>
        <v>#DIV/0!</v>
      </c>
      <c r="L29" s="103"/>
    </row>
    <row r="30" spans="1:12" ht="19.5" customHeight="1">
      <c r="A30" s="104"/>
      <c r="B30" s="99"/>
      <c r="C30" s="100"/>
      <c r="D30" s="69"/>
      <c r="E30" s="69"/>
      <c r="F30" s="69"/>
      <c r="G30" s="16"/>
      <c r="H30" s="70"/>
      <c r="I30" s="70"/>
      <c r="J30" s="70"/>
      <c r="K30" s="102" t="e">
        <f t="shared" si="0"/>
        <v>#DIV/0!</v>
      </c>
      <c r="L30" s="105"/>
    </row>
    <row r="31" spans="1:12" ht="19.5" customHeight="1">
      <c r="A31" s="98"/>
      <c r="B31" s="99"/>
      <c r="C31" s="100"/>
      <c r="D31" s="69"/>
      <c r="E31" s="69"/>
      <c r="F31" s="69"/>
      <c r="G31" s="16"/>
      <c r="H31" s="72"/>
      <c r="I31" s="72"/>
      <c r="J31" s="72"/>
      <c r="K31" s="102" t="e">
        <f t="shared" si="0"/>
        <v>#DIV/0!</v>
      </c>
      <c r="L31" s="103"/>
    </row>
    <row r="32" spans="1:12" ht="19.5" customHeight="1">
      <c r="A32" s="104"/>
      <c r="B32" s="99"/>
      <c r="C32" s="100"/>
      <c r="D32" s="69"/>
      <c r="E32" s="69"/>
      <c r="F32" s="69"/>
      <c r="G32" s="16"/>
      <c r="H32" s="70"/>
      <c r="I32" s="70"/>
      <c r="J32" s="70"/>
      <c r="K32" s="102" t="e">
        <f t="shared" si="0"/>
        <v>#DIV/0!</v>
      </c>
      <c r="L32" s="105"/>
    </row>
    <row r="33" spans="1:19" ht="19.5" customHeight="1">
      <c r="A33" s="104"/>
      <c r="B33" s="99"/>
      <c r="C33" s="100"/>
      <c r="D33" s="69"/>
      <c r="E33" s="69"/>
      <c r="F33" s="69"/>
      <c r="G33" s="16"/>
      <c r="H33" s="70"/>
      <c r="I33" s="70"/>
      <c r="J33" s="70"/>
      <c r="K33" s="102" t="e">
        <f t="shared" si="0"/>
        <v>#DIV/0!</v>
      </c>
      <c r="L33" s="103"/>
    </row>
    <row r="34" spans="1:19" ht="19.5" customHeight="1">
      <c r="A34" s="98"/>
      <c r="B34" s="99"/>
      <c r="C34" s="100"/>
      <c r="D34" s="69"/>
      <c r="E34" s="69"/>
      <c r="F34" s="69"/>
      <c r="G34" s="16"/>
      <c r="H34" s="72"/>
      <c r="I34" s="72"/>
      <c r="J34" s="72"/>
      <c r="K34" s="102" t="e">
        <f t="shared" si="0"/>
        <v>#DIV/0!</v>
      </c>
      <c r="L34" s="105"/>
    </row>
    <row r="35" spans="1:19" ht="19.5" customHeight="1">
      <c r="A35" s="104"/>
      <c r="B35" s="99"/>
      <c r="C35" s="100"/>
      <c r="D35" s="69"/>
      <c r="E35" s="69"/>
      <c r="F35" s="69"/>
      <c r="G35" s="16"/>
      <c r="H35" s="70"/>
      <c r="I35" s="70"/>
      <c r="J35" s="70"/>
      <c r="K35" s="102" t="e">
        <f t="shared" si="0"/>
        <v>#DIV/0!</v>
      </c>
      <c r="L35" s="103"/>
    </row>
    <row r="36" spans="1:19" ht="19.5" customHeight="1">
      <c r="A36" s="104"/>
      <c r="B36" s="99"/>
      <c r="C36" s="100"/>
      <c r="D36" s="69"/>
      <c r="E36" s="69"/>
      <c r="F36" s="69"/>
      <c r="G36" s="16"/>
      <c r="H36" s="70"/>
      <c r="I36" s="70"/>
      <c r="J36" s="70"/>
      <c r="K36" s="102" t="e">
        <f t="shared" si="0"/>
        <v>#DIV/0!</v>
      </c>
      <c r="L36" s="103"/>
    </row>
    <row r="37" spans="1:19" ht="19.5" customHeight="1">
      <c r="A37" s="98"/>
      <c r="B37" s="99"/>
      <c r="C37" s="100"/>
      <c r="D37" s="69"/>
      <c r="E37" s="69"/>
      <c r="F37" s="69"/>
      <c r="G37" s="16"/>
      <c r="H37" s="72"/>
      <c r="I37" s="72"/>
      <c r="J37" s="72"/>
      <c r="K37" s="102" t="e">
        <f t="shared" si="0"/>
        <v>#DIV/0!</v>
      </c>
      <c r="L37" s="105"/>
      <c r="P37" s="152"/>
      <c r="Q37" s="152"/>
      <c r="R37" s="152"/>
      <c r="S37" s="152"/>
    </row>
    <row r="38" spans="1:19" ht="19.5" customHeight="1" thickBot="1">
      <c r="A38" s="104"/>
      <c r="B38" s="99"/>
      <c r="C38" s="100"/>
      <c r="D38" s="106"/>
      <c r="E38" s="106"/>
      <c r="F38" s="106"/>
      <c r="G38" s="16"/>
      <c r="H38" s="70"/>
      <c r="I38" s="70"/>
      <c r="J38" s="70"/>
      <c r="K38" s="102" t="e">
        <f t="shared" si="0"/>
        <v>#DIV/0!</v>
      </c>
      <c r="L38" s="103"/>
    </row>
    <row r="39" spans="1:19" ht="16.5" customHeight="1">
      <c r="A39" s="133" t="s">
        <v>18</v>
      </c>
      <c r="B39" s="134"/>
      <c r="C39" s="135"/>
      <c r="D39" s="107" t="e">
        <f>AVERAGE(D9:D38)</f>
        <v>#DIV/0!</v>
      </c>
      <c r="E39" s="107" t="e">
        <f>AVERAGE(E9:E38)</f>
        <v>#DIV/0!</v>
      </c>
      <c r="F39" s="107" t="e">
        <f>AVERAGE(F9:F38)</f>
        <v>#DIV/0!</v>
      </c>
      <c r="G39" s="75" t="e">
        <f>AVERAGE(G9:G38)</f>
        <v>#DIV/0!</v>
      </c>
      <c r="H39" s="128" t="e">
        <f>AVERAGE(K9:K38)</f>
        <v>#DIV/0!</v>
      </c>
      <c r="I39" s="128"/>
      <c r="J39" s="128"/>
      <c r="K39" s="128"/>
      <c r="L39" s="108" t="e">
        <f>AVERAGE(L9:L38)</f>
        <v>#DIV/0!</v>
      </c>
    </row>
    <row r="40" spans="1:19" ht="16.5" customHeight="1">
      <c r="A40" s="136" t="s">
        <v>19</v>
      </c>
      <c r="B40" s="137"/>
      <c r="C40" s="138"/>
      <c r="D40" s="109">
        <f>MIN(D9:D38)</f>
        <v>0</v>
      </c>
      <c r="E40" s="109">
        <f>MIN(E9:E38)</f>
        <v>0</v>
      </c>
      <c r="F40" s="109">
        <f>MIN(F9:F38)</f>
        <v>0</v>
      </c>
      <c r="G40" s="78">
        <f>MIN(G9:G38)</f>
        <v>0</v>
      </c>
      <c r="H40" s="126" t="e">
        <f>MIN(K9:K38)</f>
        <v>#DIV/0!</v>
      </c>
      <c r="I40" s="126"/>
      <c r="J40" s="126"/>
      <c r="K40" s="126"/>
      <c r="L40" s="110">
        <f>MIN(L9:L38)</f>
        <v>0</v>
      </c>
    </row>
    <row r="41" spans="1:19" ht="16.5" customHeight="1" thickBot="1">
      <c r="A41" s="116" t="s">
        <v>20</v>
      </c>
      <c r="B41" s="117"/>
      <c r="C41" s="118"/>
      <c r="D41" s="111">
        <f>MAX(D9:D38)</f>
        <v>0</v>
      </c>
      <c r="E41" s="111">
        <f>MAX(E9:E38)</f>
        <v>0</v>
      </c>
      <c r="F41" s="111">
        <f>MAX(F9:F38)</f>
        <v>0</v>
      </c>
      <c r="G41" s="81">
        <f>MAX(G9:G38)</f>
        <v>0</v>
      </c>
      <c r="H41" s="127" t="e">
        <f>MAX(K9:K38)</f>
        <v>#DIV/0!</v>
      </c>
      <c r="I41" s="127"/>
      <c r="J41" s="127"/>
      <c r="K41" s="127"/>
      <c r="L41" s="112">
        <f>MAX(L9:L38)</f>
        <v>0</v>
      </c>
    </row>
    <row r="42" spans="1:19" s="51" customFormat="1" ht="15.75" customHeight="1">
      <c r="A42" s="83" t="s">
        <v>11</v>
      </c>
      <c r="B42" s="129"/>
      <c r="C42" s="129"/>
      <c r="D42" s="84" t="s">
        <v>13</v>
      </c>
      <c r="E42" s="84"/>
      <c r="F42" s="65"/>
      <c r="G42" s="153" t="s">
        <v>14</v>
      </c>
      <c r="H42" s="153"/>
      <c r="I42" s="130"/>
      <c r="J42" s="130"/>
      <c r="K42" s="130"/>
      <c r="L42" s="85" t="s">
        <v>15</v>
      </c>
    </row>
    <row r="43" spans="1:19" s="51" customFormat="1" ht="15.75" customHeight="1">
      <c r="A43" s="83"/>
      <c r="B43" s="131"/>
      <c r="C43" s="131"/>
      <c r="D43" s="86"/>
      <c r="E43" s="83"/>
      <c r="F43" s="65"/>
      <c r="G43" s="65"/>
      <c r="H43" s="87"/>
      <c r="I43" s="132" t="s">
        <v>120</v>
      </c>
      <c r="J43" s="132"/>
      <c r="K43" s="132"/>
    </row>
    <row r="44" spans="1:19" s="60" customFormat="1" ht="15.75" customHeight="1">
      <c r="A44" s="154" t="s">
        <v>12</v>
      </c>
      <c r="B44" s="154"/>
      <c r="C44" s="154"/>
      <c r="E44" s="54" t="s">
        <v>97</v>
      </c>
      <c r="F44" s="152" t="s">
        <v>98</v>
      </c>
      <c r="G44" s="152"/>
    </row>
    <row r="45" spans="1:19" s="51" customFormat="1" ht="15.75" customHeight="1">
      <c r="A45" s="155" t="s">
        <v>17</v>
      </c>
      <c r="B45" s="155"/>
      <c r="C45" s="85"/>
      <c r="D45" s="65"/>
      <c r="E45" s="65"/>
      <c r="F45" s="65"/>
      <c r="G45" s="65"/>
      <c r="H45" s="65"/>
      <c r="I45" s="65"/>
      <c r="J45" s="156" t="s">
        <v>89</v>
      </c>
      <c r="K45" s="156"/>
    </row>
    <row r="48" spans="1:19" ht="15.75" customHeight="1">
      <c r="B48" s="113"/>
    </row>
    <row r="52" spans="10:10" ht="15.75" customHeight="1">
      <c r="J52" s="114"/>
    </row>
    <row r="76" spans="3:12" ht="15.75" customHeight="1">
      <c r="C76" s="115"/>
      <c r="D76" s="115"/>
      <c r="G76" s="115"/>
      <c r="H76" s="115"/>
      <c r="I76" s="115"/>
      <c r="J76" s="115"/>
      <c r="K76" s="115"/>
      <c r="L76" s="115"/>
    </row>
    <row r="77" spans="3:12" ht="15.75" customHeight="1">
      <c r="C77" s="115"/>
      <c r="D77" s="115"/>
      <c r="E77" s="115"/>
      <c r="G77" s="115"/>
      <c r="H77" s="115"/>
      <c r="I77" s="115"/>
      <c r="J77" s="115"/>
      <c r="K77" s="115"/>
      <c r="L77" s="115"/>
    </row>
    <row r="78" spans="3:12" ht="15.75" customHeight="1">
      <c r="C78" s="115"/>
      <c r="D78" s="115"/>
      <c r="G78" s="115"/>
      <c r="H78" s="115"/>
      <c r="I78" s="115"/>
      <c r="J78" s="115"/>
      <c r="K78" s="115"/>
      <c r="L78" s="115"/>
    </row>
    <row r="79" spans="3:12" ht="15.75" customHeight="1">
      <c r="C79" s="115"/>
      <c r="D79" s="115"/>
    </row>
  </sheetData>
  <dataConsolidate/>
  <mergeCells count="47">
    <mergeCell ref="H6:K6"/>
    <mergeCell ref="P37:S37"/>
    <mergeCell ref="G42:H42"/>
    <mergeCell ref="A44:C44"/>
    <mergeCell ref="A45:B45"/>
    <mergeCell ref="J45:K45"/>
    <mergeCell ref="F44:G44"/>
    <mergeCell ref="N13:O13"/>
    <mergeCell ref="H7:K7"/>
    <mergeCell ref="D7:D8"/>
    <mergeCell ref="L7:L8"/>
    <mergeCell ref="E7:E8"/>
    <mergeCell ref="G7:G8"/>
    <mergeCell ref="F7:F8"/>
    <mergeCell ref="A1:J1"/>
    <mergeCell ref="A2:J3"/>
    <mergeCell ref="C4:D4"/>
    <mergeCell ref="C5:D5"/>
    <mergeCell ref="A4:B4"/>
    <mergeCell ref="A5:B5"/>
    <mergeCell ref="H4:I4"/>
    <mergeCell ref="H5:I5"/>
    <mergeCell ref="J4:K4"/>
    <mergeCell ref="J5:K5"/>
    <mergeCell ref="C79:D79"/>
    <mergeCell ref="G76:H76"/>
    <mergeCell ref="H40:K40"/>
    <mergeCell ref="H41:K41"/>
    <mergeCell ref="H39:K39"/>
    <mergeCell ref="I76:L76"/>
    <mergeCell ref="I77:L77"/>
    <mergeCell ref="B42:C42"/>
    <mergeCell ref="I42:K42"/>
    <mergeCell ref="B43:C43"/>
    <mergeCell ref="I43:K43"/>
    <mergeCell ref="A39:C39"/>
    <mergeCell ref="A40:C40"/>
    <mergeCell ref="I78:L78"/>
    <mergeCell ref="G77:H77"/>
    <mergeCell ref="G78:H78"/>
    <mergeCell ref="C76:D76"/>
    <mergeCell ref="C77:E77"/>
    <mergeCell ref="C78:D78"/>
    <mergeCell ref="A41:C41"/>
    <mergeCell ref="A6:C6"/>
    <mergeCell ref="E6:F6"/>
    <mergeCell ref="A7:C8"/>
  </mergeCells>
  <phoneticPr fontId="10" type="noConversion"/>
  <conditionalFormatting sqref="D9:D41">
    <cfRule type="cellIs" dxfId="15" priority="2" operator="notBetween">
      <formula>15.7</formula>
      <formula>20.3</formula>
    </cfRule>
  </conditionalFormatting>
  <conditionalFormatting sqref="E9:E41">
    <cfRule type="cellIs" dxfId="14" priority="6" operator="notBetween">
      <formula>0.3</formula>
      <formula>0.5</formula>
    </cfRule>
  </conditionalFormatting>
  <conditionalFormatting sqref="F9:F41">
    <cfRule type="cellIs" dxfId="13" priority="5" operator="notBetween">
      <formula>0.1</formula>
      <formula>0.35</formula>
    </cfRule>
  </conditionalFormatting>
  <conditionalFormatting sqref="G9:G41">
    <cfRule type="cellIs" dxfId="12" priority="4" operator="notBetween">
      <formula>57</formula>
      <formula>63</formula>
    </cfRule>
  </conditionalFormatting>
  <conditionalFormatting sqref="H9:K41">
    <cfRule type="cellIs" dxfId="11" priority="3" operator="notBetween">
      <formula>18.2</formula>
      <formula>31.2</formula>
    </cfRule>
  </conditionalFormatting>
  <conditionalFormatting sqref="L9:L41">
    <cfRule type="cellIs" dxfId="10" priority="1" operator="greaterThan">
      <formula>10</formula>
    </cfRule>
  </conditionalFormatting>
  <pageMargins left="1.5748031496062993" right="0" top="0.39370078740157483" bottom="0" header="0" footer="0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view="pageBreakPreview" zoomScaleNormal="100" zoomScaleSheetLayoutView="100" workbookViewId="0">
      <selection activeCell="J13" sqref="J13"/>
    </sheetView>
  </sheetViews>
  <sheetFormatPr defaultRowHeight="15"/>
  <cols>
    <col min="1" max="3" width="12.85546875" style="65" customWidth="1"/>
    <col min="4" max="11" width="21.42578125" style="65" customWidth="1"/>
    <col min="12" max="16384" width="9.140625" style="65"/>
  </cols>
  <sheetData>
    <row r="1" spans="1:11" s="51" customFormat="1" ht="15.75" customHeight="1">
      <c r="A1" s="139" t="s">
        <v>9</v>
      </c>
      <c r="B1" s="139"/>
      <c r="C1" s="139"/>
      <c r="D1" s="139"/>
      <c r="E1" s="139"/>
      <c r="F1" s="139"/>
      <c r="G1" s="139"/>
      <c r="H1" s="139"/>
      <c r="I1" s="139"/>
      <c r="J1" s="49"/>
      <c r="K1" s="50" t="s">
        <v>21</v>
      </c>
    </row>
    <row r="2" spans="1:11" s="51" customFormat="1" ht="15" customHeight="1">
      <c r="A2" s="140" t="s">
        <v>10</v>
      </c>
      <c r="B2" s="140"/>
      <c r="C2" s="140"/>
      <c r="D2" s="140"/>
      <c r="E2" s="140"/>
      <c r="F2" s="140"/>
      <c r="G2" s="140"/>
      <c r="H2" s="140"/>
      <c r="I2" s="140"/>
      <c r="J2" s="52"/>
      <c r="K2" s="53" t="s">
        <v>22</v>
      </c>
    </row>
    <row r="3" spans="1:11" s="51" customFormat="1" ht="18.75" customHeight="1" thickBot="1">
      <c r="A3" s="141"/>
      <c r="B3" s="141"/>
      <c r="C3" s="141"/>
      <c r="D3" s="141"/>
      <c r="E3" s="141"/>
      <c r="F3" s="141"/>
      <c r="G3" s="141"/>
      <c r="H3" s="141"/>
      <c r="I3" s="141"/>
      <c r="J3" s="54" t="s">
        <v>16</v>
      </c>
      <c r="K3" s="55"/>
    </row>
    <row r="4" spans="1:11" s="60" customFormat="1" ht="23.25" customHeight="1">
      <c r="A4" s="165" t="s">
        <v>1</v>
      </c>
      <c r="B4" s="166"/>
      <c r="C4" s="167">
        <f>Page1!C4</f>
        <v>0</v>
      </c>
      <c r="D4" s="168"/>
      <c r="E4" s="56" t="s">
        <v>3</v>
      </c>
      <c r="F4" s="57">
        <f>Page1!F4</f>
        <v>0</v>
      </c>
      <c r="G4" s="58" t="s">
        <v>5</v>
      </c>
      <c r="H4" s="59">
        <f>Page1!H4</f>
        <v>0</v>
      </c>
      <c r="I4" s="58" t="s">
        <v>7</v>
      </c>
      <c r="J4" s="162">
        <f>Page1!L4</f>
        <v>0</v>
      </c>
      <c r="K4" s="163"/>
    </row>
    <row r="5" spans="1:11" s="60" customFormat="1" ht="23.25" customHeight="1" thickBot="1">
      <c r="A5" s="172" t="s">
        <v>2</v>
      </c>
      <c r="B5" s="173"/>
      <c r="C5" s="174">
        <f>Page1!C5</f>
        <v>0</v>
      </c>
      <c r="D5" s="175"/>
      <c r="E5" s="61" t="s">
        <v>4</v>
      </c>
      <c r="F5" s="62">
        <f>Page1!F5</f>
        <v>0</v>
      </c>
      <c r="G5" s="63" t="s">
        <v>6</v>
      </c>
      <c r="H5" s="64" t="str">
        <f>Page1!H5</f>
        <v/>
      </c>
      <c r="I5" s="63" t="s">
        <v>8</v>
      </c>
      <c r="J5" s="169">
        <f>Page1!L5</f>
        <v>0</v>
      </c>
      <c r="K5" s="170"/>
    </row>
    <row r="6" spans="1:11" ht="15.75" customHeight="1" thickBot="1">
      <c r="A6" s="176" t="s">
        <v>87</v>
      </c>
      <c r="B6" s="177"/>
      <c r="C6" s="177"/>
      <c r="D6" s="164" t="s">
        <v>121</v>
      </c>
      <c r="E6" s="164"/>
      <c r="F6" s="164"/>
      <c r="G6" s="164"/>
      <c r="H6" s="164" t="s">
        <v>122</v>
      </c>
      <c r="I6" s="164"/>
      <c r="J6" s="164"/>
      <c r="K6" s="171"/>
    </row>
    <row r="7" spans="1:11" s="68" customFormat="1" ht="61.5" customHeight="1">
      <c r="A7" s="122" t="s">
        <v>0</v>
      </c>
      <c r="B7" s="123"/>
      <c r="C7" s="123"/>
      <c r="D7" s="66" t="s">
        <v>23</v>
      </c>
      <c r="E7" s="66" t="s">
        <v>26</v>
      </c>
      <c r="F7" s="66" t="s">
        <v>24</v>
      </c>
      <c r="G7" s="66" t="s">
        <v>27</v>
      </c>
      <c r="H7" s="66" t="s">
        <v>93</v>
      </c>
      <c r="I7" s="66" t="s">
        <v>94</v>
      </c>
      <c r="J7" s="66" t="s">
        <v>95</v>
      </c>
      <c r="K7" s="67" t="s">
        <v>96</v>
      </c>
    </row>
    <row r="8" spans="1:11" ht="18.95" customHeight="1">
      <c r="A8" s="13">
        <f>Page1!A9</f>
        <v>0</v>
      </c>
      <c r="B8" s="14">
        <f>Page1!B9</f>
        <v>0</v>
      </c>
      <c r="C8" s="15">
        <f>Page1!C9</f>
        <v>0</v>
      </c>
      <c r="D8" s="69"/>
      <c r="E8" s="69"/>
      <c r="F8" s="69"/>
      <c r="G8" s="69"/>
      <c r="H8" s="16"/>
      <c r="I8" s="70"/>
      <c r="J8" s="70"/>
      <c r="K8" s="71"/>
    </row>
    <row r="9" spans="1:11" ht="18.95" customHeight="1">
      <c r="A9" s="13">
        <f>Page1!A10</f>
        <v>0</v>
      </c>
      <c r="B9" s="14">
        <f>Page1!B10</f>
        <v>0</v>
      </c>
      <c r="C9" s="15">
        <f>Page1!C10</f>
        <v>0</v>
      </c>
      <c r="D9" s="69"/>
      <c r="E9" s="69"/>
      <c r="F9" s="69"/>
      <c r="G9" s="69"/>
      <c r="H9" s="16"/>
      <c r="I9" s="72"/>
      <c r="J9" s="72"/>
      <c r="K9" s="73"/>
    </row>
    <row r="10" spans="1:11" ht="18.95" customHeight="1">
      <c r="A10" s="13">
        <f>Page1!A11</f>
        <v>0</v>
      </c>
      <c r="B10" s="14">
        <f>Page1!B11</f>
        <v>0</v>
      </c>
      <c r="C10" s="15">
        <f>Page1!C11</f>
        <v>0</v>
      </c>
      <c r="D10" s="69"/>
      <c r="E10" s="69"/>
      <c r="F10" s="69"/>
      <c r="G10" s="69"/>
      <c r="H10" s="16"/>
      <c r="I10" s="70"/>
      <c r="J10" s="70"/>
      <c r="K10" s="71"/>
    </row>
    <row r="11" spans="1:11" ht="18.95" customHeight="1">
      <c r="A11" s="13">
        <f>Page1!A12</f>
        <v>0</v>
      </c>
      <c r="B11" s="14">
        <f>Page1!B12</f>
        <v>0</v>
      </c>
      <c r="C11" s="15">
        <f>Page1!C12</f>
        <v>0</v>
      </c>
      <c r="D11" s="69"/>
      <c r="E11" s="69"/>
      <c r="F11" s="69"/>
      <c r="G11" s="69"/>
      <c r="H11" s="16"/>
      <c r="I11" s="72"/>
      <c r="J11" s="72"/>
      <c r="K11" s="73"/>
    </row>
    <row r="12" spans="1:11" ht="18.95" customHeight="1">
      <c r="A12" s="13">
        <f>Page1!A13</f>
        <v>0</v>
      </c>
      <c r="B12" s="14">
        <f>Page1!B13</f>
        <v>0</v>
      </c>
      <c r="C12" s="15">
        <f>Page1!C13</f>
        <v>0</v>
      </c>
      <c r="D12" s="69"/>
      <c r="E12" s="69"/>
      <c r="F12" s="69"/>
      <c r="G12" s="69"/>
      <c r="H12" s="16"/>
      <c r="I12" s="70"/>
      <c r="J12" s="70"/>
      <c r="K12" s="71"/>
    </row>
    <row r="13" spans="1:11" ht="18.95" customHeight="1">
      <c r="A13" s="13">
        <f>Page1!A14</f>
        <v>0</v>
      </c>
      <c r="B13" s="14">
        <f>Page1!B14</f>
        <v>0</v>
      </c>
      <c r="C13" s="15">
        <f>Page1!C14</f>
        <v>0</v>
      </c>
      <c r="D13" s="69"/>
      <c r="E13" s="69"/>
      <c r="F13" s="69"/>
      <c r="G13" s="69"/>
      <c r="H13" s="16"/>
      <c r="I13" s="72"/>
      <c r="J13" s="72"/>
      <c r="K13" s="73"/>
    </row>
    <row r="14" spans="1:11" ht="18.95" customHeight="1">
      <c r="A14" s="13">
        <f>Page1!A15</f>
        <v>0</v>
      </c>
      <c r="B14" s="14">
        <f>Page1!B15</f>
        <v>0</v>
      </c>
      <c r="C14" s="15">
        <f>Page1!C15</f>
        <v>0</v>
      </c>
      <c r="D14" s="69"/>
      <c r="E14" s="69"/>
      <c r="F14" s="69"/>
      <c r="G14" s="69"/>
      <c r="H14" s="16"/>
      <c r="I14" s="70"/>
      <c r="J14" s="70"/>
      <c r="K14" s="71"/>
    </row>
    <row r="15" spans="1:11" ht="18.95" customHeight="1">
      <c r="A15" s="13">
        <f>Page1!A16</f>
        <v>0</v>
      </c>
      <c r="B15" s="14">
        <f>Page1!B16</f>
        <v>0</v>
      </c>
      <c r="C15" s="15">
        <f>Page1!C16</f>
        <v>0</v>
      </c>
      <c r="D15" s="69"/>
      <c r="E15" s="69"/>
      <c r="F15" s="69"/>
      <c r="G15" s="69"/>
      <c r="H15" s="16"/>
      <c r="I15" s="70"/>
      <c r="J15" s="70"/>
      <c r="K15" s="71"/>
    </row>
    <row r="16" spans="1:11" ht="18.95" customHeight="1">
      <c r="A16" s="13">
        <f>Page1!A17</f>
        <v>0</v>
      </c>
      <c r="B16" s="14">
        <f>Page1!B17</f>
        <v>0</v>
      </c>
      <c r="C16" s="15">
        <f>Page1!C17</f>
        <v>0</v>
      </c>
      <c r="D16" s="69"/>
      <c r="E16" s="69"/>
      <c r="F16" s="69"/>
      <c r="G16" s="69"/>
      <c r="H16" s="16"/>
      <c r="I16" s="72"/>
      <c r="J16" s="72"/>
      <c r="K16" s="73"/>
    </row>
    <row r="17" spans="1:11" ht="18.95" customHeight="1">
      <c r="A17" s="13">
        <f>Page1!A18</f>
        <v>0</v>
      </c>
      <c r="B17" s="14">
        <f>Page1!B18</f>
        <v>0</v>
      </c>
      <c r="C17" s="15">
        <f>Page1!C18</f>
        <v>0</v>
      </c>
      <c r="D17" s="69"/>
      <c r="E17" s="69"/>
      <c r="F17" s="69"/>
      <c r="G17" s="69"/>
      <c r="H17" s="16"/>
      <c r="I17" s="70"/>
      <c r="J17" s="70"/>
      <c r="K17" s="71"/>
    </row>
    <row r="18" spans="1:11" ht="18.95" customHeight="1">
      <c r="A18" s="13">
        <f>Page1!A19</f>
        <v>0</v>
      </c>
      <c r="B18" s="14">
        <f>Page1!B19</f>
        <v>0</v>
      </c>
      <c r="C18" s="15">
        <f>Page1!C19</f>
        <v>0</v>
      </c>
      <c r="D18" s="69"/>
      <c r="E18" s="69"/>
      <c r="F18" s="69"/>
      <c r="G18" s="69"/>
      <c r="H18" s="16"/>
      <c r="I18" s="72"/>
      <c r="J18" s="72"/>
      <c r="K18" s="73"/>
    </row>
    <row r="19" spans="1:11" ht="18.95" customHeight="1">
      <c r="A19" s="13">
        <f>Page1!A20</f>
        <v>0</v>
      </c>
      <c r="B19" s="14">
        <f>Page1!B20</f>
        <v>0</v>
      </c>
      <c r="C19" s="15">
        <f>Page1!C20</f>
        <v>0</v>
      </c>
      <c r="D19" s="69"/>
      <c r="E19" s="69"/>
      <c r="F19" s="69"/>
      <c r="G19" s="69"/>
      <c r="H19" s="16"/>
      <c r="I19" s="70"/>
      <c r="J19" s="70"/>
      <c r="K19" s="71"/>
    </row>
    <row r="20" spans="1:11" ht="18.95" customHeight="1">
      <c r="A20" s="13">
        <f>Page1!A21</f>
        <v>0</v>
      </c>
      <c r="B20" s="14">
        <f>Page1!B21</f>
        <v>0</v>
      </c>
      <c r="C20" s="15">
        <f>Page1!C21</f>
        <v>0</v>
      </c>
      <c r="D20" s="69"/>
      <c r="E20" s="69"/>
      <c r="F20" s="69"/>
      <c r="G20" s="69"/>
      <c r="H20" s="16"/>
      <c r="I20" s="72"/>
      <c r="J20" s="72"/>
      <c r="K20" s="73"/>
    </row>
    <row r="21" spans="1:11" ht="18.95" customHeight="1">
      <c r="A21" s="13">
        <f>Page1!A22</f>
        <v>0</v>
      </c>
      <c r="B21" s="14">
        <f>Page1!B22</f>
        <v>0</v>
      </c>
      <c r="C21" s="15">
        <f>Page1!C22</f>
        <v>0</v>
      </c>
      <c r="D21" s="69"/>
      <c r="E21" s="69"/>
      <c r="F21" s="69"/>
      <c r="G21" s="69"/>
      <c r="H21" s="16"/>
      <c r="I21" s="70"/>
      <c r="J21" s="70"/>
      <c r="K21" s="71"/>
    </row>
    <row r="22" spans="1:11" ht="18.95" customHeight="1">
      <c r="A22" s="13">
        <f>Page1!A23</f>
        <v>0</v>
      </c>
      <c r="B22" s="14">
        <f>Page1!B23</f>
        <v>0</v>
      </c>
      <c r="C22" s="15">
        <f>Page1!C23</f>
        <v>0</v>
      </c>
      <c r="D22" s="69"/>
      <c r="E22" s="69"/>
      <c r="F22" s="69"/>
      <c r="G22" s="69"/>
      <c r="H22" s="16"/>
      <c r="I22" s="72"/>
      <c r="J22" s="72"/>
      <c r="K22" s="73"/>
    </row>
    <row r="23" spans="1:11" ht="18.95" customHeight="1">
      <c r="A23" s="13">
        <f>Page1!A24</f>
        <v>0</v>
      </c>
      <c r="B23" s="14">
        <f>Page1!B24</f>
        <v>0</v>
      </c>
      <c r="C23" s="15">
        <f>Page1!C24</f>
        <v>0</v>
      </c>
      <c r="D23" s="69"/>
      <c r="E23" s="69"/>
      <c r="F23" s="69"/>
      <c r="G23" s="69"/>
      <c r="H23" s="16"/>
      <c r="I23" s="70"/>
      <c r="J23" s="70"/>
      <c r="K23" s="71"/>
    </row>
    <row r="24" spans="1:11" ht="18.95" customHeight="1">
      <c r="A24" s="13">
        <f>Page1!A25</f>
        <v>0</v>
      </c>
      <c r="B24" s="14">
        <f>Page1!B25</f>
        <v>0</v>
      </c>
      <c r="C24" s="15">
        <f>Page1!C25</f>
        <v>0</v>
      </c>
      <c r="D24" s="69"/>
      <c r="E24" s="69"/>
      <c r="F24" s="69"/>
      <c r="G24" s="69"/>
      <c r="H24" s="16"/>
      <c r="I24" s="72"/>
      <c r="J24" s="72"/>
      <c r="K24" s="73"/>
    </row>
    <row r="25" spans="1:11" ht="18.95" customHeight="1">
      <c r="A25" s="13">
        <f>Page1!A26</f>
        <v>0</v>
      </c>
      <c r="B25" s="14">
        <f>Page1!B26</f>
        <v>0</v>
      </c>
      <c r="C25" s="15">
        <f>Page1!C26</f>
        <v>0</v>
      </c>
      <c r="D25" s="69"/>
      <c r="E25" s="69"/>
      <c r="F25" s="69"/>
      <c r="G25" s="69"/>
      <c r="H25" s="16"/>
      <c r="I25" s="70"/>
      <c r="J25" s="70"/>
      <c r="K25" s="71"/>
    </row>
    <row r="26" spans="1:11" ht="18.95" customHeight="1">
      <c r="A26" s="13">
        <f>Page1!A27</f>
        <v>0</v>
      </c>
      <c r="B26" s="14">
        <f>Page1!B27</f>
        <v>0</v>
      </c>
      <c r="C26" s="15">
        <f>Page1!C27</f>
        <v>0</v>
      </c>
      <c r="D26" s="69"/>
      <c r="E26" s="69"/>
      <c r="F26" s="69"/>
      <c r="G26" s="69"/>
      <c r="H26" s="16"/>
      <c r="I26" s="72"/>
      <c r="J26" s="72"/>
      <c r="K26" s="73"/>
    </row>
    <row r="27" spans="1:11" ht="18.95" customHeight="1">
      <c r="A27" s="13">
        <f>Page1!A28</f>
        <v>0</v>
      </c>
      <c r="B27" s="14">
        <f>Page1!B28</f>
        <v>0</v>
      </c>
      <c r="C27" s="15">
        <f>Page1!C28</f>
        <v>0</v>
      </c>
      <c r="D27" s="69"/>
      <c r="E27" s="69"/>
      <c r="F27" s="69"/>
      <c r="G27" s="69"/>
      <c r="H27" s="16"/>
      <c r="I27" s="70"/>
      <c r="J27" s="70"/>
      <c r="K27" s="71"/>
    </row>
    <row r="28" spans="1:11" ht="18.95" customHeight="1">
      <c r="A28" s="13">
        <f>Page1!A29</f>
        <v>0</v>
      </c>
      <c r="B28" s="14">
        <f>Page1!B29</f>
        <v>0</v>
      </c>
      <c r="C28" s="15">
        <f>Page1!C29</f>
        <v>0</v>
      </c>
      <c r="D28" s="69"/>
      <c r="E28" s="69"/>
      <c r="F28" s="69"/>
      <c r="G28" s="69"/>
      <c r="H28" s="16"/>
      <c r="I28" s="72"/>
      <c r="J28" s="72"/>
      <c r="K28" s="73"/>
    </row>
    <row r="29" spans="1:11" ht="18.95" customHeight="1">
      <c r="A29" s="13">
        <f>Page1!A30</f>
        <v>0</v>
      </c>
      <c r="B29" s="14">
        <f>Page1!B30</f>
        <v>0</v>
      </c>
      <c r="C29" s="15">
        <f>Page1!C30</f>
        <v>0</v>
      </c>
      <c r="D29" s="69"/>
      <c r="E29" s="69"/>
      <c r="F29" s="69"/>
      <c r="G29" s="69"/>
      <c r="H29" s="16"/>
      <c r="I29" s="70"/>
      <c r="J29" s="70"/>
      <c r="K29" s="71"/>
    </row>
    <row r="30" spans="1:11" ht="18.95" customHeight="1">
      <c r="A30" s="13">
        <f>Page1!A31</f>
        <v>0</v>
      </c>
      <c r="B30" s="14">
        <f>Page1!B31</f>
        <v>0</v>
      </c>
      <c r="C30" s="15">
        <f>Page1!C31</f>
        <v>0</v>
      </c>
      <c r="D30" s="69"/>
      <c r="E30" s="69"/>
      <c r="F30" s="69"/>
      <c r="G30" s="69"/>
      <c r="H30" s="16"/>
      <c r="I30" s="72"/>
      <c r="J30" s="72"/>
      <c r="K30" s="73"/>
    </row>
    <row r="31" spans="1:11" ht="18.95" customHeight="1">
      <c r="A31" s="13">
        <f>Page1!A32</f>
        <v>0</v>
      </c>
      <c r="B31" s="14">
        <f>Page1!B32</f>
        <v>0</v>
      </c>
      <c r="C31" s="15">
        <f>Page1!C32</f>
        <v>0</v>
      </c>
      <c r="D31" s="69"/>
      <c r="E31" s="69"/>
      <c r="F31" s="69"/>
      <c r="G31" s="69"/>
      <c r="H31" s="16"/>
      <c r="I31" s="70"/>
      <c r="J31" s="70"/>
      <c r="K31" s="71"/>
    </row>
    <row r="32" spans="1:11" ht="18.95" customHeight="1">
      <c r="A32" s="13">
        <f>Page1!A33</f>
        <v>0</v>
      </c>
      <c r="B32" s="14">
        <f>Page1!B33</f>
        <v>0</v>
      </c>
      <c r="C32" s="15">
        <f>Page1!C33</f>
        <v>0</v>
      </c>
      <c r="D32" s="69"/>
      <c r="E32" s="69"/>
      <c r="F32" s="69"/>
      <c r="G32" s="69"/>
      <c r="H32" s="16"/>
      <c r="I32" s="70"/>
      <c r="J32" s="70"/>
      <c r="K32" s="71"/>
    </row>
    <row r="33" spans="1:11" ht="18.95" customHeight="1">
      <c r="A33" s="13">
        <f>Page1!A34</f>
        <v>0</v>
      </c>
      <c r="B33" s="14">
        <f>Page1!B34</f>
        <v>0</v>
      </c>
      <c r="C33" s="15">
        <f>Page1!C34</f>
        <v>0</v>
      </c>
      <c r="D33" s="69"/>
      <c r="E33" s="69"/>
      <c r="F33" s="69"/>
      <c r="G33" s="69"/>
      <c r="H33" s="16"/>
      <c r="I33" s="72"/>
      <c r="J33" s="72"/>
      <c r="K33" s="73"/>
    </row>
    <row r="34" spans="1:11" ht="18.95" customHeight="1">
      <c r="A34" s="13">
        <f>Page1!A35</f>
        <v>0</v>
      </c>
      <c r="B34" s="14">
        <f>Page1!B35</f>
        <v>0</v>
      </c>
      <c r="C34" s="15">
        <f>Page1!C35</f>
        <v>0</v>
      </c>
      <c r="D34" s="69"/>
      <c r="E34" s="69"/>
      <c r="F34" s="69"/>
      <c r="G34" s="69"/>
      <c r="H34" s="16"/>
      <c r="I34" s="70"/>
      <c r="J34" s="70"/>
      <c r="K34" s="71"/>
    </row>
    <row r="35" spans="1:11" ht="18.95" customHeight="1">
      <c r="A35" s="13">
        <f>Page1!A36</f>
        <v>0</v>
      </c>
      <c r="B35" s="14">
        <f>Page1!B36</f>
        <v>0</v>
      </c>
      <c r="C35" s="15">
        <f>Page1!C36</f>
        <v>0</v>
      </c>
      <c r="D35" s="69"/>
      <c r="E35" s="69"/>
      <c r="F35" s="69"/>
      <c r="G35" s="69"/>
      <c r="H35" s="16"/>
      <c r="I35" s="70"/>
      <c r="J35" s="70"/>
      <c r="K35" s="71"/>
    </row>
    <row r="36" spans="1:11" ht="18.95" customHeight="1">
      <c r="A36" s="13">
        <f>Page1!A37</f>
        <v>0</v>
      </c>
      <c r="B36" s="14">
        <f>Page1!B37</f>
        <v>0</v>
      </c>
      <c r="C36" s="15">
        <f>Page1!C37</f>
        <v>0</v>
      </c>
      <c r="D36" s="69"/>
      <c r="E36" s="69"/>
      <c r="F36" s="69"/>
      <c r="G36" s="69"/>
      <c r="H36" s="16"/>
      <c r="I36" s="72"/>
      <c r="J36" s="72"/>
      <c r="K36" s="73"/>
    </row>
    <row r="37" spans="1:11" ht="18.95" customHeight="1" thickBot="1">
      <c r="A37" s="17">
        <f>Page1!A38</f>
        <v>0</v>
      </c>
      <c r="B37" s="14">
        <f>Page1!B38</f>
        <v>0</v>
      </c>
      <c r="C37" s="18">
        <f>Page1!C38</f>
        <v>0</v>
      </c>
      <c r="D37" s="69"/>
      <c r="E37" s="69"/>
      <c r="F37" s="69"/>
      <c r="G37" s="69"/>
      <c r="H37" s="16"/>
      <c r="I37" s="70"/>
      <c r="J37" s="70"/>
      <c r="K37" s="71"/>
    </row>
    <row r="38" spans="1:11" ht="16.5" customHeight="1">
      <c r="A38" s="133" t="s">
        <v>18</v>
      </c>
      <c r="B38" s="134"/>
      <c r="C38" s="135"/>
      <c r="D38" s="74" t="e">
        <f t="shared" ref="D38:K38" si="0">AVERAGE(D8:D37)</f>
        <v>#DIV/0!</v>
      </c>
      <c r="E38" s="74" t="e">
        <f t="shared" si="0"/>
        <v>#DIV/0!</v>
      </c>
      <c r="F38" s="74" t="e">
        <f t="shared" si="0"/>
        <v>#DIV/0!</v>
      </c>
      <c r="G38" s="74" t="e">
        <f t="shared" si="0"/>
        <v>#DIV/0!</v>
      </c>
      <c r="H38" s="75" t="e">
        <f t="shared" si="0"/>
        <v>#DIV/0!</v>
      </c>
      <c r="I38" s="75" t="e">
        <f t="shared" si="0"/>
        <v>#DIV/0!</v>
      </c>
      <c r="J38" s="75" t="e">
        <f t="shared" si="0"/>
        <v>#DIV/0!</v>
      </c>
      <c r="K38" s="76" t="e">
        <f t="shared" si="0"/>
        <v>#DIV/0!</v>
      </c>
    </row>
    <row r="39" spans="1:11" ht="16.5" customHeight="1">
      <c r="A39" s="136" t="s">
        <v>19</v>
      </c>
      <c r="B39" s="137"/>
      <c r="C39" s="138"/>
      <c r="D39" s="77">
        <f t="shared" ref="D39:K39" si="1">MIN(D8:D37)</f>
        <v>0</v>
      </c>
      <c r="E39" s="77">
        <f t="shared" si="1"/>
        <v>0</v>
      </c>
      <c r="F39" s="77">
        <f t="shared" si="1"/>
        <v>0</v>
      </c>
      <c r="G39" s="77">
        <f t="shared" si="1"/>
        <v>0</v>
      </c>
      <c r="H39" s="78">
        <f t="shared" si="1"/>
        <v>0</v>
      </c>
      <c r="I39" s="78">
        <f t="shared" si="1"/>
        <v>0</v>
      </c>
      <c r="J39" s="78">
        <f t="shared" si="1"/>
        <v>0</v>
      </c>
      <c r="K39" s="79">
        <f t="shared" si="1"/>
        <v>0</v>
      </c>
    </row>
    <row r="40" spans="1:11" ht="16.5" customHeight="1" thickBot="1">
      <c r="A40" s="116" t="s">
        <v>20</v>
      </c>
      <c r="B40" s="117"/>
      <c r="C40" s="118"/>
      <c r="D40" s="80">
        <f t="shared" ref="D40:K40" si="2">MAX(D8:D37)</f>
        <v>0</v>
      </c>
      <c r="E40" s="80">
        <f t="shared" si="2"/>
        <v>0</v>
      </c>
      <c r="F40" s="80">
        <f t="shared" si="2"/>
        <v>0</v>
      </c>
      <c r="G40" s="80">
        <f t="shared" si="2"/>
        <v>0</v>
      </c>
      <c r="H40" s="81">
        <f t="shared" si="2"/>
        <v>0</v>
      </c>
      <c r="I40" s="81">
        <f t="shared" si="2"/>
        <v>0</v>
      </c>
      <c r="J40" s="81">
        <f t="shared" si="2"/>
        <v>0</v>
      </c>
      <c r="K40" s="82">
        <f t="shared" si="2"/>
        <v>0</v>
      </c>
    </row>
    <row r="41" spans="1:11" s="51" customFormat="1" ht="15.75" customHeight="1">
      <c r="A41" s="83" t="s">
        <v>11</v>
      </c>
      <c r="B41" s="129"/>
      <c r="C41" s="129"/>
      <c r="D41" s="84" t="s">
        <v>13</v>
      </c>
      <c r="E41" s="84"/>
      <c r="F41" s="65"/>
      <c r="G41" s="153" t="s">
        <v>14</v>
      </c>
      <c r="H41" s="153"/>
      <c r="I41" s="130"/>
      <c r="J41" s="130"/>
      <c r="K41" s="85" t="s">
        <v>15</v>
      </c>
    </row>
    <row r="42" spans="1:11" s="51" customFormat="1" ht="15.75" customHeight="1">
      <c r="A42" s="83"/>
      <c r="B42" s="131"/>
      <c r="C42" s="131"/>
      <c r="D42" s="86"/>
      <c r="E42" s="83"/>
      <c r="F42" s="65"/>
      <c r="G42" s="65"/>
      <c r="H42" s="87"/>
      <c r="I42" s="132" t="s">
        <v>120</v>
      </c>
      <c r="J42" s="132"/>
      <c r="K42" s="88"/>
    </row>
    <row r="43" spans="1:11" s="60" customFormat="1" ht="15.75" customHeight="1">
      <c r="A43" s="154" t="s">
        <v>12</v>
      </c>
      <c r="B43" s="154"/>
      <c r="C43" s="154"/>
      <c r="E43" s="54" t="s">
        <v>97</v>
      </c>
      <c r="F43" s="152" t="s">
        <v>98</v>
      </c>
      <c r="G43" s="152"/>
    </row>
    <row r="44" spans="1:11" s="51" customFormat="1" ht="15.75" customHeight="1">
      <c r="A44" s="155" t="s">
        <v>17</v>
      </c>
      <c r="B44" s="155"/>
      <c r="C44" s="85"/>
      <c r="D44" s="65"/>
      <c r="E44" s="65"/>
      <c r="F44" s="65"/>
      <c r="G44" s="65"/>
      <c r="H44" s="65"/>
      <c r="I44" s="65"/>
      <c r="J44" s="156" t="s">
        <v>90</v>
      </c>
      <c r="K44" s="156"/>
    </row>
  </sheetData>
  <mergeCells count="24">
    <mergeCell ref="A43:C43"/>
    <mergeCell ref="A44:B44"/>
    <mergeCell ref="J44:K44"/>
    <mergeCell ref="F43:G43"/>
    <mergeCell ref="J5:K5"/>
    <mergeCell ref="H6:K6"/>
    <mergeCell ref="B41:C41"/>
    <mergeCell ref="I41:J41"/>
    <mergeCell ref="B42:C42"/>
    <mergeCell ref="I42:J42"/>
    <mergeCell ref="A5:B5"/>
    <mergeCell ref="C5:D5"/>
    <mergeCell ref="A6:C6"/>
    <mergeCell ref="A7:C7"/>
    <mergeCell ref="A38:C38"/>
    <mergeCell ref="A39:C39"/>
    <mergeCell ref="J4:K4"/>
    <mergeCell ref="A40:C40"/>
    <mergeCell ref="D6:G6"/>
    <mergeCell ref="G41:H41"/>
    <mergeCell ref="A1:I1"/>
    <mergeCell ref="A2:I3"/>
    <mergeCell ref="A4:B4"/>
    <mergeCell ref="C4:D4"/>
  </mergeCells>
  <conditionalFormatting sqref="D8:D40">
    <cfRule type="cellIs" dxfId="9" priority="8" operator="lessThan">
      <formula>1.77</formula>
    </cfRule>
  </conditionalFormatting>
  <conditionalFormatting sqref="E8:E40">
    <cfRule type="cellIs" dxfId="8" priority="7" operator="lessThan">
      <formula>9.07</formula>
    </cfRule>
  </conditionalFormatting>
  <conditionalFormatting sqref="F8:F40">
    <cfRule type="cellIs" dxfId="7" priority="6" operator="lessThan">
      <formula>1.49</formula>
    </cfRule>
  </conditionalFormatting>
  <conditionalFormatting sqref="G8:G40">
    <cfRule type="cellIs" dxfId="6" priority="5" operator="lessThan">
      <formula>6.13</formula>
    </cfRule>
  </conditionalFormatting>
  <conditionalFormatting sqref="H8:H40">
    <cfRule type="cellIs" dxfId="5" priority="4" operator="notBetween">
      <formula>91.5</formula>
      <formula>99.5</formula>
    </cfRule>
  </conditionalFormatting>
  <conditionalFormatting sqref="I8:I40">
    <cfRule type="cellIs" dxfId="4" priority="3" operator="notBetween">
      <formula>-4.4</formula>
      <formula>3.6</formula>
    </cfRule>
  </conditionalFormatting>
  <conditionalFormatting sqref="J8:J40">
    <cfRule type="cellIs" dxfId="3" priority="2" operator="notBetween">
      <formula>-4.5</formula>
      <formula>3.5</formula>
    </cfRule>
  </conditionalFormatting>
  <conditionalFormatting sqref="K8:K40">
    <cfRule type="cellIs" dxfId="2" priority="1" operator="greaterThan">
      <formula>5</formula>
    </cfRule>
  </conditionalFormatting>
  <hyperlinks>
    <hyperlink ref="D7" r:id="rId1" xr:uid="{00000000-0004-0000-0100-000000000000}"/>
  </hyperlinks>
  <pageMargins left="0.98425196850393704" right="0" top="0.19685039370078741" bottom="0" header="0" footer="0"/>
  <pageSetup paperSize="9" scale="64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0AF6-8B1F-42C4-A7A9-FF6CDF45EBB6}">
  <dimension ref="A1:L51"/>
  <sheetViews>
    <sheetView workbookViewId="0">
      <selection activeCell="A3" sqref="A3"/>
    </sheetView>
  </sheetViews>
  <sheetFormatPr defaultRowHeight="15"/>
  <cols>
    <col min="1" max="1" width="15.7109375" customWidth="1"/>
    <col min="4" max="4" width="14.85546875" customWidth="1"/>
    <col min="5" max="5" width="21.7109375" customWidth="1"/>
    <col min="6" max="6" width="21" customWidth="1"/>
    <col min="7" max="7" width="34.5703125" customWidth="1"/>
    <col min="8" max="8" width="33.28515625" customWidth="1"/>
    <col min="9" max="9" width="30.85546875" customWidth="1"/>
    <col min="10" max="10" width="37.42578125" customWidth="1"/>
    <col min="11" max="11" width="36.85546875" customWidth="1"/>
    <col min="12" max="12" width="32.140625" customWidth="1"/>
  </cols>
  <sheetData>
    <row r="1" spans="1:12"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106</v>
      </c>
      <c r="L1" t="s">
        <v>107</v>
      </c>
    </row>
    <row r="2" spans="1:12">
      <c r="A2" s="19" t="s">
        <v>108</v>
      </c>
      <c r="B2" s="19" t="s">
        <v>109</v>
      </c>
      <c r="C2" s="19" t="s">
        <v>110</v>
      </c>
      <c r="D2" s="19" t="s">
        <v>111</v>
      </c>
      <c r="E2" s="19" t="s">
        <v>112</v>
      </c>
      <c r="F2" s="19" t="s">
        <v>113</v>
      </c>
      <c r="G2" s="19" t="s">
        <v>114</v>
      </c>
      <c r="H2" s="19" t="s">
        <v>115</v>
      </c>
      <c r="I2" s="19" t="s">
        <v>116</v>
      </c>
      <c r="J2" s="19" t="s">
        <v>117</v>
      </c>
      <c r="K2" s="19" t="s">
        <v>118</v>
      </c>
      <c r="L2" s="19" t="s">
        <v>119</v>
      </c>
    </row>
    <row r="3" spans="1:12">
      <c r="A3" s="178"/>
      <c r="B3" s="20">
        <f>Page1!C9</f>
        <v>0</v>
      </c>
      <c r="C3" s="19"/>
      <c r="D3" s="21">
        <f>Page1!D9</f>
        <v>0</v>
      </c>
      <c r="E3" s="21">
        <f>Page2!D8</f>
        <v>0</v>
      </c>
      <c r="F3" s="21">
        <f>Page2!F8</f>
        <v>0</v>
      </c>
      <c r="G3" s="21">
        <f>Page2!E8</f>
        <v>0</v>
      </c>
      <c r="H3" s="21">
        <f>Page2!G8</f>
        <v>0</v>
      </c>
      <c r="I3" s="22" t="e">
        <f>Page1!K9</f>
        <v>#DIV/0!</v>
      </c>
      <c r="J3" s="21">
        <f>Page1!E9</f>
        <v>0</v>
      </c>
      <c r="K3" s="21">
        <f>Page1!F9</f>
        <v>0</v>
      </c>
      <c r="L3" s="23">
        <v>0</v>
      </c>
    </row>
    <row r="4" spans="1:12">
      <c r="A4" s="178"/>
      <c r="B4" s="20">
        <f>Page1!C10</f>
        <v>0</v>
      </c>
      <c r="C4" s="19"/>
      <c r="D4" s="21">
        <f>Page1!D10</f>
        <v>0</v>
      </c>
      <c r="E4" s="21">
        <f>Page2!D9</f>
        <v>0</v>
      </c>
      <c r="F4" s="21">
        <f>Page2!F9</f>
        <v>0</v>
      </c>
      <c r="G4" s="21">
        <f>Page2!E9</f>
        <v>0</v>
      </c>
      <c r="H4" s="21">
        <f>Page2!G9</f>
        <v>0</v>
      </c>
      <c r="I4" s="22" t="e">
        <f>Page1!K10</f>
        <v>#DIV/0!</v>
      </c>
      <c r="J4" s="21">
        <f>Page1!E10</f>
        <v>0</v>
      </c>
      <c r="K4" s="21">
        <f>Page1!F10</f>
        <v>0</v>
      </c>
      <c r="L4" s="19">
        <f>L3</f>
        <v>0</v>
      </c>
    </row>
    <row r="5" spans="1:12">
      <c r="A5" s="178"/>
      <c r="B5" s="20">
        <f>Page1!C11</f>
        <v>0</v>
      </c>
      <c r="C5" s="19"/>
      <c r="D5" s="21">
        <f>Page1!D11</f>
        <v>0</v>
      </c>
      <c r="E5" s="21">
        <f>Page2!D10</f>
        <v>0</v>
      </c>
      <c r="F5" s="21">
        <f>Page2!F10</f>
        <v>0</v>
      </c>
      <c r="G5" s="21">
        <f>Page2!E10</f>
        <v>0</v>
      </c>
      <c r="H5" s="21">
        <f>Page2!G10</f>
        <v>0</v>
      </c>
      <c r="I5" s="22" t="e">
        <f>Page1!K11</f>
        <v>#DIV/0!</v>
      </c>
      <c r="J5" s="21">
        <f>Page1!E11</f>
        <v>0</v>
      </c>
      <c r="K5" s="21">
        <f>Page1!F11</f>
        <v>0</v>
      </c>
      <c r="L5" s="19">
        <f>L3</f>
        <v>0</v>
      </c>
    </row>
    <row r="6" spans="1:12">
      <c r="A6" s="178"/>
      <c r="B6" s="20">
        <f>Page1!C12</f>
        <v>0</v>
      </c>
      <c r="C6" s="19"/>
      <c r="D6" s="21">
        <f>Page1!D12</f>
        <v>0</v>
      </c>
      <c r="E6" s="21">
        <f>Page2!D11</f>
        <v>0</v>
      </c>
      <c r="F6" s="21">
        <f>Page2!F11</f>
        <v>0</v>
      </c>
      <c r="G6" s="21">
        <f>Page2!E11</f>
        <v>0</v>
      </c>
      <c r="H6" s="21">
        <f>Page2!G11</f>
        <v>0</v>
      </c>
      <c r="I6" s="22" t="e">
        <f>Page1!K12</f>
        <v>#DIV/0!</v>
      </c>
      <c r="J6" s="21">
        <f>Page1!E12</f>
        <v>0</v>
      </c>
      <c r="K6" s="21">
        <f>Page1!F12</f>
        <v>0</v>
      </c>
      <c r="L6" s="19">
        <f>L3</f>
        <v>0</v>
      </c>
    </row>
    <row r="7" spans="1:12">
      <c r="A7" s="178"/>
      <c r="B7" s="20">
        <f>Page1!C13</f>
        <v>0</v>
      </c>
      <c r="C7" s="19"/>
      <c r="D7" s="21">
        <f>Page1!D13</f>
        <v>0</v>
      </c>
      <c r="E7" s="21">
        <f>Page2!D12</f>
        <v>0</v>
      </c>
      <c r="F7" s="21">
        <f>Page2!F12</f>
        <v>0</v>
      </c>
      <c r="G7" s="21">
        <f>Page2!E12</f>
        <v>0</v>
      </c>
      <c r="H7" s="21">
        <f>Page2!G12</f>
        <v>0</v>
      </c>
      <c r="I7" s="22" t="e">
        <f>Page1!K13</f>
        <v>#DIV/0!</v>
      </c>
      <c r="J7" s="21">
        <f>Page1!E13</f>
        <v>0</v>
      </c>
      <c r="K7" s="21">
        <f>Page1!F13</f>
        <v>0</v>
      </c>
      <c r="L7" s="19">
        <f>L3</f>
        <v>0</v>
      </c>
    </row>
    <row r="8" spans="1:12">
      <c r="A8" s="178"/>
      <c r="B8" s="20">
        <f>Page1!C14</f>
        <v>0</v>
      </c>
      <c r="C8" s="19"/>
      <c r="D8" s="21">
        <f>Page1!D14</f>
        <v>0</v>
      </c>
      <c r="E8" s="21">
        <f>Page2!D13</f>
        <v>0</v>
      </c>
      <c r="F8" s="21">
        <f>Page2!F13</f>
        <v>0</v>
      </c>
      <c r="G8" s="21">
        <f>Page2!E13</f>
        <v>0</v>
      </c>
      <c r="H8" s="21">
        <f>Page2!G13</f>
        <v>0</v>
      </c>
      <c r="I8" s="22" t="e">
        <f>Page1!K14</f>
        <v>#DIV/0!</v>
      </c>
      <c r="J8" s="21">
        <f>Page1!E14</f>
        <v>0</v>
      </c>
      <c r="K8" s="21">
        <f>Page1!F14</f>
        <v>0</v>
      </c>
      <c r="L8" s="19">
        <f>L3</f>
        <v>0</v>
      </c>
    </row>
    <row r="9" spans="1:12">
      <c r="A9" s="178"/>
      <c r="B9" s="20">
        <f>Page1!C15</f>
        <v>0</v>
      </c>
      <c r="C9" s="19"/>
      <c r="D9" s="21">
        <f>Page1!D15</f>
        <v>0</v>
      </c>
      <c r="E9" s="21">
        <f>Page2!D14</f>
        <v>0</v>
      </c>
      <c r="F9" s="21">
        <f>Page2!F14</f>
        <v>0</v>
      </c>
      <c r="G9" s="21">
        <f>Page2!E14</f>
        <v>0</v>
      </c>
      <c r="H9" s="21">
        <f>Page2!G14</f>
        <v>0</v>
      </c>
      <c r="I9" s="22" t="e">
        <f>Page1!K15</f>
        <v>#DIV/0!</v>
      </c>
      <c r="J9" s="21">
        <f>Page1!E15</f>
        <v>0</v>
      </c>
      <c r="K9" s="21">
        <f>Page1!F15</f>
        <v>0</v>
      </c>
      <c r="L9" s="19">
        <f>L3</f>
        <v>0</v>
      </c>
    </row>
    <row r="10" spans="1:12">
      <c r="A10" s="178"/>
      <c r="B10" s="20">
        <f>Page1!C16</f>
        <v>0</v>
      </c>
      <c r="C10" s="19"/>
      <c r="D10" s="21">
        <f>Page1!D16</f>
        <v>0</v>
      </c>
      <c r="E10" s="21">
        <f>Page2!D15</f>
        <v>0</v>
      </c>
      <c r="F10" s="21">
        <f>Page2!F15</f>
        <v>0</v>
      </c>
      <c r="G10" s="21">
        <f>Page2!E15</f>
        <v>0</v>
      </c>
      <c r="H10" s="21">
        <f>Page2!G15</f>
        <v>0</v>
      </c>
      <c r="I10" s="22" t="e">
        <f>Page1!K16</f>
        <v>#DIV/0!</v>
      </c>
      <c r="J10" s="21">
        <f>Page1!E16</f>
        <v>0</v>
      </c>
      <c r="K10" s="21">
        <f>Page1!F16</f>
        <v>0</v>
      </c>
      <c r="L10" s="19">
        <f>L3</f>
        <v>0</v>
      </c>
    </row>
    <row r="11" spans="1:12">
      <c r="A11" s="178"/>
      <c r="B11" s="20">
        <f>Page1!C17</f>
        <v>0</v>
      </c>
      <c r="C11" s="19"/>
      <c r="D11" s="21">
        <f>Page1!D17</f>
        <v>0</v>
      </c>
      <c r="E11" s="21">
        <f>Page2!D16</f>
        <v>0</v>
      </c>
      <c r="F11" s="21">
        <f>Page2!F16</f>
        <v>0</v>
      </c>
      <c r="G11" s="21">
        <f>Page2!E16</f>
        <v>0</v>
      </c>
      <c r="H11" s="21">
        <f>Page2!G16</f>
        <v>0</v>
      </c>
      <c r="I11" s="22" t="e">
        <f>Page1!K17</f>
        <v>#DIV/0!</v>
      </c>
      <c r="J11" s="21">
        <f>Page1!E17</f>
        <v>0</v>
      </c>
      <c r="K11" s="21">
        <f>Page1!F17</f>
        <v>0</v>
      </c>
      <c r="L11" s="19">
        <f>L3</f>
        <v>0</v>
      </c>
    </row>
    <row r="12" spans="1:12">
      <c r="A12" s="178"/>
      <c r="B12" s="20">
        <f>Page1!C18</f>
        <v>0</v>
      </c>
      <c r="C12" s="19"/>
      <c r="D12" s="21">
        <f>Page1!D18</f>
        <v>0</v>
      </c>
      <c r="E12" s="21">
        <f>Page2!D17</f>
        <v>0</v>
      </c>
      <c r="F12" s="21">
        <f>Page2!F17</f>
        <v>0</v>
      </c>
      <c r="G12" s="21">
        <f>Page2!E17</f>
        <v>0</v>
      </c>
      <c r="H12" s="21">
        <f>Page2!G17</f>
        <v>0</v>
      </c>
      <c r="I12" s="22" t="e">
        <f>Page1!K18</f>
        <v>#DIV/0!</v>
      </c>
      <c r="J12" s="21">
        <f>Page1!E18</f>
        <v>0</v>
      </c>
      <c r="K12" s="21">
        <f>Page1!F18</f>
        <v>0</v>
      </c>
      <c r="L12" s="19">
        <f>L3</f>
        <v>0</v>
      </c>
    </row>
    <row r="13" spans="1:12">
      <c r="A13" s="178"/>
      <c r="B13" s="20">
        <f>Page1!C19</f>
        <v>0</v>
      </c>
      <c r="C13" s="19"/>
      <c r="D13" s="21">
        <f>Page1!D19</f>
        <v>0</v>
      </c>
      <c r="E13" s="21">
        <f>Page2!D18</f>
        <v>0</v>
      </c>
      <c r="F13" s="21">
        <f>Page2!F18</f>
        <v>0</v>
      </c>
      <c r="G13" s="21">
        <f>Page2!E18</f>
        <v>0</v>
      </c>
      <c r="H13" s="21">
        <f>Page2!G18</f>
        <v>0</v>
      </c>
      <c r="I13" s="22" t="e">
        <f>Page1!K19</f>
        <v>#DIV/0!</v>
      </c>
      <c r="J13" s="21">
        <f>Page1!E19</f>
        <v>0</v>
      </c>
      <c r="K13" s="21">
        <f>Page1!F19</f>
        <v>0</v>
      </c>
      <c r="L13" s="19">
        <f>L3</f>
        <v>0</v>
      </c>
    </row>
    <row r="14" spans="1:12">
      <c r="A14" s="178"/>
      <c r="B14" s="20">
        <f>Page1!C20</f>
        <v>0</v>
      </c>
      <c r="C14" s="19"/>
      <c r="D14" s="21">
        <f>Page1!D20</f>
        <v>0</v>
      </c>
      <c r="E14" s="21">
        <f>Page2!D19</f>
        <v>0</v>
      </c>
      <c r="F14" s="21">
        <f>Page2!F19</f>
        <v>0</v>
      </c>
      <c r="G14" s="21">
        <f>Page2!E19</f>
        <v>0</v>
      </c>
      <c r="H14" s="21">
        <f>Page2!G19</f>
        <v>0</v>
      </c>
      <c r="I14" s="22" t="e">
        <f>Page1!K20</f>
        <v>#DIV/0!</v>
      </c>
      <c r="J14" s="21">
        <f>Page1!E20</f>
        <v>0</v>
      </c>
      <c r="K14" s="21">
        <f>Page1!F20</f>
        <v>0</v>
      </c>
      <c r="L14" s="19">
        <f>L3</f>
        <v>0</v>
      </c>
    </row>
    <row r="15" spans="1:12">
      <c r="A15" s="178"/>
      <c r="B15" s="20">
        <f>Page1!C21</f>
        <v>0</v>
      </c>
      <c r="C15" s="19"/>
      <c r="D15" s="21">
        <f>Page1!D21</f>
        <v>0</v>
      </c>
      <c r="E15" s="21">
        <f>Page2!D20</f>
        <v>0</v>
      </c>
      <c r="F15" s="21">
        <f>Page2!F20</f>
        <v>0</v>
      </c>
      <c r="G15" s="21">
        <f>Page2!E20</f>
        <v>0</v>
      </c>
      <c r="H15" s="21">
        <f>Page2!G20</f>
        <v>0</v>
      </c>
      <c r="I15" s="22" t="e">
        <f>Page1!K21</f>
        <v>#DIV/0!</v>
      </c>
      <c r="J15" s="21">
        <f>Page1!E21</f>
        <v>0</v>
      </c>
      <c r="K15" s="21">
        <f>Page1!F21</f>
        <v>0</v>
      </c>
      <c r="L15" s="19">
        <f>L3</f>
        <v>0</v>
      </c>
    </row>
    <row r="16" spans="1:12">
      <c r="A16" s="178"/>
      <c r="B16" s="20">
        <f>Page1!C22</f>
        <v>0</v>
      </c>
      <c r="C16" s="19"/>
      <c r="D16" s="21">
        <f>Page1!D22</f>
        <v>0</v>
      </c>
      <c r="E16" s="21">
        <f>Page2!D21</f>
        <v>0</v>
      </c>
      <c r="F16" s="21">
        <f>Page2!F21</f>
        <v>0</v>
      </c>
      <c r="G16" s="21">
        <f>Page2!E21</f>
        <v>0</v>
      </c>
      <c r="H16" s="21">
        <f>Page2!G21</f>
        <v>0</v>
      </c>
      <c r="I16" s="22" t="e">
        <f>Page1!K22</f>
        <v>#DIV/0!</v>
      </c>
      <c r="J16" s="21">
        <f>Page1!E22</f>
        <v>0</v>
      </c>
      <c r="K16" s="21">
        <f>Page1!F22</f>
        <v>0</v>
      </c>
      <c r="L16" s="19">
        <f>L3</f>
        <v>0</v>
      </c>
    </row>
    <row r="17" spans="1:12">
      <c r="A17" s="178"/>
      <c r="B17" s="20">
        <f>Page1!C23</f>
        <v>0</v>
      </c>
      <c r="C17" s="19"/>
      <c r="D17" s="21">
        <f>Page1!D23</f>
        <v>0</v>
      </c>
      <c r="E17" s="21">
        <f>Page2!D22</f>
        <v>0</v>
      </c>
      <c r="F17" s="21">
        <f>Page2!F22</f>
        <v>0</v>
      </c>
      <c r="G17" s="21">
        <f>Page2!E22</f>
        <v>0</v>
      </c>
      <c r="H17" s="21">
        <f>Page2!G22</f>
        <v>0</v>
      </c>
      <c r="I17" s="22" t="e">
        <f>Page1!K23</f>
        <v>#DIV/0!</v>
      </c>
      <c r="J17" s="21">
        <f>Page1!E23</f>
        <v>0</v>
      </c>
      <c r="K17" s="21">
        <f>Page1!F23</f>
        <v>0</v>
      </c>
      <c r="L17" s="19">
        <f>L3</f>
        <v>0</v>
      </c>
    </row>
    <row r="18" spans="1:12">
      <c r="A18" s="178"/>
      <c r="B18" s="20">
        <f>Page1!C24</f>
        <v>0</v>
      </c>
      <c r="C18" s="19"/>
      <c r="D18" s="21">
        <f>Page1!D24</f>
        <v>0</v>
      </c>
      <c r="E18" s="21">
        <f>Page2!D23</f>
        <v>0</v>
      </c>
      <c r="F18" s="21">
        <f>Page2!F23</f>
        <v>0</v>
      </c>
      <c r="G18" s="21">
        <f>Page2!E23</f>
        <v>0</v>
      </c>
      <c r="H18" s="21">
        <f>Page2!G23</f>
        <v>0</v>
      </c>
      <c r="I18" s="22" t="e">
        <f>Page1!K24</f>
        <v>#DIV/0!</v>
      </c>
      <c r="J18" s="21">
        <f>Page1!E24</f>
        <v>0</v>
      </c>
      <c r="K18" s="21">
        <f>Page1!F24</f>
        <v>0</v>
      </c>
      <c r="L18" s="19">
        <f>L3</f>
        <v>0</v>
      </c>
    </row>
    <row r="19" spans="1:12">
      <c r="A19" s="178"/>
      <c r="B19" s="20">
        <f>Page1!C25</f>
        <v>0</v>
      </c>
      <c r="C19" s="19"/>
      <c r="D19" s="21">
        <f>Page1!D25</f>
        <v>0</v>
      </c>
      <c r="E19" s="21">
        <f>Page2!D24</f>
        <v>0</v>
      </c>
      <c r="F19" s="21">
        <f>Page2!F24</f>
        <v>0</v>
      </c>
      <c r="G19" s="21">
        <f>Page2!E24</f>
        <v>0</v>
      </c>
      <c r="H19" s="21">
        <f>Page2!G24</f>
        <v>0</v>
      </c>
      <c r="I19" s="22" t="e">
        <f>Page1!K25</f>
        <v>#DIV/0!</v>
      </c>
      <c r="J19" s="21">
        <f>Page1!E25</f>
        <v>0</v>
      </c>
      <c r="K19" s="21">
        <f>Page1!F25</f>
        <v>0</v>
      </c>
      <c r="L19" s="19">
        <f>L3</f>
        <v>0</v>
      </c>
    </row>
    <row r="20" spans="1:12">
      <c r="A20" s="178"/>
      <c r="B20" s="20">
        <f>Page1!C26</f>
        <v>0</v>
      </c>
      <c r="C20" s="19"/>
      <c r="D20" s="21">
        <f>Page1!D26</f>
        <v>0</v>
      </c>
      <c r="E20" s="21">
        <f>Page2!D25</f>
        <v>0</v>
      </c>
      <c r="F20" s="21">
        <f>Page2!F25</f>
        <v>0</v>
      </c>
      <c r="G20" s="21">
        <f>Page2!E25</f>
        <v>0</v>
      </c>
      <c r="H20" s="21">
        <f>Page2!G25</f>
        <v>0</v>
      </c>
      <c r="I20" s="22" t="e">
        <f>Page1!K26</f>
        <v>#DIV/0!</v>
      </c>
      <c r="J20" s="21">
        <f>Page1!E26</f>
        <v>0</v>
      </c>
      <c r="K20" s="21">
        <f>Page1!F26</f>
        <v>0</v>
      </c>
      <c r="L20" s="19">
        <f>L3</f>
        <v>0</v>
      </c>
    </row>
    <row r="21" spans="1:12">
      <c r="A21" s="178"/>
      <c r="B21" s="20">
        <f>Page1!C27</f>
        <v>0</v>
      </c>
      <c r="C21" s="19"/>
      <c r="D21" s="21">
        <f>Page1!D27</f>
        <v>0</v>
      </c>
      <c r="E21" s="21">
        <f>Page2!D26</f>
        <v>0</v>
      </c>
      <c r="F21" s="21">
        <f>Page2!F26</f>
        <v>0</v>
      </c>
      <c r="G21" s="21">
        <f>Page2!E26</f>
        <v>0</v>
      </c>
      <c r="H21" s="21">
        <f>Page2!G26</f>
        <v>0</v>
      </c>
      <c r="I21" s="22" t="e">
        <f>Page1!K27</f>
        <v>#DIV/0!</v>
      </c>
      <c r="J21" s="21">
        <f>Page1!E27</f>
        <v>0</v>
      </c>
      <c r="K21" s="21">
        <f>Page1!F27</f>
        <v>0</v>
      </c>
      <c r="L21" s="19">
        <f>L3</f>
        <v>0</v>
      </c>
    </row>
    <row r="22" spans="1:12">
      <c r="A22" s="178"/>
      <c r="B22" s="20">
        <f>Page1!C28</f>
        <v>0</v>
      </c>
      <c r="C22" s="19"/>
      <c r="D22" s="21">
        <f>Page1!D28</f>
        <v>0</v>
      </c>
      <c r="E22" s="21">
        <f>Page2!D27</f>
        <v>0</v>
      </c>
      <c r="F22" s="21">
        <f>Page2!F27</f>
        <v>0</v>
      </c>
      <c r="G22" s="21">
        <f>Page2!E27</f>
        <v>0</v>
      </c>
      <c r="H22" s="21">
        <f>Page2!G27</f>
        <v>0</v>
      </c>
      <c r="I22" s="22" t="e">
        <f>Page1!K28</f>
        <v>#DIV/0!</v>
      </c>
      <c r="J22" s="21">
        <f>Page1!E28</f>
        <v>0</v>
      </c>
      <c r="K22" s="21">
        <f>Page1!F28</f>
        <v>0</v>
      </c>
      <c r="L22" s="19">
        <f>L3</f>
        <v>0</v>
      </c>
    </row>
    <row r="23" spans="1:12">
      <c r="A23" s="178"/>
      <c r="B23" s="20">
        <f>Page1!C29</f>
        <v>0</v>
      </c>
      <c r="C23" s="19"/>
      <c r="D23" s="21">
        <f>Page1!D29</f>
        <v>0</v>
      </c>
      <c r="E23" s="21">
        <f>Page2!D28</f>
        <v>0</v>
      </c>
      <c r="F23" s="21">
        <f>Page2!F28</f>
        <v>0</v>
      </c>
      <c r="G23" s="21">
        <f>Page2!E28</f>
        <v>0</v>
      </c>
      <c r="H23" s="21">
        <f>Page2!G28</f>
        <v>0</v>
      </c>
      <c r="I23" s="22" t="e">
        <f>Page1!K29</f>
        <v>#DIV/0!</v>
      </c>
      <c r="J23" s="21">
        <f>Page1!E29</f>
        <v>0</v>
      </c>
      <c r="K23" s="21">
        <f>Page1!F29</f>
        <v>0</v>
      </c>
      <c r="L23" s="19">
        <f>L3</f>
        <v>0</v>
      </c>
    </row>
    <row r="24" spans="1:12">
      <c r="A24" s="178"/>
      <c r="B24" s="20">
        <f>Page1!C30</f>
        <v>0</v>
      </c>
      <c r="C24" s="19"/>
      <c r="D24" s="21">
        <f>Page1!D30</f>
        <v>0</v>
      </c>
      <c r="E24" s="21">
        <f>Page2!D29</f>
        <v>0</v>
      </c>
      <c r="F24" s="21">
        <f>Page2!F29</f>
        <v>0</v>
      </c>
      <c r="G24" s="21">
        <f>Page2!E29</f>
        <v>0</v>
      </c>
      <c r="H24" s="21">
        <f>Page2!G29</f>
        <v>0</v>
      </c>
      <c r="I24" s="22" t="e">
        <f>Page1!K30</f>
        <v>#DIV/0!</v>
      </c>
      <c r="J24" s="21">
        <f>Page1!E30</f>
        <v>0</v>
      </c>
      <c r="K24" s="21">
        <f>Page1!F30</f>
        <v>0</v>
      </c>
      <c r="L24" s="19">
        <f>L3</f>
        <v>0</v>
      </c>
    </row>
    <row r="25" spans="1:12">
      <c r="A25" s="178"/>
      <c r="B25" s="20">
        <f>Page1!C31</f>
        <v>0</v>
      </c>
      <c r="C25" s="19"/>
      <c r="D25" s="21">
        <f>Page1!D31</f>
        <v>0</v>
      </c>
      <c r="E25" s="21">
        <f>Page2!D30</f>
        <v>0</v>
      </c>
      <c r="F25" s="21">
        <f>Page2!F30</f>
        <v>0</v>
      </c>
      <c r="G25" s="21">
        <f>Page2!E30</f>
        <v>0</v>
      </c>
      <c r="H25" s="21">
        <f>Page2!G30</f>
        <v>0</v>
      </c>
      <c r="I25" s="22" t="e">
        <f>Page1!K31</f>
        <v>#DIV/0!</v>
      </c>
      <c r="J25" s="21">
        <f>Page1!E31</f>
        <v>0</v>
      </c>
      <c r="K25" s="21">
        <f>Page1!F31</f>
        <v>0</v>
      </c>
      <c r="L25" s="19">
        <f>L3</f>
        <v>0</v>
      </c>
    </row>
    <row r="26" spans="1:12">
      <c r="A26" s="178"/>
      <c r="B26" s="20">
        <f>Page1!C32</f>
        <v>0</v>
      </c>
      <c r="C26" s="19"/>
      <c r="D26" s="21">
        <f>Page1!D32</f>
        <v>0</v>
      </c>
      <c r="E26" s="21">
        <f>Page2!D31</f>
        <v>0</v>
      </c>
      <c r="F26" s="21">
        <f>Page2!F31</f>
        <v>0</v>
      </c>
      <c r="G26" s="21">
        <f>Page2!E31</f>
        <v>0</v>
      </c>
      <c r="H26" s="21">
        <f>Page2!G31</f>
        <v>0</v>
      </c>
      <c r="I26" s="22" t="e">
        <f>Page1!K32</f>
        <v>#DIV/0!</v>
      </c>
      <c r="J26" s="21">
        <f>Page1!E32</f>
        <v>0</v>
      </c>
      <c r="K26" s="21">
        <f>Page1!F32</f>
        <v>0</v>
      </c>
      <c r="L26" s="19">
        <f>L3</f>
        <v>0</v>
      </c>
    </row>
    <row r="27" spans="1:12">
      <c r="A27" s="178"/>
      <c r="B27" s="20">
        <f>Page1!C33</f>
        <v>0</v>
      </c>
      <c r="C27" s="19"/>
      <c r="D27" s="21">
        <f>Page1!D33</f>
        <v>0</v>
      </c>
      <c r="E27" s="21">
        <f>Page2!D32</f>
        <v>0</v>
      </c>
      <c r="F27" s="21">
        <f>Page2!F32</f>
        <v>0</v>
      </c>
      <c r="G27" s="21">
        <f>Page2!E32</f>
        <v>0</v>
      </c>
      <c r="H27" s="21">
        <f>Page2!G32</f>
        <v>0</v>
      </c>
      <c r="I27" s="22" t="e">
        <f>Page1!K33</f>
        <v>#DIV/0!</v>
      </c>
      <c r="J27" s="21">
        <f>Page1!E33</f>
        <v>0</v>
      </c>
      <c r="K27" s="21">
        <f>Page1!F33</f>
        <v>0</v>
      </c>
      <c r="L27" s="19">
        <f>L3</f>
        <v>0</v>
      </c>
    </row>
    <row r="28" spans="1:12">
      <c r="A28" s="178"/>
      <c r="B28" s="20">
        <f>Page1!C34</f>
        <v>0</v>
      </c>
      <c r="C28" s="19"/>
      <c r="D28" s="21">
        <f>Page1!D34</f>
        <v>0</v>
      </c>
      <c r="E28" s="21">
        <f>Page2!D33</f>
        <v>0</v>
      </c>
      <c r="F28" s="21">
        <f>Page2!F33</f>
        <v>0</v>
      </c>
      <c r="G28" s="21">
        <f>Page2!E33</f>
        <v>0</v>
      </c>
      <c r="H28" s="21">
        <f>Page2!G33</f>
        <v>0</v>
      </c>
      <c r="I28" s="22" t="e">
        <f>Page1!K34</f>
        <v>#DIV/0!</v>
      </c>
      <c r="J28" s="21">
        <f>Page1!E34</f>
        <v>0</v>
      </c>
      <c r="K28" s="21">
        <f>Page1!F34</f>
        <v>0</v>
      </c>
      <c r="L28" s="19">
        <f>L3</f>
        <v>0</v>
      </c>
    </row>
    <row r="29" spans="1:12">
      <c r="A29" s="178"/>
      <c r="B29" s="20">
        <f>Page1!C35</f>
        <v>0</v>
      </c>
      <c r="C29" s="19"/>
      <c r="D29" s="21">
        <f>Page1!D35</f>
        <v>0</v>
      </c>
      <c r="E29" s="21">
        <f>Page2!D34</f>
        <v>0</v>
      </c>
      <c r="F29" s="21">
        <f>Page2!F34</f>
        <v>0</v>
      </c>
      <c r="G29" s="21">
        <f>Page2!E34</f>
        <v>0</v>
      </c>
      <c r="H29" s="21">
        <f>Page2!G34</f>
        <v>0</v>
      </c>
      <c r="I29" s="22" t="e">
        <f>Page1!K35</f>
        <v>#DIV/0!</v>
      </c>
      <c r="J29" s="21">
        <f>Page1!E35</f>
        <v>0</v>
      </c>
      <c r="K29" s="21">
        <f>Page1!F35</f>
        <v>0</v>
      </c>
      <c r="L29" s="19">
        <f>L3</f>
        <v>0</v>
      </c>
    </row>
    <row r="30" spans="1:12">
      <c r="A30" s="178"/>
      <c r="B30" s="20">
        <f>Page1!C36</f>
        <v>0</v>
      </c>
      <c r="C30" s="19"/>
      <c r="D30" s="21">
        <f>Page1!D36</f>
        <v>0</v>
      </c>
      <c r="E30" s="21">
        <f>Page2!D35</f>
        <v>0</v>
      </c>
      <c r="F30" s="21">
        <f>Page2!F35</f>
        <v>0</v>
      </c>
      <c r="G30" s="21">
        <f>Page2!E35</f>
        <v>0</v>
      </c>
      <c r="H30" s="21">
        <f>Page2!G35</f>
        <v>0</v>
      </c>
      <c r="I30" s="22" t="e">
        <f>Page1!K36</f>
        <v>#DIV/0!</v>
      </c>
      <c r="J30" s="21">
        <f>Page1!E36</f>
        <v>0</v>
      </c>
      <c r="K30" s="21">
        <f>Page1!F36</f>
        <v>0</v>
      </c>
      <c r="L30" s="19">
        <f>L3</f>
        <v>0</v>
      </c>
    </row>
    <row r="31" spans="1:12">
      <c r="A31" s="178"/>
      <c r="B31" s="20">
        <f>Page1!C37</f>
        <v>0</v>
      </c>
      <c r="C31" s="19"/>
      <c r="D31" s="21">
        <f>Page1!D37</f>
        <v>0</v>
      </c>
      <c r="E31" s="21">
        <f>Page2!D36</f>
        <v>0</v>
      </c>
      <c r="F31" s="21">
        <f>Page2!F36</f>
        <v>0</v>
      </c>
      <c r="G31" s="21">
        <f>Page2!E36</f>
        <v>0</v>
      </c>
      <c r="H31" s="21">
        <f>Page2!G36</f>
        <v>0</v>
      </c>
      <c r="I31" s="22" t="e">
        <f>Page1!K37</f>
        <v>#DIV/0!</v>
      </c>
      <c r="J31" s="21">
        <f>Page1!E37</f>
        <v>0</v>
      </c>
      <c r="K31" s="21">
        <f>Page1!F37</f>
        <v>0</v>
      </c>
      <c r="L31" s="19">
        <f>L3</f>
        <v>0</v>
      </c>
    </row>
    <row r="32" spans="1:12">
      <c r="A32" s="178"/>
      <c r="B32" s="20">
        <f>Page1!C38</f>
        <v>0</v>
      </c>
      <c r="C32" s="19"/>
      <c r="D32" s="21">
        <f>Page1!D38</f>
        <v>0</v>
      </c>
      <c r="E32" s="21">
        <f>Page2!D37</f>
        <v>0</v>
      </c>
      <c r="F32" s="21">
        <f>Page2!F37</f>
        <v>0</v>
      </c>
      <c r="G32" s="21">
        <f>Page2!E37</f>
        <v>0</v>
      </c>
      <c r="H32" s="21">
        <f>Page2!G37</f>
        <v>0</v>
      </c>
      <c r="I32" s="22" t="e">
        <f>Page1!K38</f>
        <v>#DIV/0!</v>
      </c>
      <c r="J32" s="21">
        <f>Page1!E38</f>
        <v>0</v>
      </c>
      <c r="K32" s="21">
        <f>Page1!F38</f>
        <v>0</v>
      </c>
      <c r="L32" s="19">
        <f>L3</f>
        <v>0</v>
      </c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  <row r="42" spans="2:2">
      <c r="B42" s="12"/>
    </row>
    <row r="43" spans="2:2">
      <c r="B43" s="12"/>
    </row>
    <row r="44" spans="2:2">
      <c r="B44" s="12"/>
    </row>
    <row r="45" spans="2:2">
      <c r="B45" s="12"/>
    </row>
    <row r="46" spans="2:2">
      <c r="B46" s="12"/>
    </row>
    <row r="47" spans="2:2">
      <c r="B47" s="12"/>
    </row>
    <row r="48" spans="2:2">
      <c r="B48" s="12"/>
    </row>
    <row r="49" spans="2:2">
      <c r="B49" s="12"/>
    </row>
    <row r="50" spans="2:2">
      <c r="B50" s="12"/>
    </row>
    <row r="51" spans="2:2">
      <c r="B5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199"/>
  <sheetViews>
    <sheetView zoomScaleNormal="100" workbookViewId="0">
      <selection activeCell="B23" sqref="B23"/>
    </sheetView>
  </sheetViews>
  <sheetFormatPr defaultRowHeight="11.25"/>
  <cols>
    <col min="1" max="1" width="5" style="1" customWidth="1"/>
    <col min="2" max="2" width="35.85546875" style="1" customWidth="1"/>
    <col min="3" max="4" width="17.140625" style="1" customWidth="1"/>
    <col min="5" max="10" width="7.85546875" style="1" customWidth="1"/>
    <col min="11" max="40" width="9.140625" style="1" customWidth="1"/>
    <col min="41" max="42" width="9.140625" style="3" customWidth="1"/>
    <col min="43" max="43" width="9.140625" style="1" customWidth="1"/>
    <col min="44" max="45" width="9.140625" style="3" customWidth="1"/>
    <col min="46" max="46" width="9.140625" style="1" customWidth="1"/>
    <col min="47" max="47" width="4.85546875" style="1" customWidth="1"/>
    <col min="48" max="48" width="9.140625" style="1"/>
    <col min="49" max="49" width="9.140625" style="2"/>
    <col min="50" max="16384" width="9.140625" style="1"/>
  </cols>
  <sheetData>
    <row r="1" spans="1:49" ht="15.75" customHeight="1">
      <c r="B1" s="8"/>
      <c r="C1" s="9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5"/>
      <c r="Y1" s="5"/>
      <c r="Z1" s="5"/>
      <c r="AA1" s="5"/>
      <c r="AB1" s="5"/>
      <c r="AC1" s="5"/>
      <c r="AD1" s="6"/>
      <c r="AE1" s="6"/>
      <c r="AF1" s="6"/>
      <c r="AG1" s="6"/>
      <c r="AH1" s="6"/>
      <c r="AI1" s="6"/>
      <c r="AJ1" s="5"/>
      <c r="AK1" s="6"/>
      <c r="AL1" s="7"/>
      <c r="AM1" s="5"/>
    </row>
    <row r="2" spans="1:49" s="28" customFormat="1" ht="24">
      <c r="A2" s="25" t="s">
        <v>29</v>
      </c>
      <c r="B2" s="25" t="s">
        <v>30</v>
      </c>
      <c r="C2" s="25" t="s">
        <v>31</v>
      </c>
      <c r="D2" s="25" t="s">
        <v>32</v>
      </c>
      <c r="E2" s="25" t="s">
        <v>33</v>
      </c>
      <c r="F2" s="25" t="s">
        <v>34</v>
      </c>
      <c r="G2" s="25" t="s">
        <v>35</v>
      </c>
      <c r="H2" s="25" t="s">
        <v>36</v>
      </c>
      <c r="I2" s="25" t="s">
        <v>37</v>
      </c>
      <c r="J2" s="25" t="s">
        <v>38</v>
      </c>
      <c r="K2" s="25">
        <v>1</v>
      </c>
      <c r="L2" s="25">
        <v>2</v>
      </c>
      <c r="M2" s="25">
        <v>3</v>
      </c>
      <c r="N2" s="25">
        <v>4</v>
      </c>
      <c r="O2" s="25">
        <v>5</v>
      </c>
      <c r="P2" s="25">
        <v>6</v>
      </c>
      <c r="Q2" s="25">
        <v>7</v>
      </c>
      <c r="R2" s="25">
        <v>8</v>
      </c>
      <c r="S2" s="25">
        <v>9</v>
      </c>
      <c r="T2" s="25">
        <v>10</v>
      </c>
      <c r="U2" s="25">
        <v>11</v>
      </c>
      <c r="V2" s="25">
        <v>12</v>
      </c>
      <c r="W2" s="25">
        <v>13</v>
      </c>
      <c r="X2" s="25">
        <v>14</v>
      </c>
      <c r="Y2" s="25">
        <v>15</v>
      </c>
      <c r="Z2" s="25">
        <v>16</v>
      </c>
      <c r="AA2" s="25">
        <v>17</v>
      </c>
      <c r="AB2" s="25">
        <v>18</v>
      </c>
      <c r="AC2" s="25">
        <v>19</v>
      </c>
      <c r="AD2" s="25">
        <v>20</v>
      </c>
      <c r="AE2" s="25">
        <v>21</v>
      </c>
      <c r="AF2" s="25">
        <v>22</v>
      </c>
      <c r="AG2" s="25">
        <v>23</v>
      </c>
      <c r="AH2" s="25">
        <v>24</v>
      </c>
      <c r="AI2" s="25">
        <v>25</v>
      </c>
      <c r="AJ2" s="25">
        <v>26</v>
      </c>
      <c r="AK2" s="25">
        <v>27</v>
      </c>
      <c r="AL2" s="25">
        <v>28</v>
      </c>
      <c r="AM2" s="25">
        <v>29</v>
      </c>
      <c r="AN2" s="25">
        <v>30</v>
      </c>
      <c r="AO2" s="26" t="s">
        <v>18</v>
      </c>
      <c r="AP2" s="26" t="s">
        <v>39</v>
      </c>
      <c r="AQ2" s="25" t="s">
        <v>80</v>
      </c>
      <c r="AR2" s="26" t="s">
        <v>40</v>
      </c>
      <c r="AS2" s="26" t="s">
        <v>41</v>
      </c>
      <c r="AT2" s="27" t="s">
        <v>42</v>
      </c>
      <c r="AV2" s="29"/>
      <c r="AW2" s="29"/>
    </row>
    <row r="3" spans="1:49" s="40" customFormat="1" ht="15" customHeight="1">
      <c r="A3" s="30">
        <v>1</v>
      </c>
      <c r="B3" s="31" t="s">
        <v>43</v>
      </c>
      <c r="C3" s="32" t="s">
        <v>44</v>
      </c>
      <c r="D3" s="33" t="s">
        <v>45</v>
      </c>
      <c r="E3" s="33">
        <v>1</v>
      </c>
      <c r="F3" s="33">
        <v>0.01</v>
      </c>
      <c r="G3" s="34" t="s">
        <v>46</v>
      </c>
      <c r="H3" s="34" t="s">
        <v>73</v>
      </c>
      <c r="I3" s="34" t="s">
        <v>74</v>
      </c>
      <c r="J3" s="34">
        <v>1.33</v>
      </c>
      <c r="K3" s="47" cm="1">
        <f t="array" ref="K3">INDEX(Page1!$D$9:$D$38, COLUMN(K3)-10)</f>
        <v>0</v>
      </c>
      <c r="L3" s="47" cm="1">
        <f t="array" ref="L3">INDEX(Page1!$D$9:$D$38, COLUMN(L3)-10)</f>
        <v>0</v>
      </c>
      <c r="M3" s="47" cm="1">
        <f t="array" ref="M3">INDEX(Page1!$D$9:$D$38, COLUMN(M3)-10)</f>
        <v>0</v>
      </c>
      <c r="N3" s="47" cm="1">
        <f t="array" ref="N3">INDEX(Page1!$D$9:$D$38, COLUMN(N3)-10)</f>
        <v>0</v>
      </c>
      <c r="O3" s="47" cm="1">
        <f t="array" ref="O3">INDEX(Page1!$D$9:$D$38, COLUMN(O3)-10)</f>
        <v>0</v>
      </c>
      <c r="P3" s="47" cm="1">
        <f t="array" ref="P3">INDEX(Page1!$D$9:$D$38, COLUMN(P3)-10)</f>
        <v>0</v>
      </c>
      <c r="Q3" s="47" cm="1">
        <f t="array" ref="Q3">INDEX(Page1!$D$9:$D$38, COLUMN(Q3)-10)</f>
        <v>0</v>
      </c>
      <c r="R3" s="47" cm="1">
        <f t="array" ref="R3">INDEX(Page1!$D$9:$D$38, COLUMN(R3)-10)</f>
        <v>0</v>
      </c>
      <c r="S3" s="47" cm="1">
        <f t="array" ref="S3">INDEX(Page1!$D$9:$D$38, COLUMN(S3)-10)</f>
        <v>0</v>
      </c>
      <c r="T3" s="47" cm="1">
        <f t="array" ref="T3">INDEX(Page1!$D$9:$D$38, COLUMN(T3)-10)</f>
        <v>0</v>
      </c>
      <c r="U3" s="47" cm="1">
        <f t="array" ref="U3">INDEX(Page1!$D$9:$D$38, COLUMN(U3)-10)</f>
        <v>0</v>
      </c>
      <c r="V3" s="47" cm="1">
        <f t="array" ref="V3">INDEX(Page1!$D$9:$D$38, COLUMN(V3)-10)</f>
        <v>0</v>
      </c>
      <c r="W3" s="47" cm="1">
        <f t="array" ref="W3">INDEX(Page1!$D$9:$D$38, COLUMN(W3)-10)</f>
        <v>0</v>
      </c>
      <c r="X3" s="47" cm="1">
        <f t="array" ref="X3">INDEX(Page1!$D$9:$D$38, COLUMN(X3)-10)</f>
        <v>0</v>
      </c>
      <c r="Y3" s="47" cm="1">
        <f t="array" ref="Y3">INDEX(Page1!$D$9:$D$38, COLUMN(Y3)-10)</f>
        <v>0</v>
      </c>
      <c r="Z3" s="47" cm="1">
        <f t="array" ref="Z3">INDEX(Page1!$D$9:$D$38, COLUMN(Z3)-10)</f>
        <v>0</v>
      </c>
      <c r="AA3" s="47" cm="1">
        <f t="array" ref="AA3">INDEX(Page1!$D$9:$D$38, COLUMN(AA3)-10)</f>
        <v>0</v>
      </c>
      <c r="AB3" s="47" cm="1">
        <f t="array" ref="AB3">INDEX(Page1!$D$9:$D$38, COLUMN(AB3)-10)</f>
        <v>0</v>
      </c>
      <c r="AC3" s="47" cm="1">
        <f t="array" ref="AC3">INDEX(Page1!$D$9:$D$38, COLUMN(AC3)-10)</f>
        <v>0</v>
      </c>
      <c r="AD3" s="47" cm="1">
        <f t="array" ref="AD3">INDEX(Page1!$D$9:$D$38, COLUMN(AD3)-10)</f>
        <v>0</v>
      </c>
      <c r="AE3" s="47" cm="1">
        <f t="array" ref="AE3">INDEX(Page1!$D$9:$D$38, COLUMN(AE3)-10)</f>
        <v>0</v>
      </c>
      <c r="AF3" s="47" cm="1">
        <f t="array" ref="AF3">INDEX(Page1!$D$9:$D$38, COLUMN(AF3)-10)</f>
        <v>0</v>
      </c>
      <c r="AG3" s="47" cm="1">
        <f t="array" ref="AG3">INDEX(Page1!$D$9:$D$38, COLUMN(AG3)-10)</f>
        <v>0</v>
      </c>
      <c r="AH3" s="47" cm="1">
        <f t="array" ref="AH3">INDEX(Page1!$D$9:$D$38, COLUMN(AH3)-10)</f>
        <v>0</v>
      </c>
      <c r="AI3" s="47" cm="1">
        <f t="array" ref="AI3">INDEX(Page1!$D$9:$D$38, COLUMN(AI3)-10)</f>
        <v>0</v>
      </c>
      <c r="AJ3" s="47" cm="1">
        <f t="array" ref="AJ3">INDEX(Page1!$D$9:$D$38, COLUMN(AJ3)-10)</f>
        <v>0</v>
      </c>
      <c r="AK3" s="47" cm="1">
        <f t="array" ref="AK3">INDEX(Page1!$D$9:$D$38, COLUMN(AK3)-10)</f>
        <v>0</v>
      </c>
      <c r="AL3" s="47" cm="1">
        <f t="array" ref="AL3">INDEX(Page1!$D$9:$D$38, COLUMN(AL3)-10)</f>
        <v>0</v>
      </c>
      <c r="AM3" s="47" cm="1">
        <f t="array" ref="AM3">INDEX(Page1!$D$9:$D$38, COLUMN(AM3)-10)</f>
        <v>0</v>
      </c>
      <c r="AN3" s="47" cm="1">
        <f t="array" ref="AN3">INDEX(Page1!$D$9:$D$38, COLUMN(AN3)-10)</f>
        <v>0</v>
      </c>
      <c r="AO3" s="35">
        <f>AVERAGE(K3:AN3)</f>
        <v>0</v>
      </c>
      <c r="AP3" s="36">
        <f t="shared" ref="AP3:AP16" si="0">STDEV(K3:AN3)</f>
        <v>0</v>
      </c>
      <c r="AQ3" s="37" t="e">
        <f>MIN((AO3-H3)/(3*AP3), (I3-AO3)/(3*AP3))</f>
        <v>#DIV/0!</v>
      </c>
      <c r="AR3" s="36">
        <f t="shared" ref="AR3:AR16" si="1">MIN(K3:AN3)</f>
        <v>0</v>
      </c>
      <c r="AS3" s="36">
        <f t="shared" ref="AS3:AS16" si="2">MAX(K3:AN3)</f>
        <v>0</v>
      </c>
      <c r="AT3" s="24" t="e">
        <f>IF(AQ3&gt;=1.33,"Pass","Fail")</f>
        <v>#DIV/0!</v>
      </c>
      <c r="AU3" s="38"/>
      <c r="AV3" s="39"/>
      <c r="AW3" s="39"/>
    </row>
    <row r="4" spans="1:49" s="40" customFormat="1" ht="15" customHeight="1">
      <c r="A4" s="30">
        <v>2</v>
      </c>
      <c r="B4" s="31" t="s">
        <v>56</v>
      </c>
      <c r="C4" s="32" t="s">
        <v>44</v>
      </c>
      <c r="D4" s="33" t="s">
        <v>47</v>
      </c>
      <c r="E4" s="33">
        <v>1</v>
      </c>
      <c r="F4" s="33">
        <v>0.01</v>
      </c>
      <c r="G4" s="34" t="s">
        <v>50</v>
      </c>
      <c r="H4" s="34" t="s">
        <v>66</v>
      </c>
      <c r="I4" s="34" t="s">
        <v>67</v>
      </c>
      <c r="J4" s="34" t="s">
        <v>82</v>
      </c>
      <c r="K4" s="47" cm="1">
        <f t="array" ref="K4">INDEX(Page1!$E$9:$E$38, COLUMN(K4)-10)</f>
        <v>0</v>
      </c>
      <c r="L4" s="47" cm="1">
        <f t="array" ref="L4">INDEX(Page1!$E$9:$E$38, COLUMN(L4)-10)</f>
        <v>0</v>
      </c>
      <c r="M4" s="47" cm="1">
        <f t="array" ref="M4">INDEX(Page1!$E$9:$E$38, COLUMN(M4)-10)</f>
        <v>0</v>
      </c>
      <c r="N4" s="47" cm="1">
        <f t="array" ref="N4">INDEX(Page1!$E$9:$E$38, COLUMN(N4)-10)</f>
        <v>0</v>
      </c>
      <c r="O4" s="47" cm="1">
        <f t="array" ref="O4">INDEX(Page1!$E$9:$E$38, COLUMN(O4)-10)</f>
        <v>0</v>
      </c>
      <c r="P4" s="47" cm="1">
        <f t="array" ref="P4">INDEX(Page1!$E$9:$E$38, COLUMN(P4)-10)</f>
        <v>0</v>
      </c>
      <c r="Q4" s="47" cm="1">
        <f t="array" ref="Q4">INDEX(Page1!$E$9:$E$38, COLUMN(Q4)-10)</f>
        <v>0</v>
      </c>
      <c r="R4" s="47" cm="1">
        <f t="array" ref="R4">INDEX(Page1!$E$9:$E$38, COLUMN(R4)-10)</f>
        <v>0</v>
      </c>
      <c r="S4" s="47" cm="1">
        <f t="array" ref="S4">INDEX(Page1!$E$9:$E$38, COLUMN(S4)-10)</f>
        <v>0</v>
      </c>
      <c r="T4" s="47" cm="1">
        <f t="array" ref="T4">INDEX(Page1!$E$9:$E$38, COLUMN(T4)-10)</f>
        <v>0</v>
      </c>
      <c r="U4" s="47" cm="1">
        <f t="array" ref="U4">INDEX(Page1!$E$9:$E$38, COLUMN(U4)-10)</f>
        <v>0</v>
      </c>
      <c r="V4" s="47" cm="1">
        <f t="array" ref="V4">INDEX(Page1!$E$9:$E$38, COLUMN(V4)-10)</f>
        <v>0</v>
      </c>
      <c r="W4" s="47" cm="1">
        <f t="array" ref="W4">INDEX(Page1!$E$9:$E$38, COLUMN(W4)-10)</f>
        <v>0</v>
      </c>
      <c r="X4" s="47" cm="1">
        <f t="array" ref="X4">INDEX(Page1!$E$9:$E$38, COLUMN(X4)-10)</f>
        <v>0</v>
      </c>
      <c r="Y4" s="47" cm="1">
        <f t="array" ref="Y4">INDEX(Page1!$E$9:$E$38, COLUMN(Y4)-10)</f>
        <v>0</v>
      </c>
      <c r="Z4" s="47" cm="1">
        <f t="array" ref="Z4">INDEX(Page1!$E$9:$E$38, COLUMN(Z4)-10)</f>
        <v>0</v>
      </c>
      <c r="AA4" s="47" cm="1">
        <f t="array" ref="AA4">INDEX(Page1!$E$9:$E$38, COLUMN(AA4)-10)</f>
        <v>0</v>
      </c>
      <c r="AB4" s="47" cm="1">
        <f t="array" ref="AB4">INDEX(Page1!$E$9:$E$38, COLUMN(AB4)-10)</f>
        <v>0</v>
      </c>
      <c r="AC4" s="47" cm="1">
        <f t="array" ref="AC4">INDEX(Page1!$E$9:$E$38, COLUMN(AC4)-10)</f>
        <v>0</v>
      </c>
      <c r="AD4" s="47" cm="1">
        <f t="array" ref="AD4">INDEX(Page1!$E$9:$E$38, COLUMN(AD4)-10)</f>
        <v>0</v>
      </c>
      <c r="AE4" s="47" cm="1">
        <f t="array" ref="AE4">INDEX(Page1!$E$9:$E$38, COLUMN(AE4)-10)</f>
        <v>0</v>
      </c>
      <c r="AF4" s="47" cm="1">
        <f t="array" ref="AF4">INDEX(Page1!$E$9:$E$38, COLUMN(AF4)-10)</f>
        <v>0</v>
      </c>
      <c r="AG4" s="47" cm="1">
        <f t="array" ref="AG4">INDEX(Page1!$E$9:$E$38, COLUMN(AG4)-10)</f>
        <v>0</v>
      </c>
      <c r="AH4" s="47" cm="1">
        <f t="array" ref="AH4">INDEX(Page1!$E$9:$E$38, COLUMN(AH4)-10)</f>
        <v>0</v>
      </c>
      <c r="AI4" s="47" cm="1">
        <f t="array" ref="AI4">INDEX(Page1!$E$9:$E$38, COLUMN(AI4)-10)</f>
        <v>0</v>
      </c>
      <c r="AJ4" s="47" cm="1">
        <f t="array" ref="AJ4">INDEX(Page1!$E$9:$E$38, COLUMN(AJ4)-10)</f>
        <v>0</v>
      </c>
      <c r="AK4" s="47" cm="1">
        <f t="array" ref="AK4">INDEX(Page1!$E$9:$E$38, COLUMN(AK4)-10)</f>
        <v>0</v>
      </c>
      <c r="AL4" s="47" cm="1">
        <f t="array" ref="AL4">INDEX(Page1!$E$9:$E$38, COLUMN(AL4)-10)</f>
        <v>0</v>
      </c>
      <c r="AM4" s="47" cm="1">
        <f t="array" ref="AM4">INDEX(Page1!$E$9:$E$38, COLUMN(AM4)-10)</f>
        <v>0</v>
      </c>
      <c r="AN4" s="47" cm="1">
        <f t="array" ref="AN4">INDEX(Page1!$E$9:$E$38, COLUMN(AN4)-10)</f>
        <v>0</v>
      </c>
      <c r="AO4" s="35">
        <f>AVERAGE(K4:AN4)</f>
        <v>0</v>
      </c>
      <c r="AP4" s="36">
        <f t="shared" si="0"/>
        <v>0</v>
      </c>
      <c r="AQ4" s="37" t="e">
        <f>MIN((AO4-H4)/(3*AP4), (I4-AO4)/(3*AP4))</f>
        <v>#DIV/0!</v>
      </c>
      <c r="AR4" s="36">
        <f t="shared" si="1"/>
        <v>0</v>
      </c>
      <c r="AS4" s="36">
        <f t="shared" si="2"/>
        <v>0</v>
      </c>
      <c r="AT4" s="24" t="e">
        <f>IF(AQ4&gt;=1,"Pass","Fail")</f>
        <v>#DIV/0!</v>
      </c>
      <c r="AU4" s="38"/>
      <c r="AV4" s="39"/>
      <c r="AW4" s="39"/>
    </row>
    <row r="5" spans="1:49" s="40" customFormat="1" ht="15" customHeight="1">
      <c r="A5" s="30">
        <v>3</v>
      </c>
      <c r="B5" s="31" t="s">
        <v>57</v>
      </c>
      <c r="C5" s="32" t="s">
        <v>44</v>
      </c>
      <c r="D5" s="33" t="s">
        <v>47</v>
      </c>
      <c r="E5" s="33">
        <v>1</v>
      </c>
      <c r="F5" s="33">
        <v>0.01</v>
      </c>
      <c r="G5" s="34" t="s">
        <v>51</v>
      </c>
      <c r="H5" s="34" t="s">
        <v>68</v>
      </c>
      <c r="I5" s="34">
        <v>0.35</v>
      </c>
      <c r="J5" s="34" t="s">
        <v>82</v>
      </c>
      <c r="K5" s="47" cm="1">
        <f t="array" ref="K5">INDEX(Page1!$F$9:$F$38, COLUMN(K5)-10)</f>
        <v>0</v>
      </c>
      <c r="L5" s="47" cm="1">
        <f t="array" ref="L5">INDEX(Page1!$F$9:$F$38, COLUMN(L5)-10)</f>
        <v>0</v>
      </c>
      <c r="M5" s="47" cm="1">
        <f t="array" ref="M5">INDEX(Page1!$F$9:$F$38, COLUMN(M5)-10)</f>
        <v>0</v>
      </c>
      <c r="N5" s="47" cm="1">
        <f t="array" ref="N5">INDEX(Page1!$F$9:$F$38, COLUMN(N5)-10)</f>
        <v>0</v>
      </c>
      <c r="O5" s="47" cm="1">
        <f t="array" ref="O5">INDEX(Page1!$F$9:$F$38, COLUMN(O5)-10)</f>
        <v>0</v>
      </c>
      <c r="P5" s="47" cm="1">
        <f t="array" ref="P5">INDEX(Page1!$F$9:$F$38, COLUMN(P5)-10)</f>
        <v>0</v>
      </c>
      <c r="Q5" s="47" cm="1">
        <f t="array" ref="Q5">INDEX(Page1!$F$9:$F$38, COLUMN(Q5)-10)</f>
        <v>0</v>
      </c>
      <c r="R5" s="47" cm="1">
        <f t="array" ref="R5">INDEX(Page1!$F$9:$F$38, COLUMN(R5)-10)</f>
        <v>0</v>
      </c>
      <c r="S5" s="47" cm="1">
        <f t="array" ref="S5">INDEX(Page1!$F$9:$F$38, COLUMN(S5)-10)</f>
        <v>0</v>
      </c>
      <c r="T5" s="47" cm="1">
        <f t="array" ref="T5">INDEX(Page1!$F$9:$F$38, COLUMN(T5)-10)</f>
        <v>0</v>
      </c>
      <c r="U5" s="47" cm="1">
        <f t="array" ref="U5">INDEX(Page1!$F$9:$F$38, COLUMN(U5)-10)</f>
        <v>0</v>
      </c>
      <c r="V5" s="47" cm="1">
        <f t="array" ref="V5">INDEX(Page1!$F$9:$F$38, COLUMN(V5)-10)</f>
        <v>0</v>
      </c>
      <c r="W5" s="47" cm="1">
        <f t="array" ref="W5">INDEX(Page1!$F$9:$F$38, COLUMN(W5)-10)</f>
        <v>0</v>
      </c>
      <c r="X5" s="47" cm="1">
        <f t="array" ref="X5">INDEX(Page1!$F$9:$F$38, COLUMN(X5)-10)</f>
        <v>0</v>
      </c>
      <c r="Y5" s="47" cm="1">
        <f t="array" ref="Y5">INDEX(Page1!$F$9:$F$38, COLUMN(Y5)-10)</f>
        <v>0</v>
      </c>
      <c r="Z5" s="47" cm="1">
        <f t="array" ref="Z5">INDEX(Page1!$F$9:$F$38, COLUMN(Z5)-10)</f>
        <v>0</v>
      </c>
      <c r="AA5" s="47" cm="1">
        <f t="array" ref="AA5">INDEX(Page1!$F$9:$F$38, COLUMN(AA5)-10)</f>
        <v>0</v>
      </c>
      <c r="AB5" s="47" cm="1">
        <f t="array" ref="AB5">INDEX(Page1!$F$9:$F$38, COLUMN(AB5)-10)</f>
        <v>0</v>
      </c>
      <c r="AC5" s="47" cm="1">
        <f t="array" ref="AC5">INDEX(Page1!$F$9:$F$38, COLUMN(AC5)-10)</f>
        <v>0</v>
      </c>
      <c r="AD5" s="47" cm="1">
        <f t="array" ref="AD5">INDEX(Page1!$F$9:$F$38, COLUMN(AD5)-10)</f>
        <v>0</v>
      </c>
      <c r="AE5" s="47" cm="1">
        <f t="array" ref="AE5">INDEX(Page1!$F$9:$F$38, COLUMN(AE5)-10)</f>
        <v>0</v>
      </c>
      <c r="AF5" s="47" cm="1">
        <f t="array" ref="AF5">INDEX(Page1!$F$9:$F$38, COLUMN(AF5)-10)</f>
        <v>0</v>
      </c>
      <c r="AG5" s="47" cm="1">
        <f t="array" ref="AG5">INDEX(Page1!$F$9:$F$38, COLUMN(AG5)-10)</f>
        <v>0</v>
      </c>
      <c r="AH5" s="47" cm="1">
        <f t="array" ref="AH5">INDEX(Page1!$F$9:$F$38, COLUMN(AH5)-10)</f>
        <v>0</v>
      </c>
      <c r="AI5" s="47" cm="1">
        <f t="array" ref="AI5">INDEX(Page1!$F$9:$F$38, COLUMN(AI5)-10)</f>
        <v>0</v>
      </c>
      <c r="AJ5" s="47" cm="1">
        <f t="array" ref="AJ5">INDEX(Page1!$F$9:$F$38, COLUMN(AJ5)-10)</f>
        <v>0</v>
      </c>
      <c r="AK5" s="47" cm="1">
        <f t="array" ref="AK5">INDEX(Page1!$F$9:$F$38, COLUMN(AK5)-10)</f>
        <v>0</v>
      </c>
      <c r="AL5" s="47" cm="1">
        <f t="array" ref="AL5">INDEX(Page1!$F$9:$F$38, COLUMN(AL5)-10)</f>
        <v>0</v>
      </c>
      <c r="AM5" s="47" cm="1">
        <f t="array" ref="AM5">INDEX(Page1!$F$9:$F$38, COLUMN(AM5)-10)</f>
        <v>0</v>
      </c>
      <c r="AN5" s="47" cm="1">
        <f t="array" ref="AN5">INDEX(Page1!$F$9:$F$38, COLUMN(AN5)-10)</f>
        <v>0</v>
      </c>
      <c r="AO5" s="35">
        <f t="shared" ref="AO5:AO16" si="3">AVERAGE(K5:AN5)</f>
        <v>0</v>
      </c>
      <c r="AP5" s="36">
        <f t="shared" si="0"/>
        <v>0</v>
      </c>
      <c r="AQ5" s="37" t="e">
        <f>MIN((AO5-H5)/(3*AP5), (I5-AO5)/(3*AP5))</f>
        <v>#DIV/0!</v>
      </c>
      <c r="AR5" s="36">
        <f t="shared" si="1"/>
        <v>0</v>
      </c>
      <c r="AS5" s="36">
        <f t="shared" si="2"/>
        <v>0</v>
      </c>
      <c r="AT5" s="24" t="e">
        <f>IF(AQ5&gt;=1,"Pass","Fail")</f>
        <v>#DIV/0!</v>
      </c>
      <c r="AU5" s="38"/>
      <c r="AV5" s="39"/>
      <c r="AW5" s="39"/>
    </row>
    <row r="6" spans="1:49" s="40" customFormat="1" ht="15" customHeight="1">
      <c r="A6" s="30">
        <v>4</v>
      </c>
      <c r="B6" s="31" t="s">
        <v>58</v>
      </c>
      <c r="C6" s="32" t="s">
        <v>44</v>
      </c>
      <c r="D6" s="33" t="s">
        <v>48</v>
      </c>
      <c r="E6" s="33">
        <v>1</v>
      </c>
      <c r="F6" s="33">
        <v>0.1</v>
      </c>
      <c r="G6" s="33" t="s">
        <v>69</v>
      </c>
      <c r="H6" s="33" t="s">
        <v>70</v>
      </c>
      <c r="I6" s="33" t="s">
        <v>71</v>
      </c>
      <c r="J6" s="34" t="s">
        <v>49</v>
      </c>
      <c r="K6" s="48" cm="1">
        <f t="array" ref="K6">INDEX(Page1!$G$9:$G$38, COLUMN(K6)-10)</f>
        <v>0</v>
      </c>
      <c r="L6" s="48" cm="1">
        <f t="array" ref="L6">INDEX(Page1!$G$9:$G$38, COLUMN(L6)-10)</f>
        <v>0</v>
      </c>
      <c r="M6" s="48" cm="1">
        <f t="array" ref="M6">INDEX(Page1!$G$9:$G$38, COLUMN(M6)-10)</f>
        <v>0</v>
      </c>
      <c r="N6" s="48" cm="1">
        <f t="array" ref="N6">INDEX(Page1!$G$9:$G$38, COLUMN(N6)-10)</f>
        <v>0</v>
      </c>
      <c r="O6" s="48" cm="1">
        <f t="array" ref="O6">INDEX(Page1!$G$9:$G$38, COLUMN(O6)-10)</f>
        <v>0</v>
      </c>
      <c r="P6" s="48" cm="1">
        <f t="array" ref="P6">INDEX(Page1!$G$9:$G$38, COLUMN(P6)-10)</f>
        <v>0</v>
      </c>
      <c r="Q6" s="48" cm="1">
        <f t="array" ref="Q6">INDEX(Page1!$G$9:$G$38, COLUMN(Q6)-10)</f>
        <v>0</v>
      </c>
      <c r="R6" s="48" cm="1">
        <f t="array" ref="R6">INDEX(Page1!$G$9:$G$38, COLUMN(R6)-10)</f>
        <v>0</v>
      </c>
      <c r="S6" s="48" cm="1">
        <f t="array" ref="S6">INDEX(Page1!$G$9:$G$38, COLUMN(S6)-10)</f>
        <v>0</v>
      </c>
      <c r="T6" s="48" cm="1">
        <f t="array" ref="T6">INDEX(Page1!$G$9:$G$38, COLUMN(T6)-10)</f>
        <v>0</v>
      </c>
      <c r="U6" s="48" cm="1">
        <f t="array" ref="U6">INDEX(Page1!$G$9:$G$38, COLUMN(U6)-10)</f>
        <v>0</v>
      </c>
      <c r="V6" s="48" cm="1">
        <f t="array" ref="V6">INDEX(Page1!$G$9:$G$38, COLUMN(V6)-10)</f>
        <v>0</v>
      </c>
      <c r="W6" s="48" cm="1">
        <f t="array" ref="W6">INDEX(Page1!$G$9:$G$38, COLUMN(W6)-10)</f>
        <v>0</v>
      </c>
      <c r="X6" s="48" cm="1">
        <f t="array" ref="X6">INDEX(Page1!$G$9:$G$38, COLUMN(X6)-10)</f>
        <v>0</v>
      </c>
      <c r="Y6" s="48" cm="1">
        <f t="array" ref="Y6">INDEX(Page1!$G$9:$G$38, COLUMN(Y6)-10)</f>
        <v>0</v>
      </c>
      <c r="Z6" s="48" cm="1">
        <f t="array" ref="Z6">INDEX(Page1!$G$9:$G$38, COLUMN(Z6)-10)</f>
        <v>0</v>
      </c>
      <c r="AA6" s="48" cm="1">
        <f t="array" ref="AA6">INDEX(Page1!$G$9:$G$38, COLUMN(AA6)-10)</f>
        <v>0</v>
      </c>
      <c r="AB6" s="48" cm="1">
        <f t="array" ref="AB6">INDEX(Page1!$G$9:$G$38, COLUMN(AB6)-10)</f>
        <v>0</v>
      </c>
      <c r="AC6" s="48" cm="1">
        <f t="array" ref="AC6">INDEX(Page1!$G$9:$G$38, COLUMN(AC6)-10)</f>
        <v>0</v>
      </c>
      <c r="AD6" s="48" cm="1">
        <f t="array" ref="AD6">INDEX(Page1!$G$9:$G$38, COLUMN(AD6)-10)</f>
        <v>0</v>
      </c>
      <c r="AE6" s="48" cm="1">
        <f t="array" ref="AE6">INDEX(Page1!$G$9:$G$38, COLUMN(AE6)-10)</f>
        <v>0</v>
      </c>
      <c r="AF6" s="48" cm="1">
        <f t="array" ref="AF6">INDEX(Page1!$G$9:$G$38, COLUMN(AF6)-10)</f>
        <v>0</v>
      </c>
      <c r="AG6" s="48" cm="1">
        <f t="array" ref="AG6">INDEX(Page1!$G$9:$G$38, COLUMN(AG6)-10)</f>
        <v>0</v>
      </c>
      <c r="AH6" s="48" cm="1">
        <f t="array" ref="AH6">INDEX(Page1!$G$9:$G$38, COLUMN(AH6)-10)</f>
        <v>0</v>
      </c>
      <c r="AI6" s="48" cm="1">
        <f t="array" ref="AI6">INDEX(Page1!$G$9:$G$38, COLUMN(AI6)-10)</f>
        <v>0</v>
      </c>
      <c r="AJ6" s="48" cm="1">
        <f t="array" ref="AJ6">INDEX(Page1!$G$9:$G$38, COLUMN(AJ6)-10)</f>
        <v>0</v>
      </c>
      <c r="AK6" s="48" cm="1">
        <f t="array" ref="AK6">INDEX(Page1!$G$9:$G$38, COLUMN(AK6)-10)</f>
        <v>0</v>
      </c>
      <c r="AL6" s="48" cm="1">
        <f t="array" ref="AL6">INDEX(Page1!$G$9:$G$38, COLUMN(AL6)-10)</f>
        <v>0</v>
      </c>
      <c r="AM6" s="48" cm="1">
        <f t="array" ref="AM6">INDEX(Page1!$G$9:$G$38, COLUMN(AM6)-10)</f>
        <v>0</v>
      </c>
      <c r="AN6" s="48" cm="1">
        <f t="array" ref="AN6">INDEX(Page1!$G$9:$G$38, COLUMN(AN6)-10)</f>
        <v>0</v>
      </c>
      <c r="AO6" s="41">
        <f t="shared" si="3"/>
        <v>0</v>
      </c>
      <c r="AP6" s="36">
        <f t="shared" si="0"/>
        <v>0</v>
      </c>
      <c r="AQ6" s="37" t="e">
        <f>MIN((AO6-H6)/(3*AP6), (I6-AO6)/(3*AP6))</f>
        <v>#DIV/0!</v>
      </c>
      <c r="AR6" s="42">
        <f t="shared" si="1"/>
        <v>0</v>
      </c>
      <c r="AS6" s="42">
        <f t="shared" si="2"/>
        <v>0</v>
      </c>
      <c r="AT6" s="24" t="e">
        <f t="shared" ref="AT6:AT16" si="4">IF(AQ6&gt;=1.33,"Pass","Fail")</f>
        <v>#DIV/0!</v>
      </c>
      <c r="AU6" s="38"/>
      <c r="AV6" s="39"/>
      <c r="AW6" s="39"/>
    </row>
    <row r="7" spans="1:49" s="40" customFormat="1" ht="15" customHeight="1">
      <c r="A7" s="30">
        <v>5</v>
      </c>
      <c r="B7" s="31" t="s">
        <v>64</v>
      </c>
      <c r="C7" s="32" t="s">
        <v>44</v>
      </c>
      <c r="D7" s="33" t="s">
        <v>78</v>
      </c>
      <c r="E7" s="33">
        <v>3</v>
      </c>
      <c r="F7" s="33">
        <v>0.1</v>
      </c>
      <c r="G7" s="34">
        <v>24.7</v>
      </c>
      <c r="H7" s="34">
        <v>18.2</v>
      </c>
      <c r="I7" s="34">
        <v>31.2</v>
      </c>
      <c r="J7" s="34">
        <v>1.33</v>
      </c>
      <c r="K7" s="48" t="e" cm="1">
        <f t="array" ref="K7">INDEX(Page1!$K$9:$K$38, COLUMN(K7)-10)</f>
        <v>#DIV/0!</v>
      </c>
      <c r="L7" s="48" t="e" cm="1">
        <f t="array" ref="L7">INDEX(Page1!$K$9:$K$38, COLUMN(L7)-10)</f>
        <v>#DIV/0!</v>
      </c>
      <c r="M7" s="48" t="e" cm="1">
        <f t="array" ref="M7">INDEX(Page1!$K$9:$K$38, COLUMN(M7)-10)</f>
        <v>#DIV/0!</v>
      </c>
      <c r="N7" s="48" t="e" cm="1">
        <f t="array" ref="N7">INDEX(Page1!$K$9:$K$38, COLUMN(N7)-10)</f>
        <v>#DIV/0!</v>
      </c>
      <c r="O7" s="48" t="e" cm="1">
        <f t="array" ref="O7">INDEX(Page1!$K$9:$K$38, COLUMN(O7)-10)</f>
        <v>#DIV/0!</v>
      </c>
      <c r="P7" s="48" t="e" cm="1">
        <f t="array" ref="P7">INDEX(Page1!$K$9:$K$38, COLUMN(P7)-10)</f>
        <v>#DIV/0!</v>
      </c>
      <c r="Q7" s="48" t="e" cm="1">
        <f t="array" ref="Q7">INDEX(Page1!$K$9:$K$38, COLUMN(Q7)-10)</f>
        <v>#DIV/0!</v>
      </c>
      <c r="R7" s="48" t="e" cm="1">
        <f t="array" ref="R7">INDEX(Page1!$K$9:$K$38, COLUMN(R7)-10)</f>
        <v>#DIV/0!</v>
      </c>
      <c r="S7" s="48" t="e" cm="1">
        <f t="array" ref="S7">INDEX(Page1!$K$9:$K$38, COLUMN(S7)-10)</f>
        <v>#DIV/0!</v>
      </c>
      <c r="T7" s="48" t="e" cm="1">
        <f t="array" ref="T7">INDEX(Page1!$K$9:$K$38, COLUMN(T7)-10)</f>
        <v>#DIV/0!</v>
      </c>
      <c r="U7" s="48" t="e" cm="1">
        <f t="array" ref="U7">INDEX(Page1!$K$9:$K$38, COLUMN(U7)-10)</f>
        <v>#DIV/0!</v>
      </c>
      <c r="V7" s="48" t="e" cm="1">
        <f t="array" ref="V7">INDEX(Page1!$K$9:$K$38, COLUMN(V7)-10)</f>
        <v>#DIV/0!</v>
      </c>
      <c r="W7" s="48" t="e" cm="1">
        <f t="array" ref="W7">INDEX(Page1!$K$9:$K$38, COLUMN(W7)-10)</f>
        <v>#DIV/0!</v>
      </c>
      <c r="X7" s="48" t="e" cm="1">
        <f t="array" ref="X7">INDEX(Page1!$K$9:$K$38, COLUMN(X7)-10)</f>
        <v>#DIV/0!</v>
      </c>
      <c r="Y7" s="48" t="e" cm="1">
        <f t="array" ref="Y7">INDEX(Page1!$K$9:$K$38, COLUMN(Y7)-10)</f>
        <v>#DIV/0!</v>
      </c>
      <c r="Z7" s="48" t="e" cm="1">
        <f t="array" ref="Z7">INDEX(Page1!$K$9:$K$38, COLUMN(Z7)-10)</f>
        <v>#DIV/0!</v>
      </c>
      <c r="AA7" s="48" t="e" cm="1">
        <f t="array" ref="AA7">INDEX(Page1!$K$9:$K$38, COLUMN(AA7)-10)</f>
        <v>#DIV/0!</v>
      </c>
      <c r="AB7" s="48" t="e" cm="1">
        <f t="array" ref="AB7">INDEX(Page1!$K$9:$K$38, COLUMN(AB7)-10)</f>
        <v>#DIV/0!</v>
      </c>
      <c r="AC7" s="48" t="e" cm="1">
        <f t="array" ref="AC7">INDEX(Page1!$K$9:$K$38, COLUMN(AC7)-10)</f>
        <v>#DIV/0!</v>
      </c>
      <c r="AD7" s="48" t="e" cm="1">
        <f t="array" ref="AD7">INDEX(Page1!$K$9:$K$38, COLUMN(AD7)-10)</f>
        <v>#DIV/0!</v>
      </c>
      <c r="AE7" s="48" t="e" cm="1">
        <f t="array" ref="AE7">INDEX(Page1!$K$9:$K$38, COLUMN(AE7)-10)</f>
        <v>#DIV/0!</v>
      </c>
      <c r="AF7" s="48" t="e" cm="1">
        <f t="array" ref="AF7">INDEX(Page1!$K$9:$K$38, COLUMN(AF7)-10)</f>
        <v>#DIV/0!</v>
      </c>
      <c r="AG7" s="48" t="e" cm="1">
        <f t="array" ref="AG7">INDEX(Page1!$K$9:$K$38, COLUMN(AG7)-10)</f>
        <v>#DIV/0!</v>
      </c>
      <c r="AH7" s="48" t="e" cm="1">
        <f t="array" ref="AH7">INDEX(Page1!$K$9:$K$38, COLUMN(AH7)-10)</f>
        <v>#DIV/0!</v>
      </c>
      <c r="AI7" s="48" t="e" cm="1">
        <f t="array" ref="AI7">INDEX(Page1!$K$9:$K$38, COLUMN(AI7)-10)</f>
        <v>#DIV/0!</v>
      </c>
      <c r="AJ7" s="48" t="e" cm="1">
        <f t="array" ref="AJ7">INDEX(Page1!$K$9:$K$38, COLUMN(AJ7)-10)</f>
        <v>#DIV/0!</v>
      </c>
      <c r="AK7" s="48" t="e" cm="1">
        <f t="array" ref="AK7">INDEX(Page1!$K$9:$K$38, COLUMN(AK7)-10)</f>
        <v>#DIV/0!</v>
      </c>
      <c r="AL7" s="48" t="e" cm="1">
        <f t="array" ref="AL7">INDEX(Page1!$K$9:$K$38, COLUMN(AL7)-10)</f>
        <v>#DIV/0!</v>
      </c>
      <c r="AM7" s="48" t="e" cm="1">
        <f t="array" ref="AM7">INDEX(Page1!$K$9:$K$38, COLUMN(AM7)-10)</f>
        <v>#DIV/0!</v>
      </c>
      <c r="AN7" s="48" t="e" cm="1">
        <f t="array" ref="AN7">INDEX(Page1!$K$9:$K$38, COLUMN(AN7)-10)</f>
        <v>#DIV/0!</v>
      </c>
      <c r="AO7" s="41" t="e">
        <f>AVERAGE(K7:AN7)</f>
        <v>#DIV/0!</v>
      </c>
      <c r="AP7" s="36" t="e">
        <f>STDEV(K7:AN7)</f>
        <v>#DIV/0!</v>
      </c>
      <c r="AQ7" s="37" t="e">
        <f>MIN((AO7-H7)/(3*AP7), (I7-AO7)/(3*AP7))</f>
        <v>#DIV/0!</v>
      </c>
      <c r="AR7" s="42" t="e">
        <f>MIN(K7:AN7)</f>
        <v>#DIV/0!</v>
      </c>
      <c r="AS7" s="42" t="e">
        <f>MAX(K7:AN7)</f>
        <v>#DIV/0!</v>
      </c>
      <c r="AT7" s="24" t="e">
        <f>IF(AQ7&gt;=1.33,"Pass","Fail")</f>
        <v>#DIV/0!</v>
      </c>
      <c r="AU7" s="38"/>
      <c r="AV7" s="39"/>
      <c r="AW7" s="39"/>
    </row>
    <row r="8" spans="1:49" s="40" customFormat="1" ht="15" customHeight="1">
      <c r="A8" s="30">
        <v>6</v>
      </c>
      <c r="B8" s="31" t="s">
        <v>65</v>
      </c>
      <c r="C8" s="32" t="s">
        <v>44</v>
      </c>
      <c r="D8" s="43" t="s">
        <v>79</v>
      </c>
      <c r="E8" s="33">
        <v>1</v>
      </c>
      <c r="F8" s="33">
        <v>0.1</v>
      </c>
      <c r="G8" s="34" t="s">
        <v>72</v>
      </c>
      <c r="H8" s="34"/>
      <c r="I8" s="34" t="s">
        <v>81</v>
      </c>
      <c r="J8" s="34" t="s">
        <v>49</v>
      </c>
      <c r="K8" s="48" cm="1">
        <f t="array" ref="K8">INDEX(Page1!$L$9:$L$38, COLUMN(K8)-10)</f>
        <v>0</v>
      </c>
      <c r="L8" s="48" cm="1">
        <f t="array" ref="L8">INDEX(Page1!$L$9:$L$38, COLUMN(L8)-10)</f>
        <v>0</v>
      </c>
      <c r="M8" s="48" cm="1">
        <f t="array" ref="M8">INDEX(Page1!$L$9:$L$38, COLUMN(M8)-10)</f>
        <v>0</v>
      </c>
      <c r="N8" s="48" cm="1">
        <f t="array" ref="N8">INDEX(Page1!$L$9:$L$38, COLUMN(N8)-10)</f>
        <v>0</v>
      </c>
      <c r="O8" s="48" cm="1">
        <f t="array" ref="O8">INDEX(Page1!$L$9:$L$38, COLUMN(O8)-10)</f>
        <v>0</v>
      </c>
      <c r="P8" s="48" cm="1">
        <f t="array" ref="P8">INDEX(Page1!$L$9:$L$38, COLUMN(P8)-10)</f>
        <v>0</v>
      </c>
      <c r="Q8" s="48" cm="1">
        <f t="array" ref="Q8">INDEX(Page1!$L$9:$L$38, COLUMN(Q8)-10)</f>
        <v>0</v>
      </c>
      <c r="R8" s="48" cm="1">
        <f t="array" ref="R8">INDEX(Page1!$L$9:$L$38, COLUMN(R8)-10)</f>
        <v>0</v>
      </c>
      <c r="S8" s="48" cm="1">
        <f t="array" ref="S8">INDEX(Page1!$L$9:$L$38, COLUMN(S8)-10)</f>
        <v>0</v>
      </c>
      <c r="T8" s="48" cm="1">
        <f t="array" ref="T8">INDEX(Page1!$L$9:$L$38, COLUMN(T8)-10)</f>
        <v>0</v>
      </c>
      <c r="U8" s="48" cm="1">
        <f t="array" ref="U8">INDEX(Page1!$L$9:$L$38, COLUMN(U8)-10)</f>
        <v>0</v>
      </c>
      <c r="V8" s="48" cm="1">
        <f t="array" ref="V8">INDEX(Page1!$L$9:$L$38, COLUMN(V8)-10)</f>
        <v>0</v>
      </c>
      <c r="W8" s="48" cm="1">
        <f t="array" ref="W8">INDEX(Page1!$L$9:$L$38, COLUMN(W8)-10)</f>
        <v>0</v>
      </c>
      <c r="X8" s="48" cm="1">
        <f t="array" ref="X8">INDEX(Page1!$L$9:$L$38, COLUMN(X8)-10)</f>
        <v>0</v>
      </c>
      <c r="Y8" s="48" cm="1">
        <f t="array" ref="Y8">INDEX(Page1!$L$9:$L$38, COLUMN(Y8)-10)</f>
        <v>0</v>
      </c>
      <c r="Z8" s="48" cm="1">
        <f t="array" ref="Z8">INDEX(Page1!$L$9:$L$38, COLUMN(Z8)-10)</f>
        <v>0</v>
      </c>
      <c r="AA8" s="48" cm="1">
        <f t="array" ref="AA8">INDEX(Page1!$L$9:$L$38, COLUMN(AA8)-10)</f>
        <v>0</v>
      </c>
      <c r="AB8" s="48" cm="1">
        <f t="array" ref="AB8">INDEX(Page1!$L$9:$L$38, COLUMN(AB8)-10)</f>
        <v>0</v>
      </c>
      <c r="AC8" s="48" cm="1">
        <f t="array" ref="AC8">INDEX(Page1!$L$9:$L$38, COLUMN(AC8)-10)</f>
        <v>0</v>
      </c>
      <c r="AD8" s="48" cm="1">
        <f t="array" ref="AD8">INDEX(Page1!$L$9:$L$38, COLUMN(AD8)-10)</f>
        <v>0</v>
      </c>
      <c r="AE8" s="48" cm="1">
        <f t="array" ref="AE8">INDEX(Page1!$L$9:$L$38, COLUMN(AE8)-10)</f>
        <v>0</v>
      </c>
      <c r="AF8" s="48" cm="1">
        <f t="array" ref="AF8">INDEX(Page1!$L$9:$L$38, COLUMN(AF8)-10)</f>
        <v>0</v>
      </c>
      <c r="AG8" s="48" cm="1">
        <f t="array" ref="AG8">INDEX(Page1!$L$9:$L$38, COLUMN(AG8)-10)</f>
        <v>0</v>
      </c>
      <c r="AH8" s="48" cm="1">
        <f t="array" ref="AH8">INDEX(Page1!$L$9:$L$38, COLUMN(AH8)-10)</f>
        <v>0</v>
      </c>
      <c r="AI8" s="48" cm="1">
        <f t="array" ref="AI8">INDEX(Page1!$L$9:$L$38, COLUMN(AI8)-10)</f>
        <v>0</v>
      </c>
      <c r="AJ8" s="48" cm="1">
        <f t="array" ref="AJ8">INDEX(Page1!$L$9:$L$38, COLUMN(AJ8)-10)</f>
        <v>0</v>
      </c>
      <c r="AK8" s="48" cm="1">
        <f t="array" ref="AK8">INDEX(Page1!$L$9:$L$38, COLUMN(AK8)-10)</f>
        <v>0</v>
      </c>
      <c r="AL8" s="48" cm="1">
        <f t="array" ref="AL8">INDEX(Page1!$L$9:$L$38, COLUMN(AL8)-10)</f>
        <v>0</v>
      </c>
      <c r="AM8" s="48" cm="1">
        <f t="array" ref="AM8">INDEX(Page1!$L$9:$L$38, COLUMN(AM8)-10)</f>
        <v>0</v>
      </c>
      <c r="AN8" s="48" cm="1">
        <f t="array" ref="AN8">INDEX(Page1!$L$9:$L$38, COLUMN(AN8)-10)</f>
        <v>0</v>
      </c>
      <c r="AO8" s="41">
        <f>AVERAGE(K8:AN8)</f>
        <v>0</v>
      </c>
      <c r="AP8" s="36">
        <f>STDEV(K8:AN8)</f>
        <v>0</v>
      </c>
      <c r="AQ8" s="37" t="e">
        <f>(I8-AO8)/(3*AP8)</f>
        <v>#DIV/0!</v>
      </c>
      <c r="AR8" s="42">
        <f>MIN(K8:AN8)</f>
        <v>0</v>
      </c>
      <c r="AS8" s="42">
        <f>MAX(K8:AN8)</f>
        <v>0</v>
      </c>
      <c r="AT8" s="24" t="e">
        <f>IF(AQ8&gt;=1.33,"Pass","Fail")</f>
        <v>#DIV/0!</v>
      </c>
      <c r="AU8" s="38"/>
      <c r="AV8" s="39"/>
      <c r="AW8" s="39"/>
    </row>
    <row r="9" spans="1:49" s="40" customFormat="1" ht="15" customHeight="1">
      <c r="A9" s="30">
        <v>7</v>
      </c>
      <c r="B9" s="31" t="s">
        <v>59</v>
      </c>
      <c r="C9" s="32" t="s">
        <v>44</v>
      </c>
      <c r="D9" s="33" t="s">
        <v>48</v>
      </c>
      <c r="E9" s="33">
        <v>1</v>
      </c>
      <c r="F9" s="33">
        <v>0.01</v>
      </c>
      <c r="G9" s="34">
        <v>2.77</v>
      </c>
      <c r="H9" s="34">
        <v>1.77</v>
      </c>
      <c r="I9" s="34"/>
      <c r="J9" s="34">
        <v>1.33</v>
      </c>
      <c r="K9" s="47" cm="1">
        <f t="array" ref="K9">INDEX(Page2!$D$9:$D$38, COLUMN(K9)-10)</f>
        <v>0</v>
      </c>
      <c r="L9" s="47" cm="1">
        <f t="array" ref="L9">INDEX(Page2!$D$9:$D$38, COLUMN(L9)-10)</f>
        <v>0</v>
      </c>
      <c r="M9" s="47" cm="1">
        <f t="array" ref="M9">INDEX(Page2!$D$9:$D$38, COLUMN(M9)-10)</f>
        <v>0</v>
      </c>
      <c r="N9" s="47" cm="1">
        <f t="array" ref="N9">INDEX(Page2!$D$9:$D$38, COLUMN(N9)-10)</f>
        <v>0</v>
      </c>
      <c r="O9" s="47" cm="1">
        <f t="array" ref="O9">INDEX(Page2!$D$9:$D$38, COLUMN(O9)-10)</f>
        <v>0</v>
      </c>
      <c r="P9" s="47" cm="1">
        <f t="array" ref="P9">INDEX(Page2!$D$9:$D$38, COLUMN(P9)-10)</f>
        <v>0</v>
      </c>
      <c r="Q9" s="47" cm="1">
        <f t="array" ref="Q9">INDEX(Page2!$D$9:$D$38, COLUMN(Q9)-10)</f>
        <v>0</v>
      </c>
      <c r="R9" s="47" cm="1">
        <f t="array" ref="R9">INDEX(Page2!$D$9:$D$38, COLUMN(R9)-10)</f>
        <v>0</v>
      </c>
      <c r="S9" s="47" cm="1">
        <f t="array" ref="S9">INDEX(Page2!$D$9:$D$38, COLUMN(S9)-10)</f>
        <v>0</v>
      </c>
      <c r="T9" s="47" cm="1">
        <f t="array" ref="T9">INDEX(Page2!$D$9:$D$38, COLUMN(T9)-10)</f>
        <v>0</v>
      </c>
      <c r="U9" s="47" cm="1">
        <f t="array" ref="U9">INDEX(Page2!$D$9:$D$38, COLUMN(U9)-10)</f>
        <v>0</v>
      </c>
      <c r="V9" s="47" cm="1">
        <f t="array" ref="V9">INDEX(Page2!$D$9:$D$38, COLUMN(V9)-10)</f>
        <v>0</v>
      </c>
      <c r="W9" s="47" cm="1">
        <f t="array" ref="W9">INDEX(Page2!$D$9:$D$38, COLUMN(W9)-10)</f>
        <v>0</v>
      </c>
      <c r="X9" s="47" cm="1">
        <f t="array" ref="X9">INDEX(Page2!$D$9:$D$38, COLUMN(X9)-10)</f>
        <v>0</v>
      </c>
      <c r="Y9" s="47" cm="1">
        <f t="array" ref="Y9">INDEX(Page2!$D$9:$D$38, COLUMN(Y9)-10)</f>
        <v>0</v>
      </c>
      <c r="Z9" s="47" cm="1">
        <f t="array" ref="Z9">INDEX(Page2!$D$9:$D$38, COLUMN(Z9)-10)</f>
        <v>0</v>
      </c>
      <c r="AA9" s="47" cm="1">
        <f t="array" ref="AA9">INDEX(Page2!$D$9:$D$38, COLUMN(AA9)-10)</f>
        <v>0</v>
      </c>
      <c r="AB9" s="47" cm="1">
        <f t="array" ref="AB9">INDEX(Page2!$D$9:$D$38, COLUMN(AB9)-10)</f>
        <v>0</v>
      </c>
      <c r="AC9" s="47" cm="1">
        <f t="array" ref="AC9">INDEX(Page2!$D$9:$D$38, COLUMN(AC9)-10)</f>
        <v>0</v>
      </c>
      <c r="AD9" s="47" cm="1">
        <f t="array" ref="AD9">INDEX(Page2!$D$9:$D$38, COLUMN(AD9)-10)</f>
        <v>0</v>
      </c>
      <c r="AE9" s="47" cm="1">
        <f t="array" ref="AE9">INDEX(Page2!$D$9:$D$38, COLUMN(AE9)-10)</f>
        <v>0</v>
      </c>
      <c r="AF9" s="47" cm="1">
        <f t="array" ref="AF9">INDEX(Page2!$D$9:$D$38, COLUMN(AF9)-10)</f>
        <v>0</v>
      </c>
      <c r="AG9" s="47" cm="1">
        <f t="array" ref="AG9">INDEX(Page2!$D$9:$D$38, COLUMN(AG9)-10)</f>
        <v>0</v>
      </c>
      <c r="AH9" s="47" cm="1">
        <f t="array" ref="AH9">INDEX(Page2!$D$9:$D$38, COLUMN(AH9)-10)</f>
        <v>0</v>
      </c>
      <c r="AI9" s="47" cm="1">
        <f t="array" ref="AI9">INDEX(Page2!$D$9:$D$38, COLUMN(AI9)-10)</f>
        <v>0</v>
      </c>
      <c r="AJ9" s="47" cm="1">
        <f t="array" ref="AJ9">INDEX(Page2!$D$9:$D$38, COLUMN(AJ9)-10)</f>
        <v>0</v>
      </c>
      <c r="AK9" s="47" cm="1">
        <f t="array" ref="AK9">INDEX(Page2!$D$9:$D$38, COLUMN(AK9)-10)</f>
        <v>0</v>
      </c>
      <c r="AL9" s="47" cm="1">
        <f t="array" ref="AL9">INDEX(Page2!$D$9:$D$38, COLUMN(AL9)-10)</f>
        <v>0</v>
      </c>
      <c r="AM9" s="47" cm="1">
        <f t="array" ref="AM9">INDEX(Page2!$D$9:$D$38, COLUMN(AM9)-10)</f>
        <v>0</v>
      </c>
      <c r="AN9" s="47" t="e" cm="1">
        <f t="array" ref="AN9">INDEX(Page2!$D$9:$D$38, COLUMN(AN9)-10)</f>
        <v>#DIV/0!</v>
      </c>
      <c r="AO9" s="35" t="e">
        <f t="shared" si="3"/>
        <v>#DIV/0!</v>
      </c>
      <c r="AP9" s="36" t="e">
        <f t="shared" si="0"/>
        <v>#DIV/0!</v>
      </c>
      <c r="AQ9" s="37" t="e">
        <f>(AO9-H9)/(3*AP9)</f>
        <v>#DIV/0!</v>
      </c>
      <c r="AR9" s="36" t="e">
        <f t="shared" si="1"/>
        <v>#DIV/0!</v>
      </c>
      <c r="AS9" s="36" t="e">
        <f t="shared" si="2"/>
        <v>#DIV/0!</v>
      </c>
      <c r="AT9" s="24" t="e">
        <f t="shared" si="4"/>
        <v>#DIV/0!</v>
      </c>
      <c r="AU9" s="38"/>
      <c r="AV9" s="39"/>
      <c r="AW9" s="39"/>
    </row>
    <row r="10" spans="1:49" s="40" customFormat="1" ht="15" customHeight="1">
      <c r="A10" s="30">
        <v>8</v>
      </c>
      <c r="B10" s="31" t="s">
        <v>62</v>
      </c>
      <c r="C10" s="32" t="s">
        <v>44</v>
      </c>
      <c r="D10" s="33" t="s">
        <v>47</v>
      </c>
      <c r="E10" s="33">
        <v>1</v>
      </c>
      <c r="F10" s="33">
        <v>0.01</v>
      </c>
      <c r="G10" s="34">
        <v>12.57</v>
      </c>
      <c r="H10" s="34">
        <v>9.07</v>
      </c>
      <c r="I10" s="34"/>
      <c r="J10" s="34">
        <v>1.33</v>
      </c>
      <c r="K10" s="47" cm="1">
        <f t="array" ref="K10">INDEX(Page2!$E$9:$E$38, COLUMN(K10)-10)</f>
        <v>0</v>
      </c>
      <c r="L10" s="47" cm="1">
        <f t="array" ref="L10">INDEX(Page2!$E$9:$E$38, COLUMN(L10)-10)</f>
        <v>0</v>
      </c>
      <c r="M10" s="47" cm="1">
        <f t="array" ref="M10">INDEX(Page2!$E$9:$E$38, COLUMN(M10)-10)</f>
        <v>0</v>
      </c>
      <c r="N10" s="47" cm="1">
        <f t="array" ref="N10">INDEX(Page2!$E$9:$E$38, COLUMN(N10)-10)</f>
        <v>0</v>
      </c>
      <c r="O10" s="47" cm="1">
        <f t="array" ref="O10">INDEX(Page2!$E$9:$E$38, COLUMN(O10)-10)</f>
        <v>0</v>
      </c>
      <c r="P10" s="47" cm="1">
        <f t="array" ref="P10">INDEX(Page2!$E$9:$E$38, COLUMN(P10)-10)</f>
        <v>0</v>
      </c>
      <c r="Q10" s="47" cm="1">
        <f t="array" ref="Q10">INDEX(Page2!$E$9:$E$38, COLUMN(Q10)-10)</f>
        <v>0</v>
      </c>
      <c r="R10" s="47" cm="1">
        <f t="array" ref="R10">INDEX(Page2!$E$9:$E$38, COLUMN(R10)-10)</f>
        <v>0</v>
      </c>
      <c r="S10" s="47" cm="1">
        <f t="array" ref="S10">INDEX(Page2!$E$9:$E$38, COLUMN(S10)-10)</f>
        <v>0</v>
      </c>
      <c r="T10" s="47" cm="1">
        <f t="array" ref="T10">INDEX(Page2!$E$9:$E$38, COLUMN(T10)-10)</f>
        <v>0</v>
      </c>
      <c r="U10" s="47" cm="1">
        <f t="array" ref="U10">INDEX(Page2!$E$9:$E$38, COLUMN(U10)-10)</f>
        <v>0</v>
      </c>
      <c r="V10" s="47" cm="1">
        <f t="array" ref="V10">INDEX(Page2!$E$9:$E$38, COLUMN(V10)-10)</f>
        <v>0</v>
      </c>
      <c r="W10" s="47" cm="1">
        <f t="array" ref="W10">INDEX(Page2!$E$9:$E$38, COLUMN(W10)-10)</f>
        <v>0</v>
      </c>
      <c r="X10" s="47" cm="1">
        <f t="array" ref="X10">INDEX(Page2!$E$9:$E$38, COLUMN(X10)-10)</f>
        <v>0</v>
      </c>
      <c r="Y10" s="47" cm="1">
        <f t="array" ref="Y10">INDEX(Page2!$E$9:$E$38, COLUMN(Y10)-10)</f>
        <v>0</v>
      </c>
      <c r="Z10" s="47" cm="1">
        <f t="array" ref="Z10">INDEX(Page2!$E$9:$E$38, COLUMN(Z10)-10)</f>
        <v>0</v>
      </c>
      <c r="AA10" s="47" cm="1">
        <f t="array" ref="AA10">INDEX(Page2!$E$9:$E$38, COLUMN(AA10)-10)</f>
        <v>0</v>
      </c>
      <c r="AB10" s="47" cm="1">
        <f t="array" ref="AB10">INDEX(Page2!$E$9:$E$38, COLUMN(AB10)-10)</f>
        <v>0</v>
      </c>
      <c r="AC10" s="47" cm="1">
        <f t="array" ref="AC10">INDEX(Page2!$E$9:$E$38, COLUMN(AC10)-10)</f>
        <v>0</v>
      </c>
      <c r="AD10" s="47" cm="1">
        <f t="array" ref="AD10">INDEX(Page2!$E$9:$E$38, COLUMN(AD10)-10)</f>
        <v>0</v>
      </c>
      <c r="AE10" s="47" cm="1">
        <f t="array" ref="AE10">INDEX(Page2!$E$9:$E$38, COLUMN(AE10)-10)</f>
        <v>0</v>
      </c>
      <c r="AF10" s="47" cm="1">
        <f t="array" ref="AF10">INDEX(Page2!$E$9:$E$38, COLUMN(AF10)-10)</f>
        <v>0</v>
      </c>
      <c r="AG10" s="47" cm="1">
        <f t="array" ref="AG10">INDEX(Page2!$E$9:$E$38, COLUMN(AG10)-10)</f>
        <v>0</v>
      </c>
      <c r="AH10" s="47" cm="1">
        <f t="array" ref="AH10">INDEX(Page2!$E$9:$E$38, COLUMN(AH10)-10)</f>
        <v>0</v>
      </c>
      <c r="AI10" s="47" cm="1">
        <f t="array" ref="AI10">INDEX(Page2!$E$9:$E$38, COLUMN(AI10)-10)</f>
        <v>0</v>
      </c>
      <c r="AJ10" s="47" cm="1">
        <f t="array" ref="AJ10">INDEX(Page2!$E$9:$E$38, COLUMN(AJ10)-10)</f>
        <v>0</v>
      </c>
      <c r="AK10" s="47" cm="1">
        <f t="array" ref="AK10">INDEX(Page2!$E$9:$E$38, COLUMN(AK10)-10)</f>
        <v>0</v>
      </c>
      <c r="AL10" s="47" cm="1">
        <f t="array" ref="AL10">INDEX(Page2!$E$9:$E$38, COLUMN(AL10)-10)</f>
        <v>0</v>
      </c>
      <c r="AM10" s="47" cm="1">
        <f t="array" ref="AM10">INDEX(Page2!$E$9:$E$38, COLUMN(AM10)-10)</f>
        <v>0</v>
      </c>
      <c r="AN10" s="47" t="e" cm="1">
        <f t="array" ref="AN10">INDEX(Page2!$E$9:$E$38, COLUMN(AN10)-10)</f>
        <v>#DIV/0!</v>
      </c>
      <c r="AO10" s="35" t="e">
        <f>AVERAGE(K10:AN10)</f>
        <v>#DIV/0!</v>
      </c>
      <c r="AP10" s="36" t="e">
        <f>STDEV(K10:AN10)</f>
        <v>#DIV/0!</v>
      </c>
      <c r="AQ10" s="37" t="e">
        <f>(AO10-H10)/(3*AP10)</f>
        <v>#DIV/0!</v>
      </c>
      <c r="AR10" s="36" t="e">
        <f>MIN(K10:AN10)</f>
        <v>#DIV/0!</v>
      </c>
      <c r="AS10" s="36" t="e">
        <f>MAX(K10:AN10)</f>
        <v>#DIV/0!</v>
      </c>
      <c r="AT10" s="24" t="e">
        <f>IF(AQ10&gt;=1.33,"Pass","Fail")</f>
        <v>#DIV/0!</v>
      </c>
      <c r="AU10" s="38"/>
      <c r="AV10" s="39"/>
      <c r="AW10" s="39"/>
    </row>
    <row r="11" spans="1:49" s="40" customFormat="1" ht="15" customHeight="1">
      <c r="A11" s="30">
        <v>9</v>
      </c>
      <c r="B11" s="31" t="s">
        <v>60</v>
      </c>
      <c r="C11" s="32" t="s">
        <v>44</v>
      </c>
      <c r="D11" s="33" t="s">
        <v>48</v>
      </c>
      <c r="E11" s="33">
        <v>1</v>
      </c>
      <c r="F11" s="33">
        <v>0.01</v>
      </c>
      <c r="G11" s="34">
        <v>2.4900000000000002</v>
      </c>
      <c r="H11" s="34">
        <v>1.49</v>
      </c>
      <c r="I11" s="34"/>
      <c r="J11" s="44">
        <v>1.33</v>
      </c>
      <c r="K11" s="47" cm="1">
        <f t="array" ref="K11">INDEX(Page2!$F$9:$F$38, COLUMN(K11)-10)</f>
        <v>0</v>
      </c>
      <c r="L11" s="47" cm="1">
        <f t="array" ref="L11">INDEX(Page2!$F$9:$F$38, COLUMN(L11)-10)</f>
        <v>0</v>
      </c>
      <c r="M11" s="47" cm="1">
        <f t="array" ref="M11">INDEX(Page2!$F$9:$F$38, COLUMN(M11)-10)</f>
        <v>0</v>
      </c>
      <c r="N11" s="47" cm="1">
        <f t="array" ref="N11">INDEX(Page2!$F$9:$F$38, COLUMN(N11)-10)</f>
        <v>0</v>
      </c>
      <c r="O11" s="47" cm="1">
        <f t="array" ref="O11">INDEX(Page2!$F$9:$F$38, COLUMN(O11)-10)</f>
        <v>0</v>
      </c>
      <c r="P11" s="47" cm="1">
        <f t="array" ref="P11">INDEX(Page2!$F$9:$F$38, COLUMN(P11)-10)</f>
        <v>0</v>
      </c>
      <c r="Q11" s="47" cm="1">
        <f t="array" ref="Q11">INDEX(Page2!$F$9:$F$38, COLUMN(Q11)-10)</f>
        <v>0</v>
      </c>
      <c r="R11" s="47" cm="1">
        <f t="array" ref="R11">INDEX(Page2!$F$9:$F$38, COLUMN(R11)-10)</f>
        <v>0</v>
      </c>
      <c r="S11" s="47" cm="1">
        <f t="array" ref="S11">INDEX(Page2!$F$9:$F$38, COLUMN(S11)-10)</f>
        <v>0</v>
      </c>
      <c r="T11" s="47" cm="1">
        <f t="array" ref="T11">INDEX(Page2!$F$9:$F$38, COLUMN(T11)-10)</f>
        <v>0</v>
      </c>
      <c r="U11" s="47" cm="1">
        <f t="array" ref="U11">INDEX(Page2!$F$9:$F$38, COLUMN(U11)-10)</f>
        <v>0</v>
      </c>
      <c r="V11" s="47" cm="1">
        <f t="array" ref="V11">INDEX(Page2!$F$9:$F$38, COLUMN(V11)-10)</f>
        <v>0</v>
      </c>
      <c r="W11" s="47" cm="1">
        <f t="array" ref="W11">INDEX(Page2!$F$9:$F$38, COLUMN(W11)-10)</f>
        <v>0</v>
      </c>
      <c r="X11" s="47" cm="1">
        <f t="array" ref="X11">INDEX(Page2!$F$9:$F$38, COLUMN(X11)-10)</f>
        <v>0</v>
      </c>
      <c r="Y11" s="47" cm="1">
        <f t="array" ref="Y11">INDEX(Page2!$F$9:$F$38, COLUMN(Y11)-10)</f>
        <v>0</v>
      </c>
      <c r="Z11" s="47" cm="1">
        <f t="array" ref="Z11">INDEX(Page2!$F$9:$F$38, COLUMN(Z11)-10)</f>
        <v>0</v>
      </c>
      <c r="AA11" s="47" cm="1">
        <f t="array" ref="AA11">INDEX(Page2!$F$9:$F$38, COLUMN(AA11)-10)</f>
        <v>0</v>
      </c>
      <c r="AB11" s="47" cm="1">
        <f t="array" ref="AB11">INDEX(Page2!$F$9:$F$38, COLUMN(AB11)-10)</f>
        <v>0</v>
      </c>
      <c r="AC11" s="47" cm="1">
        <f t="array" ref="AC11">INDEX(Page2!$F$9:$F$38, COLUMN(AC11)-10)</f>
        <v>0</v>
      </c>
      <c r="AD11" s="47" cm="1">
        <f t="array" ref="AD11">INDEX(Page2!$F$9:$F$38, COLUMN(AD11)-10)</f>
        <v>0</v>
      </c>
      <c r="AE11" s="47" cm="1">
        <f t="array" ref="AE11">INDEX(Page2!$F$9:$F$38, COLUMN(AE11)-10)</f>
        <v>0</v>
      </c>
      <c r="AF11" s="47" cm="1">
        <f t="array" ref="AF11">INDEX(Page2!$F$9:$F$38, COLUMN(AF11)-10)</f>
        <v>0</v>
      </c>
      <c r="AG11" s="47" cm="1">
        <f t="array" ref="AG11">INDEX(Page2!$F$9:$F$38, COLUMN(AG11)-10)</f>
        <v>0</v>
      </c>
      <c r="AH11" s="47" cm="1">
        <f t="array" ref="AH11">INDEX(Page2!$F$9:$F$38, COLUMN(AH11)-10)</f>
        <v>0</v>
      </c>
      <c r="AI11" s="47" cm="1">
        <f t="array" ref="AI11">INDEX(Page2!$F$9:$F$38, COLUMN(AI11)-10)</f>
        <v>0</v>
      </c>
      <c r="AJ11" s="47" cm="1">
        <f t="array" ref="AJ11">INDEX(Page2!$F$9:$F$38, COLUMN(AJ11)-10)</f>
        <v>0</v>
      </c>
      <c r="AK11" s="47" cm="1">
        <f t="array" ref="AK11">INDEX(Page2!$F$9:$F$38, COLUMN(AK11)-10)</f>
        <v>0</v>
      </c>
      <c r="AL11" s="47" cm="1">
        <f t="array" ref="AL11">INDEX(Page2!$F$9:$F$38, COLUMN(AL11)-10)</f>
        <v>0</v>
      </c>
      <c r="AM11" s="47" cm="1">
        <f t="array" ref="AM11">INDEX(Page2!$F$9:$F$38, COLUMN(AM11)-10)</f>
        <v>0</v>
      </c>
      <c r="AN11" s="47" t="e" cm="1">
        <f t="array" ref="AN11">INDEX(Page2!$F$9:$F$38, COLUMN(AN11)-10)</f>
        <v>#DIV/0!</v>
      </c>
      <c r="AO11" s="35" t="e">
        <f>AVERAGE(K11:AN11)</f>
        <v>#DIV/0!</v>
      </c>
      <c r="AP11" s="45" t="e">
        <f>STDEV(K11:AN11)</f>
        <v>#DIV/0!</v>
      </c>
      <c r="AQ11" s="37" t="e">
        <f>(AO11-H11)/(3*AP11)</f>
        <v>#DIV/0!</v>
      </c>
      <c r="AR11" s="36" t="e">
        <f>MIN(K11:AN11)</f>
        <v>#DIV/0!</v>
      </c>
      <c r="AS11" s="36" t="e">
        <f>MAX(K11:AN11)</f>
        <v>#DIV/0!</v>
      </c>
      <c r="AT11" s="24" t="e">
        <f>IF(AQ11&gt;=1.33,"Pass","Fail")</f>
        <v>#DIV/0!</v>
      </c>
      <c r="AU11" s="38"/>
      <c r="AV11" s="39"/>
      <c r="AW11" s="39"/>
    </row>
    <row r="12" spans="1:49" s="40" customFormat="1" ht="15" customHeight="1">
      <c r="A12" s="30">
        <v>10</v>
      </c>
      <c r="B12" s="31" t="s">
        <v>61</v>
      </c>
      <c r="C12" s="32" t="s">
        <v>44</v>
      </c>
      <c r="D12" s="33" t="s">
        <v>47</v>
      </c>
      <c r="E12" s="33">
        <v>1</v>
      </c>
      <c r="F12" s="33">
        <v>0.01</v>
      </c>
      <c r="G12" s="46">
        <v>9.6300000000000008</v>
      </c>
      <c r="H12" s="46">
        <v>6.13</v>
      </c>
      <c r="I12" s="46"/>
      <c r="J12" s="44">
        <v>1.33</v>
      </c>
      <c r="K12" s="47" cm="1">
        <f t="array" ref="K12">INDEX(Page2!$G$9:$G$38, COLUMN(K12)-10)</f>
        <v>0</v>
      </c>
      <c r="L12" s="47" cm="1">
        <f t="array" ref="L12">INDEX(Page2!$G$9:$G$38, COLUMN(L12)-10)</f>
        <v>0</v>
      </c>
      <c r="M12" s="47" cm="1">
        <f t="array" ref="M12">INDEX(Page2!$G$9:$G$38, COLUMN(M12)-10)</f>
        <v>0</v>
      </c>
      <c r="N12" s="47" cm="1">
        <f t="array" ref="N12">INDEX(Page2!$G$9:$G$38, COLUMN(N12)-10)</f>
        <v>0</v>
      </c>
      <c r="O12" s="47" cm="1">
        <f t="array" ref="O12">INDEX(Page2!$G$9:$G$38, COLUMN(O12)-10)</f>
        <v>0</v>
      </c>
      <c r="P12" s="47" cm="1">
        <f t="array" ref="P12">INDEX(Page2!$G$9:$G$38, COLUMN(P12)-10)</f>
        <v>0</v>
      </c>
      <c r="Q12" s="47" cm="1">
        <f t="array" ref="Q12">INDEX(Page2!$G$9:$G$38, COLUMN(Q12)-10)</f>
        <v>0</v>
      </c>
      <c r="R12" s="47" cm="1">
        <f t="array" ref="R12">INDEX(Page2!$G$9:$G$38, COLUMN(R12)-10)</f>
        <v>0</v>
      </c>
      <c r="S12" s="47" cm="1">
        <f t="array" ref="S12">INDEX(Page2!$G$9:$G$38, COLUMN(S12)-10)</f>
        <v>0</v>
      </c>
      <c r="T12" s="47" cm="1">
        <f t="array" ref="T12">INDEX(Page2!$G$9:$G$38, COLUMN(T12)-10)</f>
        <v>0</v>
      </c>
      <c r="U12" s="47" cm="1">
        <f t="array" ref="U12">INDEX(Page2!$G$9:$G$38, COLUMN(U12)-10)</f>
        <v>0</v>
      </c>
      <c r="V12" s="47" cm="1">
        <f t="array" ref="V12">INDEX(Page2!$G$9:$G$38, COLUMN(V12)-10)</f>
        <v>0</v>
      </c>
      <c r="W12" s="47" cm="1">
        <f t="array" ref="W12">INDEX(Page2!$G$9:$G$38, COLUMN(W12)-10)</f>
        <v>0</v>
      </c>
      <c r="X12" s="47" cm="1">
        <f t="array" ref="X12">INDEX(Page2!$G$9:$G$38, COLUMN(X12)-10)</f>
        <v>0</v>
      </c>
      <c r="Y12" s="47" cm="1">
        <f t="array" ref="Y12">INDEX(Page2!$G$9:$G$38, COLUMN(Y12)-10)</f>
        <v>0</v>
      </c>
      <c r="Z12" s="47" cm="1">
        <f t="array" ref="Z12">INDEX(Page2!$G$9:$G$38, COLUMN(Z12)-10)</f>
        <v>0</v>
      </c>
      <c r="AA12" s="47" cm="1">
        <f t="array" ref="AA12">INDEX(Page2!$G$9:$G$38, COLUMN(AA12)-10)</f>
        <v>0</v>
      </c>
      <c r="AB12" s="47" cm="1">
        <f t="array" ref="AB12">INDEX(Page2!$G$9:$G$38, COLUMN(AB12)-10)</f>
        <v>0</v>
      </c>
      <c r="AC12" s="47" cm="1">
        <f t="array" ref="AC12">INDEX(Page2!$G$9:$G$38, COLUMN(AC12)-10)</f>
        <v>0</v>
      </c>
      <c r="AD12" s="47" cm="1">
        <f t="array" ref="AD12">INDEX(Page2!$G$9:$G$38, COLUMN(AD12)-10)</f>
        <v>0</v>
      </c>
      <c r="AE12" s="47" cm="1">
        <f t="array" ref="AE12">INDEX(Page2!$G$9:$G$38, COLUMN(AE12)-10)</f>
        <v>0</v>
      </c>
      <c r="AF12" s="47" cm="1">
        <f t="array" ref="AF12">INDEX(Page2!$G$9:$G$38, COLUMN(AF12)-10)</f>
        <v>0</v>
      </c>
      <c r="AG12" s="47" cm="1">
        <f t="array" ref="AG12">INDEX(Page2!$G$9:$G$38, COLUMN(AG12)-10)</f>
        <v>0</v>
      </c>
      <c r="AH12" s="47" cm="1">
        <f t="array" ref="AH12">INDEX(Page2!$G$9:$G$38, COLUMN(AH12)-10)</f>
        <v>0</v>
      </c>
      <c r="AI12" s="47" cm="1">
        <f t="array" ref="AI12">INDEX(Page2!$G$9:$G$38, COLUMN(AI12)-10)</f>
        <v>0</v>
      </c>
      <c r="AJ12" s="47" cm="1">
        <f t="array" ref="AJ12">INDEX(Page2!$G$9:$G$38, COLUMN(AJ12)-10)</f>
        <v>0</v>
      </c>
      <c r="AK12" s="47" cm="1">
        <f t="array" ref="AK12">INDEX(Page2!$G$9:$G$38, COLUMN(AK12)-10)</f>
        <v>0</v>
      </c>
      <c r="AL12" s="47" cm="1">
        <f t="array" ref="AL12">INDEX(Page2!$G$9:$G$38, COLUMN(AL12)-10)</f>
        <v>0</v>
      </c>
      <c r="AM12" s="47" cm="1">
        <f t="array" ref="AM12">INDEX(Page2!$G$9:$G$38, COLUMN(AM12)-10)</f>
        <v>0</v>
      </c>
      <c r="AN12" s="47" t="e" cm="1">
        <f t="array" ref="AN12">INDEX(Page2!$G$9:$G$38, COLUMN(AN12)-10)</f>
        <v>#DIV/0!</v>
      </c>
      <c r="AO12" s="35" t="e">
        <f t="shared" si="3"/>
        <v>#DIV/0!</v>
      </c>
      <c r="AP12" s="45" t="e">
        <f t="shared" si="0"/>
        <v>#DIV/0!</v>
      </c>
      <c r="AQ12" s="37" t="e">
        <f>(AO12-H12)/(3*AP12)</f>
        <v>#DIV/0!</v>
      </c>
      <c r="AR12" s="36" t="e">
        <f t="shared" si="1"/>
        <v>#DIV/0!</v>
      </c>
      <c r="AS12" s="36" t="e">
        <f t="shared" si="2"/>
        <v>#DIV/0!</v>
      </c>
      <c r="AT12" s="24" t="e">
        <f t="shared" si="4"/>
        <v>#DIV/0!</v>
      </c>
      <c r="AU12" s="38"/>
      <c r="AV12" s="39"/>
      <c r="AW12" s="39"/>
    </row>
    <row r="13" spans="1:49" s="40" customFormat="1" ht="15" customHeight="1">
      <c r="A13" s="30">
        <v>11</v>
      </c>
      <c r="B13" s="31" t="s">
        <v>63</v>
      </c>
      <c r="C13" s="32" t="s">
        <v>44</v>
      </c>
      <c r="D13" s="33" t="s">
        <v>75</v>
      </c>
      <c r="E13" s="33">
        <v>1</v>
      </c>
      <c r="F13" s="33">
        <v>0.1</v>
      </c>
      <c r="G13" s="33">
        <v>95.5</v>
      </c>
      <c r="H13" s="33">
        <v>91.5</v>
      </c>
      <c r="I13" s="33">
        <v>99.5</v>
      </c>
      <c r="J13" s="34" t="s">
        <v>49</v>
      </c>
      <c r="K13" s="48" cm="1">
        <f t="array" ref="K13">INDEX(Page2!$H$9:$H$38, COLUMN(K13)-10)</f>
        <v>0</v>
      </c>
      <c r="L13" s="48" cm="1">
        <f t="array" ref="L13">INDEX(Page2!$H$9:$H$38, COLUMN(L13)-10)</f>
        <v>0</v>
      </c>
      <c r="M13" s="48" cm="1">
        <f t="array" ref="M13">INDEX(Page2!$H$9:$H$38, COLUMN(M13)-10)</f>
        <v>0</v>
      </c>
      <c r="N13" s="48" cm="1">
        <f t="array" ref="N13">INDEX(Page2!$H$9:$H$38, COLUMN(N13)-10)</f>
        <v>0</v>
      </c>
      <c r="O13" s="48" cm="1">
        <f t="array" ref="O13">INDEX(Page2!$H$9:$H$38, COLUMN(O13)-10)</f>
        <v>0</v>
      </c>
      <c r="P13" s="48" cm="1">
        <f t="array" ref="P13">INDEX(Page2!$H$9:$H$38, COLUMN(P13)-10)</f>
        <v>0</v>
      </c>
      <c r="Q13" s="48" cm="1">
        <f t="array" ref="Q13">INDEX(Page2!$H$9:$H$38, COLUMN(Q13)-10)</f>
        <v>0</v>
      </c>
      <c r="R13" s="48" cm="1">
        <f t="array" ref="R13">INDEX(Page2!$H$9:$H$38, COLUMN(R13)-10)</f>
        <v>0</v>
      </c>
      <c r="S13" s="48" cm="1">
        <f t="array" ref="S13">INDEX(Page2!$H$9:$H$38, COLUMN(S13)-10)</f>
        <v>0</v>
      </c>
      <c r="T13" s="48" cm="1">
        <f t="array" ref="T13">INDEX(Page2!$H$9:$H$38, COLUMN(T13)-10)</f>
        <v>0</v>
      </c>
      <c r="U13" s="48" cm="1">
        <f t="array" ref="U13">INDEX(Page2!$H$9:$H$38, COLUMN(U13)-10)</f>
        <v>0</v>
      </c>
      <c r="V13" s="48" cm="1">
        <f t="array" ref="V13">INDEX(Page2!$H$9:$H$38, COLUMN(V13)-10)</f>
        <v>0</v>
      </c>
      <c r="W13" s="48" cm="1">
        <f t="array" ref="W13">INDEX(Page2!$H$9:$H$38, COLUMN(W13)-10)</f>
        <v>0</v>
      </c>
      <c r="X13" s="48" cm="1">
        <f t="array" ref="X13">INDEX(Page2!$H$9:$H$38, COLUMN(X13)-10)</f>
        <v>0</v>
      </c>
      <c r="Y13" s="48" cm="1">
        <f t="array" ref="Y13">INDEX(Page2!$H$9:$H$38, COLUMN(Y13)-10)</f>
        <v>0</v>
      </c>
      <c r="Z13" s="48" cm="1">
        <f t="array" ref="Z13">INDEX(Page2!$H$9:$H$38, COLUMN(Z13)-10)</f>
        <v>0</v>
      </c>
      <c r="AA13" s="48" cm="1">
        <f t="array" ref="AA13">INDEX(Page2!$H$9:$H$38, COLUMN(AA13)-10)</f>
        <v>0</v>
      </c>
      <c r="AB13" s="48" cm="1">
        <f t="array" ref="AB13">INDEX(Page2!$H$9:$H$38, COLUMN(AB13)-10)</f>
        <v>0</v>
      </c>
      <c r="AC13" s="48" cm="1">
        <f t="array" ref="AC13">INDEX(Page2!$H$9:$H$38, COLUMN(AC13)-10)</f>
        <v>0</v>
      </c>
      <c r="AD13" s="48" cm="1">
        <f t="array" ref="AD13">INDEX(Page2!$H$9:$H$38, COLUMN(AD13)-10)</f>
        <v>0</v>
      </c>
      <c r="AE13" s="48" cm="1">
        <f t="array" ref="AE13">INDEX(Page2!$H$9:$H$38, COLUMN(AE13)-10)</f>
        <v>0</v>
      </c>
      <c r="AF13" s="48" cm="1">
        <f t="array" ref="AF13">INDEX(Page2!$H$9:$H$38, COLUMN(AF13)-10)</f>
        <v>0</v>
      </c>
      <c r="AG13" s="48" cm="1">
        <f t="array" ref="AG13">INDEX(Page2!$H$9:$H$38, COLUMN(AG13)-10)</f>
        <v>0</v>
      </c>
      <c r="AH13" s="48" cm="1">
        <f t="array" ref="AH13">INDEX(Page2!$H$9:$H$38, COLUMN(AH13)-10)</f>
        <v>0</v>
      </c>
      <c r="AI13" s="48" cm="1">
        <f t="array" ref="AI13">INDEX(Page2!$H$9:$H$38, COLUMN(AI13)-10)</f>
        <v>0</v>
      </c>
      <c r="AJ13" s="48" cm="1">
        <f t="array" ref="AJ13">INDEX(Page2!$H$9:$H$38, COLUMN(AJ13)-10)</f>
        <v>0</v>
      </c>
      <c r="AK13" s="48" cm="1">
        <f t="array" ref="AK13">INDEX(Page2!$H$9:$H$38, COLUMN(AK13)-10)</f>
        <v>0</v>
      </c>
      <c r="AL13" s="48" cm="1">
        <f t="array" ref="AL13">INDEX(Page2!$H$9:$H$38, COLUMN(AL13)-10)</f>
        <v>0</v>
      </c>
      <c r="AM13" s="48" cm="1">
        <f t="array" ref="AM13">INDEX(Page2!$H$9:$H$38, COLUMN(AM13)-10)</f>
        <v>0</v>
      </c>
      <c r="AN13" s="48" t="e" cm="1">
        <f t="array" ref="AN13">INDEX(Page2!$H$9:$H$38, COLUMN(AN13)-10)</f>
        <v>#DIV/0!</v>
      </c>
      <c r="AO13" s="41" t="e">
        <f t="shared" si="3"/>
        <v>#DIV/0!</v>
      </c>
      <c r="AP13" s="36" t="e">
        <f t="shared" si="0"/>
        <v>#DIV/0!</v>
      </c>
      <c r="AQ13" s="37" t="e">
        <f>MIN((AO13-H13)/(3*AP13), (I13-AO13)/(3*AP13))</f>
        <v>#DIV/0!</v>
      </c>
      <c r="AR13" s="42" t="e">
        <f t="shared" si="1"/>
        <v>#DIV/0!</v>
      </c>
      <c r="AS13" s="42" t="e">
        <f t="shared" si="2"/>
        <v>#DIV/0!</v>
      </c>
      <c r="AT13" s="24" t="e">
        <f t="shared" si="4"/>
        <v>#DIV/0!</v>
      </c>
      <c r="AU13" s="38"/>
      <c r="AV13" s="39"/>
      <c r="AW13" s="39"/>
    </row>
    <row r="14" spans="1:49" s="40" customFormat="1" ht="15" customHeight="1">
      <c r="A14" s="30">
        <v>12</v>
      </c>
      <c r="B14" s="31" t="s">
        <v>83</v>
      </c>
      <c r="C14" s="32" t="s">
        <v>44</v>
      </c>
      <c r="D14" s="33" t="s">
        <v>76</v>
      </c>
      <c r="E14" s="33">
        <v>1</v>
      </c>
      <c r="F14" s="33">
        <v>0.1</v>
      </c>
      <c r="G14" s="33">
        <v>-0.4</v>
      </c>
      <c r="H14" s="33">
        <v>-4.4000000000000004</v>
      </c>
      <c r="I14" s="33">
        <v>3.6</v>
      </c>
      <c r="J14" s="34" t="s">
        <v>49</v>
      </c>
      <c r="K14" s="48" cm="1">
        <f t="array" ref="K14">INDEX(Page2!$I$9:$I$38, COLUMN(K14)-10)</f>
        <v>0</v>
      </c>
      <c r="L14" s="48" cm="1">
        <f t="array" ref="L14">INDEX(Page2!$I$9:$I$38, COLUMN(L14)-10)</f>
        <v>0</v>
      </c>
      <c r="M14" s="48" cm="1">
        <f t="array" ref="M14">INDEX(Page2!$I$9:$I$38, COLUMN(M14)-10)</f>
        <v>0</v>
      </c>
      <c r="N14" s="48" cm="1">
        <f t="array" ref="N14">INDEX(Page2!$I$9:$I$38, COLUMN(N14)-10)</f>
        <v>0</v>
      </c>
      <c r="O14" s="48" cm="1">
        <f t="array" ref="O14">INDEX(Page2!$I$9:$I$38, COLUMN(O14)-10)</f>
        <v>0</v>
      </c>
      <c r="P14" s="48" cm="1">
        <f t="array" ref="P14">INDEX(Page2!$I$9:$I$38, COLUMN(P14)-10)</f>
        <v>0</v>
      </c>
      <c r="Q14" s="48" cm="1">
        <f t="array" ref="Q14">INDEX(Page2!$I$9:$I$38, COLUMN(Q14)-10)</f>
        <v>0</v>
      </c>
      <c r="R14" s="48" cm="1">
        <f t="array" ref="R14">INDEX(Page2!$I$9:$I$38, COLUMN(R14)-10)</f>
        <v>0</v>
      </c>
      <c r="S14" s="48" cm="1">
        <f t="array" ref="S14">INDEX(Page2!$I$9:$I$38, COLUMN(S14)-10)</f>
        <v>0</v>
      </c>
      <c r="T14" s="48" cm="1">
        <f t="array" ref="T14">INDEX(Page2!$I$9:$I$38, COLUMN(T14)-10)</f>
        <v>0</v>
      </c>
      <c r="U14" s="48" cm="1">
        <f t="array" ref="U14">INDEX(Page2!$I$9:$I$38, COLUMN(U14)-10)</f>
        <v>0</v>
      </c>
      <c r="V14" s="48" cm="1">
        <f t="array" ref="V14">INDEX(Page2!$I$9:$I$38, COLUMN(V14)-10)</f>
        <v>0</v>
      </c>
      <c r="W14" s="48" cm="1">
        <f t="array" ref="W14">INDEX(Page2!$I$9:$I$38, COLUMN(W14)-10)</f>
        <v>0</v>
      </c>
      <c r="X14" s="48" cm="1">
        <f t="array" ref="X14">INDEX(Page2!$I$9:$I$38, COLUMN(X14)-10)</f>
        <v>0</v>
      </c>
      <c r="Y14" s="48" cm="1">
        <f t="array" ref="Y14">INDEX(Page2!$I$9:$I$38, COLUMN(Y14)-10)</f>
        <v>0</v>
      </c>
      <c r="Z14" s="48" cm="1">
        <f t="array" ref="Z14">INDEX(Page2!$I$9:$I$38, COLUMN(Z14)-10)</f>
        <v>0</v>
      </c>
      <c r="AA14" s="48" cm="1">
        <f t="array" ref="AA14">INDEX(Page2!$I$9:$I$38, COLUMN(AA14)-10)</f>
        <v>0</v>
      </c>
      <c r="AB14" s="48" cm="1">
        <f t="array" ref="AB14">INDEX(Page2!$I$9:$I$38, COLUMN(AB14)-10)</f>
        <v>0</v>
      </c>
      <c r="AC14" s="48" cm="1">
        <f t="array" ref="AC14">INDEX(Page2!$I$9:$I$38, COLUMN(AC14)-10)</f>
        <v>0</v>
      </c>
      <c r="AD14" s="48" cm="1">
        <f t="array" ref="AD14">INDEX(Page2!$I$9:$I$38, COLUMN(AD14)-10)</f>
        <v>0</v>
      </c>
      <c r="AE14" s="48" cm="1">
        <f t="array" ref="AE14">INDEX(Page2!$I$9:$I$38, COLUMN(AE14)-10)</f>
        <v>0</v>
      </c>
      <c r="AF14" s="48" cm="1">
        <f t="array" ref="AF14">INDEX(Page2!$I$9:$I$38, COLUMN(AF14)-10)</f>
        <v>0</v>
      </c>
      <c r="AG14" s="48" cm="1">
        <f t="array" ref="AG14">INDEX(Page2!$I$9:$I$38, COLUMN(AG14)-10)</f>
        <v>0</v>
      </c>
      <c r="AH14" s="48" cm="1">
        <f t="array" ref="AH14">INDEX(Page2!$I$9:$I$38, COLUMN(AH14)-10)</f>
        <v>0</v>
      </c>
      <c r="AI14" s="48" cm="1">
        <f t="array" ref="AI14">INDEX(Page2!$I$9:$I$38, COLUMN(AI14)-10)</f>
        <v>0</v>
      </c>
      <c r="AJ14" s="48" cm="1">
        <f t="array" ref="AJ14">INDEX(Page2!$I$9:$I$38, COLUMN(AJ14)-10)</f>
        <v>0</v>
      </c>
      <c r="AK14" s="48" cm="1">
        <f t="array" ref="AK14">INDEX(Page2!$I$9:$I$38, COLUMN(AK14)-10)</f>
        <v>0</v>
      </c>
      <c r="AL14" s="48" cm="1">
        <f t="array" ref="AL14">INDEX(Page2!$I$9:$I$38, COLUMN(AL14)-10)</f>
        <v>0</v>
      </c>
      <c r="AM14" s="48" cm="1">
        <f t="array" ref="AM14">INDEX(Page2!$I$9:$I$38, COLUMN(AM14)-10)</f>
        <v>0</v>
      </c>
      <c r="AN14" s="48" t="e" cm="1">
        <f t="array" ref="AN14">INDEX(Page2!$I$9:$I$38, COLUMN(AN14)-10)</f>
        <v>#DIV/0!</v>
      </c>
      <c r="AO14" s="41" t="e">
        <f t="shared" si="3"/>
        <v>#DIV/0!</v>
      </c>
      <c r="AP14" s="36" t="e">
        <f t="shared" si="0"/>
        <v>#DIV/0!</v>
      </c>
      <c r="AQ14" s="37" t="e">
        <f>MIN((AO14-H14)/(3*AP14), (I14-AO14)/(3*AP14))</f>
        <v>#DIV/0!</v>
      </c>
      <c r="AR14" s="42" t="e">
        <f t="shared" si="1"/>
        <v>#DIV/0!</v>
      </c>
      <c r="AS14" s="42" t="e">
        <f t="shared" si="2"/>
        <v>#DIV/0!</v>
      </c>
      <c r="AT14" s="24" t="e">
        <f t="shared" si="4"/>
        <v>#DIV/0!</v>
      </c>
      <c r="AU14" s="38"/>
      <c r="AV14" s="39"/>
      <c r="AW14" s="39"/>
    </row>
    <row r="15" spans="1:49" s="40" customFormat="1" ht="15" customHeight="1">
      <c r="A15" s="30">
        <v>13</v>
      </c>
      <c r="B15" s="31" t="s">
        <v>84</v>
      </c>
      <c r="C15" s="32" t="s">
        <v>44</v>
      </c>
      <c r="D15" s="33" t="s">
        <v>77</v>
      </c>
      <c r="E15" s="33">
        <v>1</v>
      </c>
      <c r="F15" s="33">
        <v>0.1</v>
      </c>
      <c r="G15" s="33">
        <v>-0.5</v>
      </c>
      <c r="H15" s="33">
        <v>-4.5</v>
      </c>
      <c r="I15" s="33">
        <v>3.5</v>
      </c>
      <c r="J15" s="34" t="s">
        <v>49</v>
      </c>
      <c r="K15" s="48" cm="1">
        <f t="array" ref="K15">INDEX(Page2!$J$9:$J$38, COLUMN(K15)-10)</f>
        <v>0</v>
      </c>
      <c r="L15" s="48" cm="1">
        <f t="array" ref="L15">INDEX(Page2!$J$9:$J$38, COLUMN(L15)-10)</f>
        <v>0</v>
      </c>
      <c r="M15" s="48" cm="1">
        <f t="array" ref="M15">INDEX(Page2!$J$9:$J$38, COLUMN(M15)-10)</f>
        <v>0</v>
      </c>
      <c r="N15" s="48" cm="1">
        <f t="array" ref="N15">INDEX(Page2!$J$9:$J$38, COLUMN(N15)-10)</f>
        <v>0</v>
      </c>
      <c r="O15" s="48" cm="1">
        <f t="array" ref="O15">INDEX(Page2!$J$9:$J$38, COLUMN(O15)-10)</f>
        <v>0</v>
      </c>
      <c r="P15" s="48" cm="1">
        <f t="array" ref="P15">INDEX(Page2!$J$9:$J$38, COLUMN(P15)-10)</f>
        <v>0</v>
      </c>
      <c r="Q15" s="48" cm="1">
        <f t="array" ref="Q15">INDEX(Page2!$J$9:$J$38, COLUMN(Q15)-10)</f>
        <v>0</v>
      </c>
      <c r="R15" s="48" cm="1">
        <f t="array" ref="R15">INDEX(Page2!$J$9:$J$38, COLUMN(R15)-10)</f>
        <v>0</v>
      </c>
      <c r="S15" s="48" cm="1">
        <f t="array" ref="S15">INDEX(Page2!$J$9:$J$38, COLUMN(S15)-10)</f>
        <v>0</v>
      </c>
      <c r="T15" s="48" cm="1">
        <f t="array" ref="T15">INDEX(Page2!$J$9:$J$38, COLUMN(T15)-10)</f>
        <v>0</v>
      </c>
      <c r="U15" s="48" cm="1">
        <f t="array" ref="U15">INDEX(Page2!$J$9:$J$38, COLUMN(U15)-10)</f>
        <v>0</v>
      </c>
      <c r="V15" s="48" cm="1">
        <f t="array" ref="V15">INDEX(Page2!$J$9:$J$38, COLUMN(V15)-10)</f>
        <v>0</v>
      </c>
      <c r="W15" s="48" cm="1">
        <f t="array" ref="W15">INDEX(Page2!$J$9:$J$38, COLUMN(W15)-10)</f>
        <v>0</v>
      </c>
      <c r="X15" s="48" cm="1">
        <f t="array" ref="X15">INDEX(Page2!$J$9:$J$38, COLUMN(X15)-10)</f>
        <v>0</v>
      </c>
      <c r="Y15" s="48" cm="1">
        <f t="array" ref="Y15">INDEX(Page2!$J$9:$J$38, COLUMN(Y15)-10)</f>
        <v>0</v>
      </c>
      <c r="Z15" s="48" cm="1">
        <f t="array" ref="Z15">INDEX(Page2!$J$9:$J$38, COLUMN(Z15)-10)</f>
        <v>0</v>
      </c>
      <c r="AA15" s="48" cm="1">
        <f t="array" ref="AA15">INDEX(Page2!$J$9:$J$38, COLUMN(AA15)-10)</f>
        <v>0</v>
      </c>
      <c r="AB15" s="48" cm="1">
        <f t="array" ref="AB15">INDEX(Page2!$J$9:$J$38, COLUMN(AB15)-10)</f>
        <v>0</v>
      </c>
      <c r="AC15" s="48" cm="1">
        <f t="array" ref="AC15">INDEX(Page2!$J$9:$J$38, COLUMN(AC15)-10)</f>
        <v>0</v>
      </c>
      <c r="AD15" s="48" cm="1">
        <f t="array" ref="AD15">INDEX(Page2!$J$9:$J$38, COLUMN(AD15)-10)</f>
        <v>0</v>
      </c>
      <c r="AE15" s="48" cm="1">
        <f t="array" ref="AE15">INDEX(Page2!$J$9:$J$38, COLUMN(AE15)-10)</f>
        <v>0</v>
      </c>
      <c r="AF15" s="48" cm="1">
        <f t="array" ref="AF15">INDEX(Page2!$J$9:$J$38, COLUMN(AF15)-10)</f>
        <v>0</v>
      </c>
      <c r="AG15" s="48" cm="1">
        <f t="array" ref="AG15">INDEX(Page2!$J$9:$J$38, COLUMN(AG15)-10)</f>
        <v>0</v>
      </c>
      <c r="AH15" s="48" cm="1">
        <f t="array" ref="AH15">INDEX(Page2!$J$9:$J$38, COLUMN(AH15)-10)</f>
        <v>0</v>
      </c>
      <c r="AI15" s="48" cm="1">
        <f t="array" ref="AI15">INDEX(Page2!$J$9:$J$38, COLUMN(AI15)-10)</f>
        <v>0</v>
      </c>
      <c r="AJ15" s="48" cm="1">
        <f t="array" ref="AJ15">INDEX(Page2!$J$9:$J$38, COLUMN(AJ15)-10)</f>
        <v>0</v>
      </c>
      <c r="AK15" s="48" cm="1">
        <f t="array" ref="AK15">INDEX(Page2!$J$9:$J$38, COLUMN(AK15)-10)</f>
        <v>0</v>
      </c>
      <c r="AL15" s="48" cm="1">
        <f t="array" ref="AL15">INDEX(Page2!$J$9:$J$38, COLUMN(AL15)-10)</f>
        <v>0</v>
      </c>
      <c r="AM15" s="48" cm="1">
        <f t="array" ref="AM15">INDEX(Page2!$J$9:$J$38, COLUMN(AM15)-10)</f>
        <v>0</v>
      </c>
      <c r="AN15" s="48" t="e" cm="1">
        <f t="array" ref="AN15">INDEX(Page2!$J$9:$J$38, COLUMN(AN15)-10)</f>
        <v>#DIV/0!</v>
      </c>
      <c r="AO15" s="41" t="e">
        <f t="shared" si="3"/>
        <v>#DIV/0!</v>
      </c>
      <c r="AP15" s="36" t="e">
        <f t="shared" si="0"/>
        <v>#DIV/0!</v>
      </c>
      <c r="AQ15" s="37" t="e">
        <f>MIN((AO15-H15)/(3*AP15), (I15-AO15)/(3*AP15))</f>
        <v>#DIV/0!</v>
      </c>
      <c r="AR15" s="42" t="e">
        <f t="shared" si="1"/>
        <v>#DIV/0!</v>
      </c>
      <c r="AS15" s="42" t="e">
        <f t="shared" si="2"/>
        <v>#DIV/0!</v>
      </c>
      <c r="AT15" s="24" t="e">
        <f t="shared" si="4"/>
        <v>#DIV/0!</v>
      </c>
      <c r="AU15" s="38"/>
      <c r="AV15" s="39"/>
      <c r="AW15" s="39"/>
    </row>
    <row r="16" spans="1:49" s="40" customFormat="1" ht="15" customHeight="1">
      <c r="A16" s="30">
        <v>14</v>
      </c>
      <c r="B16" s="31" t="s">
        <v>52</v>
      </c>
      <c r="C16" s="32" t="s">
        <v>44</v>
      </c>
      <c r="D16" s="33" t="s">
        <v>53</v>
      </c>
      <c r="E16" s="33">
        <v>1</v>
      </c>
      <c r="F16" s="33">
        <v>0.01</v>
      </c>
      <c r="G16" s="33" t="s">
        <v>54</v>
      </c>
      <c r="H16" s="33"/>
      <c r="I16" s="33" t="s">
        <v>55</v>
      </c>
      <c r="J16" s="34" t="s">
        <v>49</v>
      </c>
      <c r="K16" s="47" cm="1">
        <f t="array" ref="K16">INDEX(Page2!$K$9:$K$38, COLUMN(K16)-10)</f>
        <v>0</v>
      </c>
      <c r="L16" s="47" cm="1">
        <f t="array" ref="L16">INDEX(Page2!$K$9:$K$38, COLUMN(L16)-10)</f>
        <v>0</v>
      </c>
      <c r="M16" s="47" cm="1">
        <f t="array" ref="M16">INDEX(Page2!$K$9:$K$38, COLUMN(M16)-10)</f>
        <v>0</v>
      </c>
      <c r="N16" s="47" cm="1">
        <f t="array" ref="N16">INDEX(Page2!$K$9:$K$38, COLUMN(N16)-10)</f>
        <v>0</v>
      </c>
      <c r="O16" s="47" cm="1">
        <f t="array" ref="O16">INDEX(Page2!$K$9:$K$38, COLUMN(O16)-10)</f>
        <v>0</v>
      </c>
      <c r="P16" s="47" cm="1">
        <f t="array" ref="P16">INDEX(Page2!$K$9:$K$38, COLUMN(P16)-10)</f>
        <v>0</v>
      </c>
      <c r="Q16" s="47" cm="1">
        <f t="array" ref="Q16">INDEX(Page2!$K$9:$K$38, COLUMN(Q16)-10)</f>
        <v>0</v>
      </c>
      <c r="R16" s="47" cm="1">
        <f t="array" ref="R16">INDEX(Page2!$K$9:$K$38, COLUMN(R16)-10)</f>
        <v>0</v>
      </c>
      <c r="S16" s="47" cm="1">
        <f t="array" ref="S16">INDEX(Page2!$K$9:$K$38, COLUMN(S16)-10)</f>
        <v>0</v>
      </c>
      <c r="T16" s="47" cm="1">
        <f t="array" ref="T16">INDEX(Page2!$K$9:$K$38, COLUMN(T16)-10)</f>
        <v>0</v>
      </c>
      <c r="U16" s="47" cm="1">
        <f t="array" ref="U16">INDEX(Page2!$K$9:$K$38, COLUMN(U16)-10)</f>
        <v>0</v>
      </c>
      <c r="V16" s="47" cm="1">
        <f t="array" ref="V16">INDEX(Page2!$K$9:$K$38, COLUMN(V16)-10)</f>
        <v>0</v>
      </c>
      <c r="W16" s="47" cm="1">
        <f t="array" ref="W16">INDEX(Page2!$K$9:$K$38, COLUMN(W16)-10)</f>
        <v>0</v>
      </c>
      <c r="X16" s="47" cm="1">
        <f t="array" ref="X16">INDEX(Page2!$K$9:$K$38, COLUMN(X16)-10)</f>
        <v>0</v>
      </c>
      <c r="Y16" s="47" cm="1">
        <f t="array" ref="Y16">INDEX(Page2!$K$9:$K$38, COLUMN(Y16)-10)</f>
        <v>0</v>
      </c>
      <c r="Z16" s="47" cm="1">
        <f t="array" ref="Z16">INDEX(Page2!$K$9:$K$38, COLUMN(Z16)-10)</f>
        <v>0</v>
      </c>
      <c r="AA16" s="47" cm="1">
        <f t="array" ref="AA16">INDEX(Page2!$K$9:$K$38, COLUMN(AA16)-10)</f>
        <v>0</v>
      </c>
      <c r="AB16" s="47" cm="1">
        <f t="array" ref="AB16">INDEX(Page2!$K$9:$K$38, COLUMN(AB16)-10)</f>
        <v>0</v>
      </c>
      <c r="AC16" s="47" cm="1">
        <f t="array" ref="AC16">INDEX(Page2!$K$9:$K$38, COLUMN(AC16)-10)</f>
        <v>0</v>
      </c>
      <c r="AD16" s="47" cm="1">
        <f t="array" ref="AD16">INDEX(Page2!$K$9:$K$38, COLUMN(AD16)-10)</f>
        <v>0</v>
      </c>
      <c r="AE16" s="47" cm="1">
        <f t="array" ref="AE16">INDEX(Page2!$K$9:$K$38, COLUMN(AE16)-10)</f>
        <v>0</v>
      </c>
      <c r="AF16" s="47" cm="1">
        <f t="array" ref="AF16">INDEX(Page2!$K$9:$K$38, COLUMN(AF16)-10)</f>
        <v>0</v>
      </c>
      <c r="AG16" s="47" cm="1">
        <f t="array" ref="AG16">INDEX(Page2!$K$9:$K$38, COLUMN(AG16)-10)</f>
        <v>0</v>
      </c>
      <c r="AH16" s="47" cm="1">
        <f t="array" ref="AH16">INDEX(Page2!$K$9:$K$38, COLUMN(AH16)-10)</f>
        <v>0</v>
      </c>
      <c r="AI16" s="47" cm="1">
        <f t="array" ref="AI16">INDEX(Page2!$K$9:$K$38, COLUMN(AI16)-10)</f>
        <v>0</v>
      </c>
      <c r="AJ16" s="47" cm="1">
        <f t="array" ref="AJ16">INDEX(Page2!$K$9:$K$38, COLUMN(AJ16)-10)</f>
        <v>0</v>
      </c>
      <c r="AK16" s="47" cm="1">
        <f t="array" ref="AK16">INDEX(Page2!$K$9:$K$38, COLUMN(AK16)-10)</f>
        <v>0</v>
      </c>
      <c r="AL16" s="47" cm="1">
        <f t="array" ref="AL16">INDEX(Page2!$K$9:$K$38, COLUMN(AL16)-10)</f>
        <v>0</v>
      </c>
      <c r="AM16" s="47" cm="1">
        <f t="array" ref="AM16">INDEX(Page2!$K$9:$K$38, COLUMN(AM16)-10)</f>
        <v>0</v>
      </c>
      <c r="AN16" s="47" t="e" cm="1">
        <f t="array" ref="AN16">INDEX(Page2!$K$9:$K$38, COLUMN(AN16)-10)</f>
        <v>#DIV/0!</v>
      </c>
      <c r="AO16" s="35" t="e">
        <f t="shared" si="3"/>
        <v>#DIV/0!</v>
      </c>
      <c r="AP16" s="36" t="e">
        <f t="shared" si="0"/>
        <v>#DIV/0!</v>
      </c>
      <c r="AQ16" s="37" t="e">
        <f>(I16-AO16)/(3*AP16)</f>
        <v>#DIV/0!</v>
      </c>
      <c r="AR16" s="36" t="e">
        <f t="shared" si="1"/>
        <v>#DIV/0!</v>
      </c>
      <c r="AS16" s="36" t="e">
        <f t="shared" si="2"/>
        <v>#DIV/0!</v>
      </c>
      <c r="AT16" s="24" t="e">
        <f t="shared" si="4"/>
        <v>#DIV/0!</v>
      </c>
      <c r="AU16" s="38"/>
      <c r="AV16" s="39"/>
      <c r="AW16" s="39"/>
    </row>
    <row r="19" spans="41:49">
      <c r="AV19" s="10"/>
      <c r="AW19" s="10"/>
    </row>
    <row r="20" spans="41:49">
      <c r="AT20" s="11"/>
      <c r="AV20" s="10"/>
      <c r="AW20" s="10"/>
    </row>
    <row r="21" spans="41:49">
      <c r="AT21" s="11"/>
      <c r="AV21" s="10"/>
      <c r="AW21" s="10"/>
    </row>
    <row r="22" spans="41:49">
      <c r="AO22" s="1"/>
      <c r="AP22" s="11"/>
      <c r="AQ22" s="11"/>
      <c r="AR22" s="11"/>
      <c r="AS22" s="11"/>
      <c r="AT22" s="11"/>
      <c r="AV22" s="10"/>
      <c r="AW22" s="10"/>
    </row>
    <row r="23" spans="41:49">
      <c r="AO23" s="1"/>
      <c r="AP23" s="11"/>
      <c r="AQ23" s="11"/>
      <c r="AR23" s="11"/>
      <c r="AS23" s="11"/>
      <c r="AT23" s="11"/>
      <c r="AV23" s="10"/>
      <c r="AW23" s="10"/>
    </row>
    <row r="24" spans="41:49">
      <c r="AO24" s="1"/>
      <c r="AP24" s="11"/>
      <c r="AQ24" s="11"/>
      <c r="AR24" s="11"/>
      <c r="AS24" s="11"/>
      <c r="AT24" s="11"/>
      <c r="AV24" s="10"/>
      <c r="AW24" s="10"/>
    </row>
    <row r="25" spans="41:49">
      <c r="AO25" s="1"/>
      <c r="AP25" s="11"/>
      <c r="AQ25" s="11"/>
      <c r="AR25" s="11"/>
      <c r="AS25" s="11"/>
      <c r="AT25" s="11"/>
      <c r="AV25" s="10"/>
      <c r="AW25" s="10"/>
    </row>
    <row r="26" spans="41:49">
      <c r="AO26" s="1"/>
      <c r="AP26" s="11"/>
      <c r="AQ26" s="11"/>
      <c r="AR26" s="11"/>
      <c r="AS26" s="11"/>
      <c r="AT26" s="11"/>
      <c r="AV26" s="10"/>
      <c r="AW26" s="10"/>
    </row>
    <row r="27" spans="41:49">
      <c r="AO27" s="1"/>
      <c r="AP27" s="11"/>
      <c r="AQ27" s="11"/>
      <c r="AR27" s="11"/>
      <c r="AS27" s="11"/>
      <c r="AT27" s="11"/>
      <c r="AV27" s="10"/>
      <c r="AW27" s="10"/>
    </row>
    <row r="28" spans="41:49">
      <c r="AO28" s="1"/>
      <c r="AP28" s="11"/>
      <c r="AQ28" s="11"/>
      <c r="AR28" s="11"/>
      <c r="AS28" s="11"/>
      <c r="AT28" s="11"/>
      <c r="AV28" s="10"/>
      <c r="AW28" s="10"/>
    </row>
    <row r="29" spans="41:49">
      <c r="AO29" s="1"/>
      <c r="AP29" s="11"/>
      <c r="AQ29" s="11"/>
      <c r="AR29" s="11"/>
      <c r="AS29" s="11"/>
      <c r="AT29" s="11"/>
      <c r="AV29" s="10"/>
      <c r="AW29" s="10"/>
    </row>
    <row r="30" spans="41:49">
      <c r="AO30" s="1"/>
      <c r="AP30" s="11"/>
      <c r="AQ30" s="11"/>
      <c r="AR30" s="11"/>
      <c r="AS30" s="11"/>
      <c r="AT30" s="11"/>
      <c r="AV30" s="10"/>
      <c r="AW30" s="10"/>
    </row>
    <row r="31" spans="41:49">
      <c r="AO31" s="1"/>
      <c r="AP31" s="11"/>
      <c r="AQ31" s="11"/>
      <c r="AR31" s="11"/>
      <c r="AS31" s="11"/>
      <c r="AT31" s="11"/>
      <c r="AV31" s="10"/>
      <c r="AW31" s="10"/>
    </row>
    <row r="32" spans="41:49">
      <c r="AO32" s="1"/>
      <c r="AP32" s="11"/>
      <c r="AQ32" s="11"/>
      <c r="AR32" s="11"/>
      <c r="AS32" s="11"/>
      <c r="AT32" s="11"/>
      <c r="AV32" s="10"/>
      <c r="AW32" s="10"/>
    </row>
    <row r="33" spans="41:49">
      <c r="AO33" s="1"/>
      <c r="AP33" s="11"/>
      <c r="AQ33" s="11"/>
      <c r="AR33" s="11"/>
      <c r="AS33" s="11"/>
    </row>
    <row r="34" spans="41:49">
      <c r="AO34" s="1"/>
      <c r="AP34" s="11"/>
      <c r="AQ34" s="11"/>
      <c r="AR34" s="11"/>
      <c r="AS34" s="11"/>
    </row>
    <row r="35" spans="41:49">
      <c r="AO35" s="1"/>
      <c r="AP35" s="11"/>
      <c r="AQ35" s="11"/>
      <c r="AR35" s="11"/>
      <c r="AS35" s="11"/>
    </row>
    <row r="36" spans="41:49">
      <c r="AO36" s="1"/>
      <c r="AP36" s="11"/>
      <c r="AQ36" s="11"/>
      <c r="AR36" s="11"/>
      <c r="AS36" s="11"/>
    </row>
    <row r="37" spans="41:49">
      <c r="AO37" s="1"/>
      <c r="AP37" s="11"/>
      <c r="AQ37" s="11"/>
      <c r="AR37" s="11"/>
      <c r="AS37" s="11"/>
    </row>
    <row r="38" spans="41:49">
      <c r="AO38" s="1"/>
      <c r="AP38" s="11"/>
      <c r="AQ38" s="11"/>
      <c r="AR38" s="11"/>
      <c r="AS38" s="11"/>
      <c r="AW38" s="1"/>
    </row>
    <row r="39" spans="41:49">
      <c r="AO39" s="1"/>
      <c r="AP39" s="11"/>
      <c r="AQ39" s="11"/>
      <c r="AR39" s="11"/>
      <c r="AS39" s="11"/>
      <c r="AW39" s="1"/>
    </row>
    <row r="40" spans="41:49">
      <c r="AO40" s="1"/>
      <c r="AP40" s="11"/>
      <c r="AQ40" s="11"/>
      <c r="AR40" s="11"/>
      <c r="AS40" s="11"/>
      <c r="AW40" s="1"/>
    </row>
    <row r="41" spans="41:49">
      <c r="AO41" s="1"/>
      <c r="AP41" s="11"/>
      <c r="AQ41" s="11"/>
      <c r="AR41" s="11"/>
      <c r="AS41" s="11"/>
      <c r="AW41" s="1"/>
    </row>
    <row r="42" spans="41:49">
      <c r="AO42" s="1"/>
      <c r="AP42" s="11"/>
      <c r="AQ42" s="11"/>
      <c r="AR42" s="11"/>
      <c r="AS42" s="11"/>
      <c r="AW42" s="1"/>
    </row>
    <row r="43" spans="41:49">
      <c r="AO43" s="1"/>
      <c r="AP43" s="11"/>
      <c r="AQ43" s="11"/>
      <c r="AR43" s="11"/>
      <c r="AS43" s="11"/>
      <c r="AW43" s="1"/>
    </row>
    <row r="44" spans="41:49">
      <c r="AO44" s="1"/>
      <c r="AP44" s="11"/>
      <c r="AQ44" s="11"/>
      <c r="AR44" s="11"/>
      <c r="AS44" s="11"/>
      <c r="AW44" s="1"/>
    </row>
    <row r="45" spans="41:49">
      <c r="AO45" s="1"/>
      <c r="AP45" s="11"/>
      <c r="AQ45" s="11"/>
      <c r="AR45" s="11"/>
      <c r="AS45" s="11"/>
      <c r="AW45" s="1"/>
    </row>
    <row r="46" spans="41:49">
      <c r="AO46" s="1"/>
      <c r="AP46" s="11"/>
      <c r="AQ46" s="11"/>
      <c r="AR46" s="11"/>
      <c r="AS46" s="11"/>
      <c r="AW46" s="1"/>
    </row>
    <row r="199" ht="15.75" customHeight="1"/>
  </sheetData>
  <conditionalFormatting sqref="AT3:AT16">
    <cfRule type="containsText" dxfId="1" priority="1" operator="containsText" text="Fail">
      <formula>NOT(ISERROR(SEARCH("Fail",AT3)))</formula>
    </cfRule>
    <cfRule type="containsText" dxfId="0" priority="2" operator="containsText" text="Pass">
      <formula>NOT(ISERROR(SEARCH("Pass",AT3)))</formula>
    </cfRule>
  </conditionalFormatting>
  <hyperlinks>
    <hyperlink ref="B7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Page1</vt:lpstr>
      <vt:lpstr>Page2</vt:lpstr>
      <vt:lpstr>96977186.005_00_COA</vt:lpstr>
      <vt:lpstr>Cpk</vt:lpstr>
      <vt:lpstr>Page1!Print_Area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QCOFFICER</dc:creator>
  <cp:lastModifiedBy>Gauresh Chari</cp:lastModifiedBy>
  <cp:lastPrinted>2024-05-14T05:17:37Z</cp:lastPrinted>
  <dcterms:created xsi:type="dcterms:W3CDTF">2013-06-14T09:36:38Z</dcterms:created>
  <dcterms:modified xsi:type="dcterms:W3CDTF">2025-12-23T16:11:38Z</dcterms:modified>
</cp:coreProperties>
</file>