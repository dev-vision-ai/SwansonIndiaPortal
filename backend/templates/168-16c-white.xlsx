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B6BED6CD-D1AA-4BEA-ABD6-9B983DB86C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21081576.001_01_COA" sheetId="9" r:id="rId6"/>
    <sheet name="Cpk " sheetId="8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9" l="1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" i="9"/>
  <c r="L3" i="8" a="1"/>
  <c r="L3" i="8" s="1"/>
  <c r="M3" i="8" a="1"/>
  <c r="M3" i="8" s="1"/>
  <c r="N3" i="8" a="1"/>
  <c r="N3" i="8" s="1"/>
  <c r="O3" i="8" a="1"/>
  <c r="O3" i="8" s="1"/>
  <c r="P3" i="8" a="1"/>
  <c r="P3" i="8" s="1"/>
  <c r="Q3" i="8" a="1"/>
  <c r="Q3" i="8" s="1"/>
  <c r="R3" i="8" a="1"/>
  <c r="R3" i="8" s="1"/>
  <c r="S3" i="8" a="1"/>
  <c r="S3" i="8" s="1"/>
  <c r="T3" i="8" a="1"/>
  <c r="T3" i="8" s="1"/>
  <c r="U3" i="8" a="1"/>
  <c r="U3" i="8" s="1"/>
  <c r="V3" i="8" a="1"/>
  <c r="V3" i="8" s="1"/>
  <c r="W3" i="8" a="1"/>
  <c r="W3" i="8" s="1"/>
  <c r="X3" i="8" a="1"/>
  <c r="X3" i="8" s="1"/>
  <c r="Y3" i="8" a="1"/>
  <c r="Y3" i="8" s="1"/>
  <c r="Z3" i="8" a="1"/>
  <c r="Z3" i="8" s="1"/>
  <c r="AA3" i="8" a="1"/>
  <c r="AA3" i="8" s="1"/>
  <c r="AB3" i="8" a="1"/>
  <c r="AB3" i="8" s="1"/>
  <c r="AC3" i="8" a="1"/>
  <c r="AC3" i="8" s="1"/>
  <c r="AD3" i="8" a="1"/>
  <c r="AD3" i="8" s="1"/>
  <c r="AE3" i="8" a="1"/>
  <c r="AE3" i="8" s="1"/>
  <c r="AF3" i="8" a="1"/>
  <c r="AF3" i="8" s="1"/>
  <c r="AG3" i="8" a="1"/>
  <c r="AG3" i="8" s="1"/>
  <c r="AH3" i="8" a="1"/>
  <c r="AH3" i="8" s="1"/>
  <c r="AI3" i="8" a="1"/>
  <c r="AI3" i="8" s="1"/>
  <c r="AJ3" i="8" a="1"/>
  <c r="AJ3" i="8" s="1"/>
  <c r="AK3" i="8" a="1"/>
  <c r="AK3" i="8" s="1"/>
  <c r="AL3" i="8" a="1"/>
  <c r="AL3" i="8" s="1"/>
  <c r="AM3" i="8" a="1"/>
  <c r="AM3" i="8" s="1"/>
  <c r="AN3" i="8" a="1"/>
  <c r="AN3" i="8" s="1"/>
  <c r="L4" i="8" a="1"/>
  <c r="L4" i="8" s="1"/>
  <c r="M4" i="8" a="1"/>
  <c r="M4" i="8" s="1"/>
  <c r="N4" i="8" a="1"/>
  <c r="N4" i="8" s="1"/>
  <c r="O4" i="8" a="1"/>
  <c r="O4" i="8" s="1"/>
  <c r="P4" i="8" a="1"/>
  <c r="P4" i="8" s="1"/>
  <c r="Q4" i="8" a="1"/>
  <c r="Q4" i="8" s="1"/>
  <c r="R4" i="8" a="1"/>
  <c r="R4" i="8" s="1"/>
  <c r="S4" i="8" a="1"/>
  <c r="S4" i="8" s="1"/>
  <c r="T4" i="8" a="1"/>
  <c r="T4" i="8" s="1"/>
  <c r="U4" i="8" a="1"/>
  <c r="U4" i="8" s="1"/>
  <c r="V4" i="8" a="1"/>
  <c r="V4" i="8" s="1"/>
  <c r="W4" i="8" a="1"/>
  <c r="W4" i="8" s="1"/>
  <c r="X4" i="8" a="1"/>
  <c r="X4" i="8" s="1"/>
  <c r="Y4" i="8" a="1"/>
  <c r="Y4" i="8" s="1"/>
  <c r="Z4" i="8" a="1"/>
  <c r="Z4" i="8" s="1"/>
  <c r="AA4" i="8" a="1"/>
  <c r="AA4" i="8" s="1"/>
  <c r="AB4" i="8" a="1"/>
  <c r="AB4" i="8" s="1"/>
  <c r="AC4" i="8" a="1"/>
  <c r="AC4" i="8" s="1"/>
  <c r="AD4" i="8" a="1"/>
  <c r="AD4" i="8" s="1"/>
  <c r="AE4" i="8" a="1"/>
  <c r="AE4" i="8" s="1"/>
  <c r="AF4" i="8" a="1"/>
  <c r="AF4" i="8" s="1"/>
  <c r="AG4" i="8" a="1"/>
  <c r="AG4" i="8" s="1"/>
  <c r="AH4" i="8" a="1"/>
  <c r="AH4" i="8" s="1"/>
  <c r="AI4" i="8" a="1"/>
  <c r="AI4" i="8" s="1"/>
  <c r="AJ4" i="8" a="1"/>
  <c r="AJ4" i="8" s="1"/>
  <c r="AK4" i="8" a="1"/>
  <c r="AK4" i="8" s="1"/>
  <c r="AL4" i="8" a="1"/>
  <c r="AL4" i="8" s="1"/>
  <c r="AM4" i="8" a="1"/>
  <c r="AM4" i="8" s="1"/>
  <c r="AN4" i="8" a="1"/>
  <c r="AN4" i="8" s="1"/>
  <c r="L5" i="8" a="1"/>
  <c r="L5" i="8" s="1"/>
  <c r="M5" i="8" a="1"/>
  <c r="M5" i="8" s="1"/>
  <c r="N5" i="8" a="1"/>
  <c r="N5" i="8" s="1"/>
  <c r="O5" i="8" a="1"/>
  <c r="O5" i="8" s="1"/>
  <c r="P5" i="8" a="1"/>
  <c r="P5" i="8" s="1"/>
  <c r="Q5" i="8" a="1"/>
  <c r="Q5" i="8" s="1"/>
  <c r="R5" i="8" a="1"/>
  <c r="R5" i="8" s="1"/>
  <c r="S5" i="8" a="1"/>
  <c r="S5" i="8" s="1"/>
  <c r="T5" i="8" a="1"/>
  <c r="T5" i="8" s="1"/>
  <c r="U5" i="8" a="1"/>
  <c r="U5" i="8" s="1"/>
  <c r="V5" i="8" a="1"/>
  <c r="V5" i="8" s="1"/>
  <c r="W5" i="8" a="1"/>
  <c r="W5" i="8" s="1"/>
  <c r="X5" i="8" a="1"/>
  <c r="X5" i="8" s="1"/>
  <c r="Y5" i="8" a="1"/>
  <c r="Y5" i="8" s="1"/>
  <c r="Z5" i="8" a="1"/>
  <c r="Z5" i="8" s="1"/>
  <c r="AA5" i="8" a="1"/>
  <c r="AA5" i="8" s="1"/>
  <c r="AB5" i="8" a="1"/>
  <c r="AB5" i="8" s="1"/>
  <c r="AC5" i="8" a="1"/>
  <c r="AC5" i="8" s="1"/>
  <c r="AD5" i="8" a="1"/>
  <c r="AD5" i="8" s="1"/>
  <c r="AE5" i="8" a="1"/>
  <c r="AE5" i="8" s="1"/>
  <c r="AF5" i="8" a="1"/>
  <c r="AF5" i="8" s="1"/>
  <c r="AG5" i="8" a="1"/>
  <c r="AG5" i="8" s="1"/>
  <c r="AH5" i="8" a="1"/>
  <c r="AH5" i="8" s="1"/>
  <c r="AI5" i="8" a="1"/>
  <c r="AI5" i="8" s="1"/>
  <c r="AJ5" i="8" a="1"/>
  <c r="AJ5" i="8" s="1"/>
  <c r="AK5" i="8" a="1"/>
  <c r="AK5" i="8" s="1"/>
  <c r="AL5" i="8" a="1"/>
  <c r="AL5" i="8" s="1"/>
  <c r="AM5" i="8" a="1"/>
  <c r="AM5" i="8" s="1"/>
  <c r="AN5" i="8" a="1"/>
  <c r="AN5" i="8" s="1"/>
  <c r="L6" i="8" a="1"/>
  <c r="L6" i="8" s="1"/>
  <c r="M6" i="8" a="1"/>
  <c r="M6" i="8" s="1"/>
  <c r="N6" i="8" a="1"/>
  <c r="N6" i="8" s="1"/>
  <c r="O6" i="8" a="1"/>
  <c r="O6" i="8" s="1"/>
  <c r="P6" i="8" a="1"/>
  <c r="P6" i="8" s="1"/>
  <c r="Q6" i="8" a="1"/>
  <c r="Q6" i="8" s="1"/>
  <c r="R6" i="8" a="1"/>
  <c r="R6" i="8" s="1"/>
  <c r="S6" i="8" a="1"/>
  <c r="S6" i="8" s="1"/>
  <c r="T6" i="8" a="1"/>
  <c r="T6" i="8" s="1"/>
  <c r="U6" i="8" a="1"/>
  <c r="U6" i="8" s="1"/>
  <c r="V6" i="8" a="1"/>
  <c r="V6" i="8" s="1"/>
  <c r="W6" i="8" a="1"/>
  <c r="W6" i="8" s="1"/>
  <c r="X6" i="8" a="1"/>
  <c r="X6" i="8" s="1"/>
  <c r="Y6" i="8" a="1"/>
  <c r="Y6" i="8" s="1"/>
  <c r="Z6" i="8" a="1"/>
  <c r="Z6" i="8" s="1"/>
  <c r="AA6" i="8" a="1"/>
  <c r="AA6" i="8" s="1"/>
  <c r="AB6" i="8" a="1"/>
  <c r="AB6" i="8" s="1"/>
  <c r="AC6" i="8" a="1"/>
  <c r="AC6" i="8" s="1"/>
  <c r="AD6" i="8" a="1"/>
  <c r="AD6" i="8" s="1"/>
  <c r="AE6" i="8" a="1"/>
  <c r="AE6" i="8" s="1"/>
  <c r="AF6" i="8" a="1"/>
  <c r="AF6" i="8" s="1"/>
  <c r="AG6" i="8" a="1"/>
  <c r="AG6" i="8" s="1"/>
  <c r="AH6" i="8" a="1"/>
  <c r="AH6" i="8" s="1"/>
  <c r="AI6" i="8" a="1"/>
  <c r="AI6" i="8" s="1"/>
  <c r="AJ6" i="8" a="1"/>
  <c r="AJ6" i="8" s="1"/>
  <c r="AK6" i="8" a="1"/>
  <c r="AK6" i="8" s="1"/>
  <c r="AL6" i="8" a="1"/>
  <c r="AL6" i="8" s="1"/>
  <c r="AM6" i="8" a="1"/>
  <c r="AM6" i="8" s="1"/>
  <c r="AN6" i="8" a="1"/>
  <c r="AN6" i="8" s="1"/>
  <c r="L7" i="8" a="1"/>
  <c r="L7" i="8" s="1"/>
  <c r="M7" i="8" a="1"/>
  <c r="M7" i="8" s="1"/>
  <c r="N7" i="8" a="1"/>
  <c r="N7" i="8" s="1"/>
  <c r="O7" i="8" a="1"/>
  <c r="O7" i="8" s="1"/>
  <c r="P7" i="8" a="1"/>
  <c r="P7" i="8" s="1"/>
  <c r="Q7" i="8" a="1"/>
  <c r="Q7" i="8" s="1"/>
  <c r="R7" i="8" a="1"/>
  <c r="R7" i="8" s="1"/>
  <c r="S7" i="8" a="1"/>
  <c r="S7" i="8" s="1"/>
  <c r="T7" i="8" a="1"/>
  <c r="T7" i="8" s="1"/>
  <c r="U7" i="8" a="1"/>
  <c r="U7" i="8" s="1"/>
  <c r="V7" i="8" a="1"/>
  <c r="V7" i="8" s="1"/>
  <c r="W7" i="8" a="1"/>
  <c r="W7" i="8" s="1"/>
  <c r="X7" i="8" a="1"/>
  <c r="X7" i="8" s="1"/>
  <c r="Y7" i="8" a="1"/>
  <c r="Y7" i="8" s="1"/>
  <c r="Z7" i="8" a="1"/>
  <c r="Z7" i="8" s="1"/>
  <c r="AA7" i="8" a="1"/>
  <c r="AA7" i="8" s="1"/>
  <c r="AB7" i="8" a="1"/>
  <c r="AB7" i="8" s="1"/>
  <c r="AC7" i="8" a="1"/>
  <c r="AC7" i="8" s="1"/>
  <c r="AD7" i="8" a="1"/>
  <c r="AD7" i="8" s="1"/>
  <c r="AE7" i="8" a="1"/>
  <c r="AE7" i="8" s="1"/>
  <c r="AF7" i="8" a="1"/>
  <c r="AF7" i="8" s="1"/>
  <c r="AG7" i="8" a="1"/>
  <c r="AG7" i="8" s="1"/>
  <c r="AH7" i="8" a="1"/>
  <c r="AH7" i="8" s="1"/>
  <c r="AI7" i="8" a="1"/>
  <c r="AI7" i="8" s="1"/>
  <c r="AJ7" i="8" a="1"/>
  <c r="AJ7" i="8" s="1"/>
  <c r="AK7" i="8" a="1"/>
  <c r="AK7" i="8" s="1"/>
  <c r="AL7" i="8" a="1"/>
  <c r="AL7" i="8" s="1"/>
  <c r="AM7" i="8" a="1"/>
  <c r="AM7" i="8" s="1"/>
  <c r="AN7" i="8" a="1"/>
  <c r="AN7" i="8" s="1"/>
  <c r="L8" i="8" a="1"/>
  <c r="L8" i="8" s="1"/>
  <c r="M8" i="8" a="1"/>
  <c r="M8" i="8" s="1"/>
  <c r="N8" i="8" a="1"/>
  <c r="N8" i="8" s="1"/>
  <c r="O8" i="8" a="1"/>
  <c r="O8" i="8" s="1"/>
  <c r="P8" i="8" a="1"/>
  <c r="P8" i="8" s="1"/>
  <c r="Q8" i="8" a="1"/>
  <c r="Q8" i="8" s="1"/>
  <c r="R8" i="8" a="1"/>
  <c r="R8" i="8" s="1"/>
  <c r="S8" i="8" a="1"/>
  <c r="S8" i="8" s="1"/>
  <c r="T8" i="8" a="1"/>
  <c r="T8" i="8" s="1"/>
  <c r="U8" i="8" a="1"/>
  <c r="U8" i="8" s="1"/>
  <c r="V8" i="8" a="1"/>
  <c r="V8" i="8" s="1"/>
  <c r="W8" i="8" a="1"/>
  <c r="W8" i="8" s="1"/>
  <c r="X8" i="8" a="1"/>
  <c r="X8" i="8" s="1"/>
  <c r="Y8" i="8" a="1"/>
  <c r="Y8" i="8" s="1"/>
  <c r="Z8" i="8" a="1"/>
  <c r="Z8" i="8" s="1"/>
  <c r="AA8" i="8" a="1"/>
  <c r="AA8" i="8" s="1"/>
  <c r="AB8" i="8" a="1"/>
  <c r="AB8" i="8" s="1"/>
  <c r="AC8" i="8" a="1"/>
  <c r="AC8" i="8" s="1"/>
  <c r="AD8" i="8" a="1"/>
  <c r="AD8" i="8" s="1"/>
  <c r="AE8" i="8" a="1"/>
  <c r="AE8" i="8" s="1"/>
  <c r="AF8" i="8" a="1"/>
  <c r="AF8" i="8" s="1"/>
  <c r="AG8" i="8" a="1"/>
  <c r="AG8" i="8" s="1"/>
  <c r="AH8" i="8" a="1"/>
  <c r="AH8" i="8" s="1"/>
  <c r="AI8" i="8" a="1"/>
  <c r="AI8" i="8" s="1"/>
  <c r="AJ8" i="8" a="1"/>
  <c r="AJ8" i="8" s="1"/>
  <c r="AK8" i="8" a="1"/>
  <c r="AK8" i="8" s="1"/>
  <c r="AL8" i="8" a="1"/>
  <c r="AL8" i="8" s="1"/>
  <c r="AM8" i="8" a="1"/>
  <c r="AM8" i="8" s="1"/>
  <c r="AN8" i="8" a="1"/>
  <c r="AN8" i="8" s="1"/>
  <c r="L9" i="8" a="1"/>
  <c r="L9" i="8" s="1"/>
  <c r="M9" i="8" a="1"/>
  <c r="M9" i="8" s="1"/>
  <c r="N9" i="8" a="1"/>
  <c r="N9" i="8" s="1"/>
  <c r="O9" i="8" a="1"/>
  <c r="O9" i="8" s="1"/>
  <c r="P9" i="8" a="1"/>
  <c r="P9" i="8" s="1"/>
  <c r="Q9" i="8" a="1"/>
  <c r="Q9" i="8" s="1"/>
  <c r="R9" i="8" a="1"/>
  <c r="R9" i="8" s="1"/>
  <c r="S9" i="8" a="1"/>
  <c r="S9" i="8" s="1"/>
  <c r="T9" i="8" a="1"/>
  <c r="T9" i="8" s="1"/>
  <c r="U9" i="8" a="1"/>
  <c r="U9" i="8" s="1"/>
  <c r="V9" i="8" a="1"/>
  <c r="V9" i="8" s="1"/>
  <c r="W9" i="8" a="1"/>
  <c r="W9" i="8" s="1"/>
  <c r="X9" i="8" a="1"/>
  <c r="X9" i="8" s="1"/>
  <c r="Y9" i="8" a="1"/>
  <c r="Y9" i="8" s="1"/>
  <c r="Z9" i="8" a="1"/>
  <c r="Z9" i="8" s="1"/>
  <c r="AA9" i="8" a="1"/>
  <c r="AA9" i="8" s="1"/>
  <c r="AB9" i="8" a="1"/>
  <c r="AB9" i="8" s="1"/>
  <c r="AC9" i="8" a="1"/>
  <c r="AC9" i="8" s="1"/>
  <c r="AD9" i="8" a="1"/>
  <c r="AD9" i="8" s="1"/>
  <c r="AE9" i="8" a="1"/>
  <c r="AE9" i="8" s="1"/>
  <c r="AF9" i="8" a="1"/>
  <c r="AF9" i="8" s="1"/>
  <c r="AG9" i="8" a="1"/>
  <c r="AG9" i="8" s="1"/>
  <c r="AH9" i="8" a="1"/>
  <c r="AH9" i="8" s="1"/>
  <c r="AI9" i="8" a="1"/>
  <c r="AI9" i="8" s="1"/>
  <c r="AJ9" i="8" a="1"/>
  <c r="AJ9" i="8" s="1"/>
  <c r="AK9" i="8" a="1"/>
  <c r="AK9" i="8" s="1"/>
  <c r="AL9" i="8" a="1"/>
  <c r="AL9" i="8" s="1"/>
  <c r="AM9" i="8" a="1"/>
  <c r="AM9" i="8" s="1"/>
  <c r="AN9" i="8" a="1"/>
  <c r="AN9" i="8" s="1"/>
  <c r="L10" i="8" a="1"/>
  <c r="L10" i="8" s="1"/>
  <c r="M10" i="8" a="1"/>
  <c r="M10" i="8" s="1"/>
  <c r="N10" i="8" a="1"/>
  <c r="N10" i="8" s="1"/>
  <c r="O10" i="8" a="1"/>
  <c r="O10" i="8" s="1"/>
  <c r="P10" i="8" a="1"/>
  <c r="P10" i="8" s="1"/>
  <c r="Q10" i="8" a="1"/>
  <c r="Q10" i="8" s="1"/>
  <c r="R10" i="8" a="1"/>
  <c r="R10" i="8" s="1"/>
  <c r="S10" i="8" a="1"/>
  <c r="S10" i="8" s="1"/>
  <c r="T10" i="8" a="1"/>
  <c r="T10" i="8" s="1"/>
  <c r="U10" i="8" a="1"/>
  <c r="U10" i="8" s="1"/>
  <c r="V10" i="8" a="1"/>
  <c r="V10" i="8" s="1"/>
  <c r="W10" i="8" a="1"/>
  <c r="W10" i="8" s="1"/>
  <c r="X10" i="8" a="1"/>
  <c r="X10" i="8" s="1"/>
  <c r="Y10" i="8" a="1"/>
  <c r="Y10" i="8" s="1"/>
  <c r="Z10" i="8" a="1"/>
  <c r="Z10" i="8" s="1"/>
  <c r="AA10" i="8" a="1"/>
  <c r="AA10" i="8" s="1"/>
  <c r="AB10" i="8" a="1"/>
  <c r="AB10" i="8" s="1"/>
  <c r="AC10" i="8" a="1"/>
  <c r="AC10" i="8" s="1"/>
  <c r="AD10" i="8" a="1"/>
  <c r="AD10" i="8" s="1"/>
  <c r="AE10" i="8" a="1"/>
  <c r="AE10" i="8" s="1"/>
  <c r="AF10" i="8" a="1"/>
  <c r="AF10" i="8" s="1"/>
  <c r="AG10" i="8" a="1"/>
  <c r="AG10" i="8" s="1"/>
  <c r="AH10" i="8" a="1"/>
  <c r="AH10" i="8" s="1"/>
  <c r="AI10" i="8" a="1"/>
  <c r="AI10" i="8" s="1"/>
  <c r="AJ10" i="8" a="1"/>
  <c r="AJ10" i="8" s="1"/>
  <c r="AK10" i="8" a="1"/>
  <c r="AK10" i="8" s="1"/>
  <c r="AL10" i="8" a="1"/>
  <c r="AL10" i="8" s="1"/>
  <c r="AM10" i="8" a="1"/>
  <c r="AM10" i="8" s="1"/>
  <c r="AN10" i="8" a="1"/>
  <c r="AN10" i="8" s="1"/>
  <c r="L11" i="8" a="1"/>
  <c r="L11" i="8" s="1"/>
  <c r="M11" i="8" a="1"/>
  <c r="M11" i="8" s="1"/>
  <c r="N11" i="8" a="1"/>
  <c r="N11" i="8" s="1"/>
  <c r="O11" i="8" a="1"/>
  <c r="O11" i="8" s="1"/>
  <c r="P11" i="8" a="1"/>
  <c r="P11" i="8" s="1"/>
  <c r="Q11" i="8" a="1"/>
  <c r="Q11" i="8" s="1"/>
  <c r="R11" i="8" a="1"/>
  <c r="R11" i="8" s="1"/>
  <c r="S11" i="8" a="1"/>
  <c r="S11" i="8" s="1"/>
  <c r="T11" i="8" a="1"/>
  <c r="T11" i="8" s="1"/>
  <c r="U11" i="8" a="1"/>
  <c r="U11" i="8" s="1"/>
  <c r="V11" i="8" a="1"/>
  <c r="V11" i="8" s="1"/>
  <c r="W11" i="8" a="1"/>
  <c r="W11" i="8" s="1"/>
  <c r="X11" i="8" a="1"/>
  <c r="X11" i="8" s="1"/>
  <c r="Y11" i="8" a="1"/>
  <c r="Y11" i="8" s="1"/>
  <c r="Z11" i="8" a="1"/>
  <c r="Z11" i="8" s="1"/>
  <c r="AA11" i="8" a="1"/>
  <c r="AA11" i="8" s="1"/>
  <c r="AB11" i="8" a="1"/>
  <c r="AB11" i="8" s="1"/>
  <c r="AC11" i="8" a="1"/>
  <c r="AC11" i="8" s="1"/>
  <c r="AD11" i="8" a="1"/>
  <c r="AD11" i="8" s="1"/>
  <c r="AE11" i="8" a="1"/>
  <c r="AE11" i="8" s="1"/>
  <c r="AF11" i="8" a="1"/>
  <c r="AF11" i="8" s="1"/>
  <c r="AG11" i="8" a="1"/>
  <c r="AG11" i="8" s="1"/>
  <c r="AH11" i="8" a="1"/>
  <c r="AH11" i="8" s="1"/>
  <c r="AI11" i="8" a="1"/>
  <c r="AI11" i="8" s="1"/>
  <c r="AJ11" i="8" a="1"/>
  <c r="AJ11" i="8" s="1"/>
  <c r="AK11" i="8" a="1"/>
  <c r="AK11" i="8" s="1"/>
  <c r="AL11" i="8" a="1"/>
  <c r="AL11" i="8" s="1"/>
  <c r="AM11" i="8" a="1"/>
  <c r="AM11" i="8" s="1"/>
  <c r="AN11" i="8" a="1"/>
  <c r="AN11" i="8" s="1"/>
  <c r="L12" i="8" a="1"/>
  <c r="L12" i="8" s="1"/>
  <c r="M12" i="8" a="1"/>
  <c r="M12" i="8" s="1"/>
  <c r="N12" i="8" a="1"/>
  <c r="N12" i="8" s="1"/>
  <c r="O12" i="8" a="1"/>
  <c r="O12" i="8" s="1"/>
  <c r="P12" i="8" a="1"/>
  <c r="P12" i="8" s="1"/>
  <c r="Q12" i="8" a="1"/>
  <c r="Q12" i="8" s="1"/>
  <c r="R12" i="8" a="1"/>
  <c r="R12" i="8" s="1"/>
  <c r="S12" i="8" a="1"/>
  <c r="S12" i="8" s="1"/>
  <c r="T12" i="8" a="1"/>
  <c r="T12" i="8" s="1"/>
  <c r="U12" i="8" a="1"/>
  <c r="U12" i="8" s="1"/>
  <c r="V12" i="8" a="1"/>
  <c r="V12" i="8" s="1"/>
  <c r="W12" i="8" a="1"/>
  <c r="W12" i="8" s="1"/>
  <c r="X12" i="8" a="1"/>
  <c r="X12" i="8" s="1"/>
  <c r="Y12" i="8" a="1"/>
  <c r="Y12" i="8" s="1"/>
  <c r="Z12" i="8" a="1"/>
  <c r="Z12" i="8" s="1"/>
  <c r="AA12" i="8" a="1"/>
  <c r="AA12" i="8" s="1"/>
  <c r="AB12" i="8" a="1"/>
  <c r="AB12" i="8" s="1"/>
  <c r="AC12" i="8" a="1"/>
  <c r="AC12" i="8" s="1"/>
  <c r="AD12" i="8" a="1"/>
  <c r="AD12" i="8" s="1"/>
  <c r="AE12" i="8" a="1"/>
  <c r="AE12" i="8" s="1"/>
  <c r="AF12" i="8" a="1"/>
  <c r="AF12" i="8" s="1"/>
  <c r="AG12" i="8" a="1"/>
  <c r="AG12" i="8" s="1"/>
  <c r="AH12" i="8" a="1"/>
  <c r="AH12" i="8" s="1"/>
  <c r="AI12" i="8" a="1"/>
  <c r="AI12" i="8" s="1"/>
  <c r="AJ12" i="8" a="1"/>
  <c r="AJ12" i="8" s="1"/>
  <c r="AK12" i="8" a="1"/>
  <c r="AK12" i="8" s="1"/>
  <c r="AL12" i="8" a="1"/>
  <c r="AL12" i="8" s="1"/>
  <c r="AM12" i="8" a="1"/>
  <c r="AM12" i="8" s="1"/>
  <c r="AN12" i="8" a="1"/>
  <c r="AN12" i="8" s="1"/>
  <c r="L13" i="8" a="1"/>
  <c r="L13" i="8" s="1"/>
  <c r="M13" i="8" a="1"/>
  <c r="M13" i="8" s="1"/>
  <c r="N13" i="8" a="1"/>
  <c r="N13" i="8" s="1"/>
  <c r="O13" i="8" a="1"/>
  <c r="O13" i="8" s="1"/>
  <c r="P13" i="8" a="1"/>
  <c r="P13" i="8" s="1"/>
  <c r="Q13" i="8" a="1"/>
  <c r="Q13" i="8" s="1"/>
  <c r="R13" i="8" a="1"/>
  <c r="R13" i="8" s="1"/>
  <c r="S13" i="8" a="1"/>
  <c r="S13" i="8" s="1"/>
  <c r="T13" i="8" a="1"/>
  <c r="T13" i="8" s="1"/>
  <c r="U13" i="8" a="1"/>
  <c r="U13" i="8" s="1"/>
  <c r="V13" i="8" a="1"/>
  <c r="V13" i="8" s="1"/>
  <c r="W13" i="8" a="1"/>
  <c r="W13" i="8" s="1"/>
  <c r="X13" i="8" a="1"/>
  <c r="X13" i="8" s="1"/>
  <c r="Y13" i="8" a="1"/>
  <c r="Y13" i="8" s="1"/>
  <c r="Z13" i="8" a="1"/>
  <c r="Z13" i="8" s="1"/>
  <c r="AA13" i="8" a="1"/>
  <c r="AA13" i="8" s="1"/>
  <c r="AB13" i="8" a="1"/>
  <c r="AB13" i="8" s="1"/>
  <c r="AC13" i="8" a="1"/>
  <c r="AC13" i="8" s="1"/>
  <c r="AD13" i="8" a="1"/>
  <c r="AD13" i="8" s="1"/>
  <c r="AE13" i="8" a="1"/>
  <c r="AE13" i="8" s="1"/>
  <c r="AF13" i="8" a="1"/>
  <c r="AF13" i="8" s="1"/>
  <c r="AG13" i="8" a="1"/>
  <c r="AG13" i="8" s="1"/>
  <c r="AH13" i="8" a="1"/>
  <c r="AH13" i="8" s="1"/>
  <c r="AI13" i="8" a="1"/>
  <c r="AI13" i="8" s="1"/>
  <c r="AJ13" i="8" a="1"/>
  <c r="AJ13" i="8" s="1"/>
  <c r="AK13" i="8" a="1"/>
  <c r="AK13" i="8" s="1"/>
  <c r="AL13" i="8" a="1"/>
  <c r="AL13" i="8" s="1"/>
  <c r="AM13" i="8" a="1"/>
  <c r="AM13" i="8" s="1"/>
  <c r="AN13" i="8" a="1"/>
  <c r="AN13" i="8" s="1"/>
  <c r="L14" i="8" a="1"/>
  <c r="L14" i="8" s="1"/>
  <c r="M14" i="8" a="1"/>
  <c r="M14" i="8" s="1"/>
  <c r="N14" i="8" a="1"/>
  <c r="N14" i="8" s="1"/>
  <c r="O14" i="8" a="1"/>
  <c r="O14" i="8" s="1"/>
  <c r="P14" i="8" a="1"/>
  <c r="P14" i="8" s="1"/>
  <c r="Q14" i="8" a="1"/>
  <c r="Q14" i="8" s="1"/>
  <c r="R14" i="8" a="1"/>
  <c r="R14" i="8" s="1"/>
  <c r="S14" i="8" a="1"/>
  <c r="S14" i="8" s="1"/>
  <c r="T14" i="8" a="1"/>
  <c r="T14" i="8" s="1"/>
  <c r="U14" i="8" a="1"/>
  <c r="U14" i="8" s="1"/>
  <c r="V14" i="8" a="1"/>
  <c r="V14" i="8" s="1"/>
  <c r="W14" i="8" a="1"/>
  <c r="W14" i="8" s="1"/>
  <c r="X14" i="8" a="1"/>
  <c r="X14" i="8" s="1"/>
  <c r="Y14" i="8" a="1"/>
  <c r="Y14" i="8" s="1"/>
  <c r="Z14" i="8" a="1"/>
  <c r="Z14" i="8" s="1"/>
  <c r="AA14" i="8" a="1"/>
  <c r="AA14" i="8" s="1"/>
  <c r="AB14" i="8" a="1"/>
  <c r="AB14" i="8" s="1"/>
  <c r="AC14" i="8" a="1"/>
  <c r="AC14" i="8" s="1"/>
  <c r="AD14" i="8" a="1"/>
  <c r="AD14" i="8" s="1"/>
  <c r="AE14" i="8" a="1"/>
  <c r="AE14" i="8" s="1"/>
  <c r="AF14" i="8" a="1"/>
  <c r="AF14" i="8" s="1"/>
  <c r="AG14" i="8" a="1"/>
  <c r="AG14" i="8" s="1"/>
  <c r="AH14" i="8" a="1"/>
  <c r="AH14" i="8" s="1"/>
  <c r="AI14" i="8" a="1"/>
  <c r="AI14" i="8" s="1"/>
  <c r="AJ14" i="8" a="1"/>
  <c r="AJ14" i="8" s="1"/>
  <c r="AK14" i="8" a="1"/>
  <c r="AK14" i="8" s="1"/>
  <c r="AL14" i="8" a="1"/>
  <c r="AL14" i="8" s="1"/>
  <c r="AM14" i="8" a="1"/>
  <c r="AM14" i="8" s="1"/>
  <c r="AN14" i="8" a="1"/>
  <c r="AN14" i="8" s="1"/>
  <c r="L15" i="8" a="1"/>
  <c r="L15" i="8" s="1"/>
  <c r="M15" i="8" a="1"/>
  <c r="M15" i="8" s="1"/>
  <c r="N15" i="8" a="1"/>
  <c r="N15" i="8" s="1"/>
  <c r="O15" i="8" a="1"/>
  <c r="O15" i="8" s="1"/>
  <c r="P15" i="8" a="1"/>
  <c r="P15" i="8" s="1"/>
  <c r="Q15" i="8" a="1"/>
  <c r="Q15" i="8" s="1"/>
  <c r="R15" i="8" a="1"/>
  <c r="R15" i="8" s="1"/>
  <c r="S15" i="8" a="1"/>
  <c r="S15" i="8" s="1"/>
  <c r="T15" i="8" a="1"/>
  <c r="T15" i="8" s="1"/>
  <c r="U15" i="8" a="1"/>
  <c r="U15" i="8" s="1"/>
  <c r="V15" i="8" a="1"/>
  <c r="V15" i="8" s="1"/>
  <c r="W15" i="8" a="1"/>
  <c r="W15" i="8" s="1"/>
  <c r="X15" i="8" a="1"/>
  <c r="X15" i="8" s="1"/>
  <c r="Y15" i="8" a="1"/>
  <c r="Y15" i="8" s="1"/>
  <c r="Z15" i="8" a="1"/>
  <c r="Z15" i="8" s="1"/>
  <c r="AA15" i="8" a="1"/>
  <c r="AA15" i="8" s="1"/>
  <c r="AB15" i="8" a="1"/>
  <c r="AB15" i="8" s="1"/>
  <c r="AC15" i="8" a="1"/>
  <c r="AC15" i="8" s="1"/>
  <c r="AD15" i="8" a="1"/>
  <c r="AD15" i="8" s="1"/>
  <c r="AE15" i="8" a="1"/>
  <c r="AE15" i="8" s="1"/>
  <c r="AF15" i="8" a="1"/>
  <c r="AF15" i="8" s="1"/>
  <c r="AG15" i="8" a="1"/>
  <c r="AG15" i="8" s="1"/>
  <c r="AH15" i="8" a="1"/>
  <c r="AH15" i="8" s="1"/>
  <c r="AI15" i="8" a="1"/>
  <c r="AI15" i="8" s="1"/>
  <c r="AJ15" i="8" a="1"/>
  <c r="AJ15" i="8" s="1"/>
  <c r="AK15" i="8" a="1"/>
  <c r="AK15" i="8" s="1"/>
  <c r="AL15" i="8" a="1"/>
  <c r="AL15" i="8" s="1"/>
  <c r="AM15" i="8" a="1"/>
  <c r="AM15" i="8" s="1"/>
  <c r="AN15" i="8" a="1"/>
  <c r="AN15" i="8" s="1"/>
  <c r="L16" i="8" a="1"/>
  <c r="L16" i="8" s="1"/>
  <c r="M16" i="8" a="1"/>
  <c r="M16" i="8" s="1"/>
  <c r="N16" i="8" a="1"/>
  <c r="N16" i="8" s="1"/>
  <c r="O16" i="8" a="1"/>
  <c r="O16" i="8" s="1"/>
  <c r="P16" i="8" a="1"/>
  <c r="P16" i="8" s="1"/>
  <c r="Q16" i="8" a="1"/>
  <c r="Q16" i="8" s="1"/>
  <c r="R16" i="8" a="1"/>
  <c r="R16" i="8" s="1"/>
  <c r="S16" i="8" a="1"/>
  <c r="S16" i="8" s="1"/>
  <c r="T16" i="8" a="1"/>
  <c r="T16" i="8" s="1"/>
  <c r="U16" i="8" a="1"/>
  <c r="U16" i="8" s="1"/>
  <c r="V16" i="8" a="1"/>
  <c r="V16" i="8" s="1"/>
  <c r="W16" i="8" a="1"/>
  <c r="W16" i="8" s="1"/>
  <c r="X16" i="8" a="1"/>
  <c r="X16" i="8" s="1"/>
  <c r="Y16" i="8" a="1"/>
  <c r="Y16" i="8" s="1"/>
  <c r="Z16" i="8" a="1"/>
  <c r="Z16" i="8" s="1"/>
  <c r="AA16" i="8" a="1"/>
  <c r="AA16" i="8" s="1"/>
  <c r="AB16" i="8" a="1"/>
  <c r="AB16" i="8" s="1"/>
  <c r="AC16" i="8" a="1"/>
  <c r="AC16" i="8" s="1"/>
  <c r="AD16" i="8" a="1"/>
  <c r="AD16" i="8" s="1"/>
  <c r="AE16" i="8" a="1"/>
  <c r="AE16" i="8" s="1"/>
  <c r="AF16" i="8" a="1"/>
  <c r="AF16" i="8" s="1"/>
  <c r="AG16" i="8" a="1"/>
  <c r="AG16" i="8" s="1"/>
  <c r="AH16" i="8" a="1"/>
  <c r="AH16" i="8" s="1"/>
  <c r="AI16" i="8" a="1"/>
  <c r="AI16" i="8" s="1"/>
  <c r="AJ16" i="8" a="1"/>
  <c r="AJ16" i="8" s="1"/>
  <c r="AK16" i="8" a="1"/>
  <c r="AK16" i="8" s="1"/>
  <c r="AL16" i="8" a="1"/>
  <c r="AL16" i="8" s="1"/>
  <c r="AM16" i="8" a="1"/>
  <c r="AM16" i="8" s="1"/>
  <c r="AN16" i="8" a="1"/>
  <c r="AN16" i="8" s="1"/>
  <c r="L17" i="8" a="1"/>
  <c r="L17" i="8" s="1"/>
  <c r="M17" i="8" a="1"/>
  <c r="M17" i="8" s="1"/>
  <c r="N17" i="8" a="1"/>
  <c r="N17" i="8" s="1"/>
  <c r="O17" i="8" a="1"/>
  <c r="O17" i="8" s="1"/>
  <c r="P17" i="8" a="1"/>
  <c r="P17" i="8" s="1"/>
  <c r="Q17" i="8" a="1"/>
  <c r="Q17" i="8" s="1"/>
  <c r="R17" i="8" a="1"/>
  <c r="R17" i="8" s="1"/>
  <c r="S17" i="8" a="1"/>
  <c r="S17" i="8" s="1"/>
  <c r="T17" i="8" a="1"/>
  <c r="T17" i="8" s="1"/>
  <c r="U17" i="8" a="1"/>
  <c r="U17" i="8" s="1"/>
  <c r="V17" i="8" a="1"/>
  <c r="V17" i="8" s="1"/>
  <c r="W17" i="8" a="1"/>
  <c r="W17" i="8" s="1"/>
  <c r="X17" i="8" a="1"/>
  <c r="X17" i="8" s="1"/>
  <c r="Y17" i="8" a="1"/>
  <c r="Y17" i="8" s="1"/>
  <c r="Z17" i="8" a="1"/>
  <c r="Z17" i="8" s="1"/>
  <c r="AA17" i="8" a="1"/>
  <c r="AA17" i="8" s="1"/>
  <c r="AB17" i="8" a="1"/>
  <c r="AB17" i="8" s="1"/>
  <c r="AC17" i="8" a="1"/>
  <c r="AC17" i="8" s="1"/>
  <c r="AD17" i="8" a="1"/>
  <c r="AD17" i="8" s="1"/>
  <c r="AE17" i="8" a="1"/>
  <c r="AE17" i="8" s="1"/>
  <c r="AF17" i="8" a="1"/>
  <c r="AF17" i="8" s="1"/>
  <c r="AG17" i="8" a="1"/>
  <c r="AG17" i="8" s="1"/>
  <c r="AH17" i="8" a="1"/>
  <c r="AH17" i="8" s="1"/>
  <c r="AI17" i="8" a="1"/>
  <c r="AI17" i="8" s="1"/>
  <c r="AJ17" i="8" a="1"/>
  <c r="AJ17" i="8" s="1"/>
  <c r="AK17" i="8" a="1"/>
  <c r="AK17" i="8" s="1"/>
  <c r="AL17" i="8" a="1"/>
  <c r="AL17" i="8" s="1"/>
  <c r="AM17" i="8" a="1"/>
  <c r="AM17" i="8" s="1"/>
  <c r="AN17" i="8" a="1"/>
  <c r="AN17" i="8" s="1"/>
  <c r="K16" i="8" a="1"/>
  <c r="K16" i="8" s="1"/>
  <c r="K11" i="8" a="1"/>
  <c r="K11" i="8" s="1"/>
  <c r="K15" i="8" a="1"/>
  <c r="K15" i="8" s="1"/>
  <c r="K14" i="8" a="1"/>
  <c r="K14" i="8" s="1"/>
  <c r="K13" i="8" a="1"/>
  <c r="K13" i="8" s="1"/>
  <c r="K12" i="8" a="1"/>
  <c r="K12" i="8" s="1"/>
  <c r="K9" i="8" a="1"/>
  <c r="K9" i="8" s="1"/>
  <c r="K3" i="8" a="1"/>
  <c r="K3" i="8" s="1"/>
  <c r="M5" i="7" l="1"/>
  <c r="M4" i="7"/>
  <c r="M5" i="6"/>
  <c r="M4" i="6"/>
  <c r="N5" i="5"/>
  <c r="N4" i="5"/>
  <c r="J5" i="7"/>
  <c r="J4" i="7"/>
  <c r="J5" i="6"/>
  <c r="J4" i="6"/>
  <c r="J5" i="5"/>
  <c r="J4" i="5"/>
  <c r="G5" i="7"/>
  <c r="G4" i="7"/>
  <c r="G5" i="6"/>
  <c r="G4" i="6"/>
  <c r="G5" i="5"/>
  <c r="G4" i="5"/>
  <c r="B5" i="7"/>
  <c r="B4" i="7"/>
  <c r="B5" i="6"/>
  <c r="B4" i="6"/>
  <c r="B5" i="5"/>
  <c r="B4" i="5"/>
  <c r="N5" i="2"/>
  <c r="N4" i="2"/>
  <c r="J5" i="2"/>
  <c r="J4" i="2"/>
  <c r="G5" i="2"/>
  <c r="G4" i="2"/>
  <c r="B5" i="2"/>
  <c r="B4" i="2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C9" i="2"/>
  <c r="B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9" i="2"/>
  <c r="L4" i="9" a="1"/>
  <c r="L4" i="9" s="1"/>
  <c r="L5" i="9" a="1"/>
  <c r="L5" i="9"/>
  <c r="L6" i="9" a="1"/>
  <c r="L6" i="9" s="1"/>
  <c r="L7" i="9" a="1"/>
  <c r="L7" i="9"/>
  <c r="L8" i="9" a="1"/>
  <c r="L8" i="9" s="1"/>
  <c r="L9" i="9" a="1"/>
  <c r="L9" i="9"/>
  <c r="L10" i="9" a="1"/>
  <c r="L10" i="9" s="1"/>
  <c r="L11" i="9" a="1"/>
  <c r="L11" i="9"/>
  <c r="L12" i="9" a="1"/>
  <c r="L12" i="9" s="1"/>
  <c r="L13" i="9" a="1"/>
  <c r="L13" i="9"/>
  <c r="L14" i="9" a="1"/>
  <c r="L14" i="9" s="1"/>
  <c r="L15" i="9" a="1"/>
  <c r="L15" i="9"/>
  <c r="L16" i="9" a="1"/>
  <c r="L16" i="9" s="1"/>
  <c r="L17" i="9" a="1"/>
  <c r="L17" i="9"/>
  <c r="L18" i="9" a="1"/>
  <c r="L18" i="9" s="1"/>
  <c r="L19" i="9" a="1"/>
  <c r="L19" i="9"/>
  <c r="L20" i="9" a="1"/>
  <c r="L20" i="9" s="1"/>
  <c r="L21" i="9" a="1"/>
  <c r="L21" i="9"/>
  <c r="L22" i="9" a="1"/>
  <c r="L22" i="9" s="1"/>
  <c r="L23" i="9" a="1"/>
  <c r="L23" i="9"/>
  <c r="L24" i="9" a="1"/>
  <c r="L24" i="9" s="1"/>
  <c r="L25" i="9" a="1"/>
  <c r="L25" i="9"/>
  <c r="L26" i="9" a="1"/>
  <c r="L26" i="9" s="1"/>
  <c r="L27" i="9" a="1"/>
  <c r="L27" i="9"/>
  <c r="L28" i="9" a="1"/>
  <c r="L28" i="9" s="1"/>
  <c r="L29" i="9" a="1"/>
  <c r="L29" i="9"/>
  <c r="L30" i="9" a="1"/>
  <c r="L30" i="9" s="1"/>
  <c r="L31" i="9" a="1"/>
  <c r="L31" i="9"/>
  <c r="L32" i="9" a="1"/>
  <c r="L32" i="9" s="1"/>
  <c r="K4" i="9" a="1"/>
  <c r="K4" i="9" s="1"/>
  <c r="K5" i="9" a="1"/>
  <c r="K5" i="9"/>
  <c r="K6" i="9" a="1"/>
  <c r="K6" i="9" s="1"/>
  <c r="K7" i="9" a="1"/>
  <c r="K7" i="9"/>
  <c r="K8" i="9" a="1"/>
  <c r="K8" i="9" s="1"/>
  <c r="K9" i="9" a="1"/>
  <c r="K9" i="9"/>
  <c r="K10" i="9" a="1"/>
  <c r="K10" i="9" s="1"/>
  <c r="K11" i="9" a="1"/>
  <c r="K11" i="9"/>
  <c r="K12" i="9" a="1"/>
  <c r="K12" i="9" s="1"/>
  <c r="K13" i="9" a="1"/>
  <c r="K13" i="9"/>
  <c r="K14" i="9" a="1"/>
  <c r="K14" i="9" s="1"/>
  <c r="K15" i="9" a="1"/>
  <c r="K15" i="9"/>
  <c r="K16" i="9" a="1"/>
  <c r="K16" i="9" s="1"/>
  <c r="K17" i="9" a="1"/>
  <c r="K17" i="9"/>
  <c r="K18" i="9" a="1"/>
  <c r="K18" i="9" s="1"/>
  <c r="K19" i="9" a="1"/>
  <c r="K19" i="9"/>
  <c r="K20" i="9" a="1"/>
  <c r="K20" i="9" s="1"/>
  <c r="K21" i="9" a="1"/>
  <c r="K21" i="9"/>
  <c r="K22" i="9" a="1"/>
  <c r="K22" i="9" s="1"/>
  <c r="K23" i="9" a="1"/>
  <c r="K23" i="9"/>
  <c r="K24" i="9" a="1"/>
  <c r="K24" i="9" s="1"/>
  <c r="K25" i="9" a="1"/>
  <c r="K25" i="9"/>
  <c r="K26" i="9" a="1"/>
  <c r="K26" i="9" s="1"/>
  <c r="K27" i="9" a="1"/>
  <c r="K27" i="9"/>
  <c r="K28" i="9" a="1"/>
  <c r="K28" i="9" s="1"/>
  <c r="K29" i="9" a="1"/>
  <c r="K29" i="9"/>
  <c r="K30" i="9" a="1"/>
  <c r="K30" i="9" s="1"/>
  <c r="K31" i="9" a="1"/>
  <c r="K31" i="9"/>
  <c r="K32" i="9" a="1"/>
  <c r="K32" i="9" s="1"/>
  <c r="K3" i="9" a="1"/>
  <c r="K3" i="9" s="1"/>
  <c r="J4" i="9" a="1"/>
  <c r="J4" i="9" s="1"/>
  <c r="J5" i="9" a="1"/>
  <c r="J5" i="9"/>
  <c r="J6" i="9" a="1"/>
  <c r="J6" i="9" s="1"/>
  <c r="J7" i="9" a="1"/>
  <c r="J7" i="9"/>
  <c r="J8" i="9" a="1"/>
  <c r="J8" i="9" s="1"/>
  <c r="J9" i="9" a="1"/>
  <c r="J9" i="9"/>
  <c r="J10" i="9" a="1"/>
  <c r="J10" i="9" s="1"/>
  <c r="J11" i="9" a="1"/>
  <c r="J11" i="9"/>
  <c r="J12" i="9" a="1"/>
  <c r="J12" i="9" s="1"/>
  <c r="J13" i="9" a="1"/>
  <c r="J13" i="9"/>
  <c r="J14" i="9" a="1"/>
  <c r="J14" i="9" s="1"/>
  <c r="J15" i="9" a="1"/>
  <c r="J15" i="9"/>
  <c r="J16" i="9" a="1"/>
  <c r="J16" i="9" s="1"/>
  <c r="J17" i="9" a="1"/>
  <c r="J17" i="9"/>
  <c r="J18" i="9" a="1"/>
  <c r="J18" i="9" s="1"/>
  <c r="J19" i="9" a="1"/>
  <c r="J19" i="9"/>
  <c r="J20" i="9" a="1"/>
  <c r="J20" i="9" s="1"/>
  <c r="J21" i="9" a="1"/>
  <c r="J21" i="9"/>
  <c r="J22" i="9" a="1"/>
  <c r="J22" i="9" s="1"/>
  <c r="J23" i="9" a="1"/>
  <c r="J23" i="9"/>
  <c r="J24" i="9" a="1"/>
  <c r="J24" i="9" s="1"/>
  <c r="J25" i="9" a="1"/>
  <c r="J25" i="9"/>
  <c r="J26" i="9" a="1"/>
  <c r="J26" i="9" s="1"/>
  <c r="J27" i="9" a="1"/>
  <c r="J27" i="9"/>
  <c r="J28" i="9" a="1"/>
  <c r="J28" i="9" s="1"/>
  <c r="J29" i="9" a="1"/>
  <c r="J29" i="9"/>
  <c r="J30" i="9" a="1"/>
  <c r="J30" i="9" s="1"/>
  <c r="J31" i="9" a="1"/>
  <c r="J31" i="9"/>
  <c r="J32" i="9" a="1"/>
  <c r="J32" i="9" s="1"/>
  <c r="I4" i="9" a="1"/>
  <c r="I4" i="9" s="1"/>
  <c r="I5" i="9" a="1"/>
  <c r="I5" i="9"/>
  <c r="I6" i="9" a="1"/>
  <c r="I6" i="9" s="1"/>
  <c r="I7" i="9" a="1"/>
  <c r="I7" i="9"/>
  <c r="I8" i="9" a="1"/>
  <c r="I8" i="9" s="1"/>
  <c r="I9" i="9" a="1"/>
  <c r="I9" i="9"/>
  <c r="I10" i="9" a="1"/>
  <c r="I10" i="9" s="1"/>
  <c r="I11" i="9" a="1"/>
  <c r="I11" i="9"/>
  <c r="I12" i="9" a="1"/>
  <c r="I12" i="9" s="1"/>
  <c r="I13" i="9" a="1"/>
  <c r="I13" i="9"/>
  <c r="I14" i="9" a="1"/>
  <c r="I14" i="9" s="1"/>
  <c r="I15" i="9" a="1"/>
  <c r="I15" i="9"/>
  <c r="I16" i="9" a="1"/>
  <c r="I16" i="9" s="1"/>
  <c r="I17" i="9" a="1"/>
  <c r="I17" i="9"/>
  <c r="I18" i="9" a="1"/>
  <c r="I18" i="9" s="1"/>
  <c r="I19" i="9" a="1"/>
  <c r="I19" i="9"/>
  <c r="I20" i="9" a="1"/>
  <c r="I20" i="9" s="1"/>
  <c r="I21" i="9" a="1"/>
  <c r="I21" i="9"/>
  <c r="I22" i="9" a="1"/>
  <c r="I22" i="9" s="1"/>
  <c r="I23" i="9" a="1"/>
  <c r="I23" i="9"/>
  <c r="I24" i="9" a="1"/>
  <c r="I24" i="9" s="1"/>
  <c r="I25" i="9" a="1"/>
  <c r="I25" i="9"/>
  <c r="I26" i="9" a="1"/>
  <c r="I26" i="9" s="1"/>
  <c r="I27" i="9" a="1"/>
  <c r="I27" i="9"/>
  <c r="I28" i="9" a="1"/>
  <c r="I28" i="9" s="1"/>
  <c r="I29" i="9" a="1"/>
  <c r="I29" i="9"/>
  <c r="I30" i="9" a="1"/>
  <c r="I30" i="9" s="1"/>
  <c r="I31" i="9" a="1"/>
  <c r="I31" i="9"/>
  <c r="I32" i="9" a="1"/>
  <c r="I32" i="9" s="1"/>
  <c r="H4" i="9" a="1"/>
  <c r="H4" i="9" s="1"/>
  <c r="H5" i="9" a="1"/>
  <c r="H5" i="9"/>
  <c r="H6" i="9" a="1"/>
  <c r="H6" i="9" s="1"/>
  <c r="H7" i="9" a="1"/>
  <c r="H7" i="9"/>
  <c r="H8" i="9" a="1"/>
  <c r="H8" i="9" s="1"/>
  <c r="H9" i="9" a="1"/>
  <c r="H9" i="9"/>
  <c r="H10" i="9" a="1"/>
  <c r="H10" i="9" s="1"/>
  <c r="H11" i="9" a="1"/>
  <c r="H11" i="9"/>
  <c r="H12" i="9" a="1"/>
  <c r="H12" i="9" s="1"/>
  <c r="H13" i="9" a="1"/>
  <c r="H13" i="9"/>
  <c r="H14" i="9" a="1"/>
  <c r="H14" i="9" s="1"/>
  <c r="H15" i="9" a="1"/>
  <c r="H15" i="9"/>
  <c r="H16" i="9" a="1"/>
  <c r="H16" i="9" s="1"/>
  <c r="H17" i="9" a="1"/>
  <c r="H17" i="9"/>
  <c r="H18" i="9" a="1"/>
  <c r="H18" i="9" s="1"/>
  <c r="H19" i="9" a="1"/>
  <c r="H19" i="9"/>
  <c r="H20" i="9" a="1"/>
  <c r="H20" i="9" s="1"/>
  <c r="H21" i="9" a="1"/>
  <c r="H21" i="9"/>
  <c r="H22" i="9" a="1"/>
  <c r="H22" i="9" s="1"/>
  <c r="H23" i="9" a="1"/>
  <c r="H23" i="9"/>
  <c r="H24" i="9" a="1"/>
  <c r="H24" i="9" s="1"/>
  <c r="H25" i="9" a="1"/>
  <c r="H25" i="9"/>
  <c r="H26" i="9" a="1"/>
  <c r="H26" i="9" s="1"/>
  <c r="H27" i="9" a="1"/>
  <c r="H27" i="9"/>
  <c r="H28" i="9" a="1"/>
  <c r="H28" i="9" s="1"/>
  <c r="H29" i="9" a="1"/>
  <c r="H29" i="9"/>
  <c r="H30" i="9" a="1"/>
  <c r="H30" i="9" s="1"/>
  <c r="H31" i="9" a="1"/>
  <c r="H31" i="9"/>
  <c r="H32" i="9" a="1"/>
  <c r="H32" i="9" s="1"/>
  <c r="G4" i="9" a="1"/>
  <c r="G4" i="9" s="1"/>
  <c r="G5" i="9" a="1"/>
  <c r="G5" i="9"/>
  <c r="G6" i="9" a="1"/>
  <c r="G6" i="9" s="1"/>
  <c r="G7" i="9" a="1"/>
  <c r="G7" i="9"/>
  <c r="G8" i="9" a="1"/>
  <c r="G8" i="9" s="1"/>
  <c r="G9" i="9" a="1"/>
  <c r="G9" i="9"/>
  <c r="G10" i="9" a="1"/>
  <c r="G10" i="9" s="1"/>
  <c r="G11" i="9" a="1"/>
  <c r="G11" i="9"/>
  <c r="G12" i="9" a="1"/>
  <c r="G12" i="9" s="1"/>
  <c r="G13" i="9" a="1"/>
  <c r="G13" i="9"/>
  <c r="G14" i="9" a="1"/>
  <c r="G14" i="9" s="1"/>
  <c r="G15" i="9" a="1"/>
  <c r="G15" i="9"/>
  <c r="G16" i="9" a="1"/>
  <c r="G16" i="9" s="1"/>
  <c r="G17" i="9" a="1"/>
  <c r="G17" i="9"/>
  <c r="G18" i="9" a="1"/>
  <c r="G18" i="9" s="1"/>
  <c r="G19" i="9" a="1"/>
  <c r="G19" i="9"/>
  <c r="G20" i="9" a="1"/>
  <c r="G20" i="9" s="1"/>
  <c r="G21" i="9" a="1"/>
  <c r="G21" i="9"/>
  <c r="G22" i="9" a="1"/>
  <c r="G22" i="9" s="1"/>
  <c r="G23" i="9" a="1"/>
  <c r="G23" i="9"/>
  <c r="G24" i="9" a="1"/>
  <c r="G24" i="9" s="1"/>
  <c r="G25" i="9" a="1"/>
  <c r="G25" i="9"/>
  <c r="G26" i="9" a="1"/>
  <c r="G26" i="9" s="1"/>
  <c r="G27" i="9" a="1"/>
  <c r="G27" i="9"/>
  <c r="G28" i="9" a="1"/>
  <c r="G28" i="9" s="1"/>
  <c r="G29" i="9" a="1"/>
  <c r="G29" i="9"/>
  <c r="G30" i="9" a="1"/>
  <c r="G30" i="9" s="1"/>
  <c r="G31" i="9" a="1"/>
  <c r="G31" i="9"/>
  <c r="G32" i="9" a="1"/>
  <c r="G32" i="9" s="1"/>
  <c r="B4" i="9" a="1"/>
  <c r="B4" i="9" s="1"/>
  <c r="B5" i="9" a="1"/>
  <c r="B5" i="9"/>
  <c r="B6" i="9" a="1"/>
  <c r="B6" i="9" s="1"/>
  <c r="B7" i="9" a="1"/>
  <c r="B7" i="9"/>
  <c r="B8" i="9" a="1"/>
  <c r="B8" i="9" s="1"/>
  <c r="B9" i="9" a="1"/>
  <c r="B9" i="9"/>
  <c r="B10" i="9" a="1"/>
  <c r="B10" i="9" s="1"/>
  <c r="B11" i="9" a="1"/>
  <c r="B11" i="9"/>
  <c r="B12" i="9" a="1"/>
  <c r="B12" i="9" s="1"/>
  <c r="B13" i="9" a="1"/>
  <c r="B13" i="9"/>
  <c r="B14" i="9" a="1"/>
  <c r="B14" i="9" s="1"/>
  <c r="B15" i="9" a="1"/>
  <c r="B15" i="9"/>
  <c r="B16" i="9" a="1"/>
  <c r="B16" i="9" s="1"/>
  <c r="B17" i="9" a="1"/>
  <c r="B17" i="9"/>
  <c r="B18" i="9" a="1"/>
  <c r="B18" i="9" s="1"/>
  <c r="B19" i="9" a="1"/>
  <c r="B19" i="9"/>
  <c r="B20" i="9" a="1"/>
  <c r="B20" i="9" s="1"/>
  <c r="B21" i="9" a="1"/>
  <c r="B21" i="9"/>
  <c r="B22" i="9" a="1"/>
  <c r="B22" i="9" s="1"/>
  <c r="B23" i="9" a="1"/>
  <c r="B23" i="9"/>
  <c r="B24" i="9" a="1"/>
  <c r="B24" i="9" s="1"/>
  <c r="B25" i="9" a="1"/>
  <c r="B25" i="9"/>
  <c r="B26" i="9" a="1"/>
  <c r="B26" i="9" s="1"/>
  <c r="B27" i="9" a="1"/>
  <c r="B27" i="9"/>
  <c r="B28" i="9" a="1"/>
  <c r="B28" i="9" s="1"/>
  <c r="B29" i="9" a="1"/>
  <c r="B29" i="9"/>
  <c r="B30" i="9" a="1"/>
  <c r="B30" i="9" s="1"/>
  <c r="B31" i="9" a="1"/>
  <c r="B31" i="9"/>
  <c r="B32" i="9" a="1"/>
  <c r="B32" i="9" s="1"/>
  <c r="B3" i="9" a="1"/>
  <c r="B3" i="9" s="1"/>
  <c r="F4" i="9" a="1"/>
  <c r="F4" i="9" s="1"/>
  <c r="F5" i="9" a="1"/>
  <c r="F5" i="9"/>
  <c r="F6" i="9" a="1"/>
  <c r="F6" i="9" s="1"/>
  <c r="F7" i="9" a="1"/>
  <c r="F7" i="9"/>
  <c r="F8" i="9" a="1"/>
  <c r="F8" i="9" s="1"/>
  <c r="F9" i="9" a="1"/>
  <c r="F9" i="9"/>
  <c r="F10" i="9" a="1"/>
  <c r="F10" i="9" s="1"/>
  <c r="F11" i="9" a="1"/>
  <c r="F11" i="9"/>
  <c r="F12" i="9" a="1"/>
  <c r="F12" i="9" s="1"/>
  <c r="F13" i="9" a="1"/>
  <c r="F13" i="9"/>
  <c r="F14" i="9" a="1"/>
  <c r="F14" i="9" s="1"/>
  <c r="F15" i="9" a="1"/>
  <c r="F15" i="9"/>
  <c r="F16" i="9" a="1"/>
  <c r="F16" i="9" s="1"/>
  <c r="F17" i="9" a="1"/>
  <c r="F17" i="9"/>
  <c r="F18" i="9" a="1"/>
  <c r="F18" i="9" s="1"/>
  <c r="F19" i="9" a="1"/>
  <c r="F19" i="9"/>
  <c r="F20" i="9" a="1"/>
  <c r="F20" i="9" s="1"/>
  <c r="F21" i="9" a="1"/>
  <c r="F21" i="9"/>
  <c r="F22" i="9" a="1"/>
  <c r="F22" i="9" s="1"/>
  <c r="F23" i="9" a="1"/>
  <c r="F23" i="9"/>
  <c r="F24" i="9" a="1"/>
  <c r="F24" i="9" s="1"/>
  <c r="F25" i="9" a="1"/>
  <c r="F25" i="9"/>
  <c r="F26" i="9" a="1"/>
  <c r="F26" i="9" s="1"/>
  <c r="F27" i="9" a="1"/>
  <c r="F27" i="9"/>
  <c r="F28" i="9" a="1"/>
  <c r="F28" i="9" s="1"/>
  <c r="F29" i="9" a="1"/>
  <c r="F29" i="9"/>
  <c r="F30" i="9" a="1"/>
  <c r="F30" i="9" s="1"/>
  <c r="F31" i="9" a="1"/>
  <c r="F31" i="9"/>
  <c r="F32" i="9" a="1"/>
  <c r="F32" i="9" s="1"/>
  <c r="E4" i="9" a="1"/>
  <c r="E4" i="9" s="1"/>
  <c r="E5" i="9" a="1"/>
  <c r="E5" i="9" s="1"/>
  <c r="E6" i="9" a="1"/>
  <c r="E6" i="9" s="1"/>
  <c r="E7" i="9" a="1"/>
  <c r="E7" i="9"/>
  <c r="E8" i="9" a="1"/>
  <c r="E8" i="9" s="1"/>
  <c r="E9" i="9" a="1"/>
  <c r="E9" i="9"/>
  <c r="E10" i="9" a="1"/>
  <c r="E10" i="9" s="1"/>
  <c r="E11" i="9" a="1"/>
  <c r="E11" i="9"/>
  <c r="E12" i="9" a="1"/>
  <c r="E12" i="9" s="1"/>
  <c r="E13" i="9" a="1"/>
  <c r="E13" i="9" s="1"/>
  <c r="E14" i="9" a="1"/>
  <c r="E14" i="9" s="1"/>
  <c r="E15" i="9" a="1"/>
  <c r="E15" i="9"/>
  <c r="E16" i="9" a="1"/>
  <c r="E16" i="9" s="1"/>
  <c r="E17" i="9" a="1"/>
  <c r="E17" i="9"/>
  <c r="E18" i="9" a="1"/>
  <c r="E18" i="9" s="1"/>
  <c r="E19" i="9" a="1"/>
  <c r="E19" i="9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/>
  <c r="E26" i="9" a="1"/>
  <c r="E26" i="9" s="1"/>
  <c r="E27" i="9" a="1"/>
  <c r="E27" i="9" s="1"/>
  <c r="E28" i="9" a="1"/>
  <c r="E28" i="9" s="1"/>
  <c r="E29" i="9" a="1"/>
  <c r="E29" i="9"/>
  <c r="E30" i="9" a="1"/>
  <c r="E30" i="9" s="1"/>
  <c r="E31" i="9" a="1"/>
  <c r="E31" i="9"/>
  <c r="E32" i="9" a="1"/>
  <c r="E32" i="9" s="1"/>
  <c r="E3" i="9" a="1"/>
  <c r="E3" i="9" s="1"/>
  <c r="D4" i="9" a="1"/>
  <c r="D4" i="9" s="1"/>
  <c r="D5" i="9" a="1"/>
  <c r="D5" i="9"/>
  <c r="D6" i="9" a="1"/>
  <c r="D6" i="9" s="1"/>
  <c r="D7" i="9" a="1"/>
  <c r="D7" i="9" s="1"/>
  <c r="D8" i="9" a="1"/>
  <c r="D8" i="9" s="1"/>
  <c r="D9" i="9" a="1"/>
  <c r="D9" i="9"/>
  <c r="D10" i="9" a="1"/>
  <c r="D10" i="9" s="1"/>
  <c r="D11" i="9" a="1"/>
  <c r="D11" i="9" s="1"/>
  <c r="D12" i="9" a="1"/>
  <c r="D12" i="9" s="1"/>
  <c r="D13" i="9" a="1"/>
  <c r="D13" i="9" s="1"/>
  <c r="D14" i="9" a="1"/>
  <c r="D14" i="9" s="1"/>
  <c r="D15" i="9" a="1"/>
  <c r="D15" i="9" s="1"/>
  <c r="D16" i="9" a="1"/>
  <c r="D16" i="9" s="1"/>
  <c r="D17" i="9" a="1"/>
  <c r="D17" i="9" s="1"/>
  <c r="D18" i="9" a="1"/>
  <c r="D18" i="9" s="1"/>
  <c r="D19" i="9" a="1"/>
  <c r="D19" i="9" s="1"/>
  <c r="D20" i="9" a="1"/>
  <c r="D20" i="9" s="1"/>
  <c r="D21" i="9" a="1"/>
  <c r="D21" i="9" s="1"/>
  <c r="D22" i="9" a="1"/>
  <c r="D22" i="9" s="1"/>
  <c r="D23" i="9" a="1"/>
  <c r="D23" i="9"/>
  <c r="D24" i="9" a="1"/>
  <c r="D24" i="9" s="1"/>
  <c r="D25" i="9" a="1"/>
  <c r="D25" i="9" s="1"/>
  <c r="D26" i="9" a="1"/>
  <c r="D26" i="9" s="1"/>
  <c r="D27" i="9" a="1"/>
  <c r="D27" i="9" s="1"/>
  <c r="D28" i="9" a="1"/>
  <c r="D28" i="9" s="1"/>
  <c r="D29" i="9" a="1"/>
  <c r="D29" i="9" s="1"/>
  <c r="D30" i="9" a="1"/>
  <c r="D30" i="9" s="1"/>
  <c r="D31" i="9" a="1"/>
  <c r="D31" i="9" s="1"/>
  <c r="D32" i="9" a="1"/>
  <c r="D32" i="9" s="1"/>
  <c r="D3" i="9" a="1"/>
  <c r="D3" i="9" s="1"/>
  <c r="O32" i="9" l="1"/>
  <c r="M32" i="9"/>
  <c r="O31" i="9"/>
  <c r="M31" i="9"/>
  <c r="O30" i="9"/>
  <c r="M30" i="9"/>
  <c r="O29" i="9"/>
  <c r="M29" i="9"/>
  <c r="O28" i="9"/>
  <c r="M28" i="9"/>
  <c r="O27" i="9"/>
  <c r="M27" i="9"/>
  <c r="O26" i="9"/>
  <c r="M26" i="9"/>
  <c r="O25" i="9"/>
  <c r="M25" i="9"/>
  <c r="O24" i="9"/>
  <c r="M24" i="9"/>
  <c r="O23" i="9"/>
  <c r="M23" i="9"/>
  <c r="O22" i="9"/>
  <c r="M22" i="9"/>
  <c r="O21" i="9"/>
  <c r="M21" i="9"/>
  <c r="O20" i="9"/>
  <c r="M20" i="9"/>
  <c r="O19" i="9"/>
  <c r="M19" i="9"/>
  <c r="O18" i="9"/>
  <c r="M18" i="9"/>
  <c r="O17" i="9"/>
  <c r="M17" i="9"/>
  <c r="O16" i="9"/>
  <c r="M16" i="9"/>
  <c r="O15" i="9"/>
  <c r="M15" i="9"/>
  <c r="O14" i="9"/>
  <c r="M14" i="9"/>
  <c r="O13" i="9"/>
  <c r="M13" i="9"/>
  <c r="O12" i="9"/>
  <c r="M12" i="9"/>
  <c r="O11" i="9"/>
  <c r="M11" i="9"/>
  <c r="O10" i="9"/>
  <c r="M10" i="9"/>
  <c r="O9" i="9"/>
  <c r="M9" i="9"/>
  <c r="O8" i="9"/>
  <c r="M8" i="9"/>
  <c r="O7" i="9"/>
  <c r="M7" i="9"/>
  <c r="O6" i="9"/>
  <c r="M6" i="9"/>
  <c r="O5" i="9"/>
  <c r="M5" i="9"/>
  <c r="O4" i="9"/>
  <c r="M4" i="9"/>
  <c r="AP16" i="8" l="1"/>
  <c r="AP15" i="8"/>
  <c r="AP14" i="8"/>
  <c r="AP11" i="8"/>
  <c r="AP12" i="8" l="1"/>
  <c r="AP3" i="8"/>
  <c r="AP9" i="8"/>
  <c r="AP13" i="8"/>
  <c r="AR11" i="8"/>
  <c r="AR12" i="8"/>
  <c r="AR13" i="8"/>
  <c r="AR16" i="8"/>
  <c r="AS3" i="8"/>
  <c r="AO9" i="8"/>
  <c r="AS9" i="8"/>
  <c r="AO11" i="8"/>
  <c r="AQ11" i="8" s="1"/>
  <c r="AT11" i="8" s="1"/>
  <c r="AS11" i="8"/>
  <c r="AO12" i="8"/>
  <c r="AQ12" i="8" s="1"/>
  <c r="AT12" i="8" s="1"/>
  <c r="AS12" i="8"/>
  <c r="AO13" i="8"/>
  <c r="AQ13" i="8" s="1"/>
  <c r="AT13" i="8" s="1"/>
  <c r="AS13" i="8"/>
  <c r="AO14" i="8"/>
  <c r="AQ14" i="8" s="1"/>
  <c r="AT14" i="8" s="1"/>
  <c r="AS14" i="8"/>
  <c r="AO15" i="8"/>
  <c r="AQ15" i="8" s="1"/>
  <c r="AT15" i="8" s="1"/>
  <c r="AS15" i="8"/>
  <c r="AO16" i="8"/>
  <c r="AQ16" i="8" s="1"/>
  <c r="AT16" i="8" s="1"/>
  <c r="AS16" i="8"/>
  <c r="AR3" i="8"/>
  <c r="AR9" i="8"/>
  <c r="AR14" i="8"/>
  <c r="AR15" i="8"/>
  <c r="AO3" i="8"/>
  <c r="AQ9" i="8" l="1"/>
  <c r="AT9" i="8" s="1"/>
  <c r="AQ3" i="8"/>
  <c r="AT3" i="8" s="1"/>
  <c r="D39" i="1"/>
  <c r="D41" i="7" l="1"/>
  <c r="D40" i="7"/>
  <c r="D3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38" i="5"/>
  <c r="K38" i="5"/>
  <c r="G38" i="5"/>
  <c r="O37" i="5"/>
  <c r="K37" i="5"/>
  <c r="G37" i="5"/>
  <c r="O36" i="5"/>
  <c r="K36" i="5"/>
  <c r="G36" i="5"/>
  <c r="O35" i="5"/>
  <c r="K35" i="5"/>
  <c r="G35" i="5"/>
  <c r="O34" i="5"/>
  <c r="K34" i="5"/>
  <c r="G34" i="5"/>
  <c r="O33" i="5"/>
  <c r="K33" i="5"/>
  <c r="G33" i="5"/>
  <c r="O32" i="5"/>
  <c r="K32" i="5"/>
  <c r="G32" i="5"/>
  <c r="O31" i="5"/>
  <c r="K31" i="5"/>
  <c r="G31" i="5"/>
  <c r="O30" i="5"/>
  <c r="K30" i="5"/>
  <c r="G30" i="5"/>
  <c r="O29" i="5"/>
  <c r="K29" i="5"/>
  <c r="G29" i="5"/>
  <c r="O28" i="5"/>
  <c r="K28" i="5"/>
  <c r="G28" i="5"/>
  <c r="O27" i="5"/>
  <c r="K27" i="5"/>
  <c r="G27" i="5"/>
  <c r="O26" i="5"/>
  <c r="K26" i="5"/>
  <c r="G26" i="5"/>
  <c r="O25" i="5"/>
  <c r="K25" i="5"/>
  <c r="G25" i="5"/>
  <c r="O24" i="5"/>
  <c r="K24" i="5"/>
  <c r="G24" i="5"/>
  <c r="O23" i="5"/>
  <c r="K23" i="5"/>
  <c r="G23" i="5"/>
  <c r="O22" i="5"/>
  <c r="K22" i="5"/>
  <c r="G22" i="5"/>
  <c r="O21" i="5"/>
  <c r="K21" i="5"/>
  <c r="G21" i="5"/>
  <c r="O20" i="5"/>
  <c r="K20" i="5"/>
  <c r="G20" i="5"/>
  <c r="O19" i="5"/>
  <c r="K19" i="5"/>
  <c r="G19" i="5"/>
  <c r="O18" i="5"/>
  <c r="K18" i="5"/>
  <c r="G18" i="5"/>
  <c r="O17" i="5"/>
  <c r="K17" i="5"/>
  <c r="G17" i="5"/>
  <c r="O16" i="5"/>
  <c r="K16" i="5"/>
  <c r="G16" i="5"/>
  <c r="O15" i="5"/>
  <c r="K15" i="5"/>
  <c r="G15" i="5"/>
  <c r="O14" i="5"/>
  <c r="K14" i="5"/>
  <c r="G14" i="5"/>
  <c r="O13" i="5"/>
  <c r="K13" i="5"/>
  <c r="G13" i="5"/>
  <c r="O12" i="5"/>
  <c r="K12" i="5"/>
  <c r="G12" i="5"/>
  <c r="O11" i="5"/>
  <c r="K11" i="5"/>
  <c r="G11" i="5"/>
  <c r="O10" i="5"/>
  <c r="K10" i="5"/>
  <c r="G10" i="5"/>
  <c r="O9" i="5"/>
  <c r="K9" i="5"/>
  <c r="G9" i="5"/>
  <c r="M5" i="5"/>
  <c r="M4" i="5"/>
  <c r="L40" i="6" l="1"/>
  <c r="K17" i="8" a="1"/>
  <c r="K17" i="8" s="1"/>
  <c r="L39" i="5"/>
  <c r="K10" i="8" a="1"/>
  <c r="K10" i="8" s="1"/>
  <c r="L3" i="9" a="1"/>
  <c r="L3" i="9" s="1"/>
  <c r="H40" i="5"/>
  <c r="K5" i="8" a="1"/>
  <c r="K5" i="8" s="1"/>
  <c r="H3" i="9" a="1"/>
  <c r="H3" i="9" s="1"/>
  <c r="D40" i="5"/>
  <c r="K8" i="8" a="1"/>
  <c r="K8" i="8" s="1"/>
  <c r="F3" i="9" a="1"/>
  <c r="F3" i="9" s="1"/>
  <c r="D39" i="5"/>
  <c r="L39" i="6"/>
  <c r="D41" i="5"/>
  <c r="L41" i="6"/>
  <c r="L40" i="5"/>
  <c r="H41" i="5"/>
  <c r="L41" i="5"/>
  <c r="H39" i="5"/>
  <c r="AP17" i="8" l="1"/>
  <c r="AS17" i="8"/>
  <c r="AO17" i="8"/>
  <c r="AQ17" i="8" s="1"/>
  <c r="AT17" i="8" s="1"/>
  <c r="AR17" i="8"/>
  <c r="AP10" i="8"/>
  <c r="AO10" i="8"/>
  <c r="AQ10" i="8" s="1"/>
  <c r="AT10" i="8" s="1"/>
  <c r="AS10" i="8"/>
  <c r="AR10" i="8"/>
  <c r="AP5" i="8"/>
  <c r="AR5" i="8"/>
  <c r="AO5" i="8"/>
  <c r="AS5" i="8"/>
  <c r="AP8" i="8"/>
  <c r="AR8" i="8"/>
  <c r="AO8" i="8"/>
  <c r="AS8" i="8"/>
  <c r="G11" i="2"/>
  <c r="AQ8" i="8" l="1"/>
  <c r="AT8" i="8" s="1"/>
  <c r="AQ5" i="8"/>
  <c r="AT5" i="8" s="1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40" i="1"/>
  <c r="M39" i="1"/>
  <c r="M38" i="1"/>
  <c r="J40" i="1"/>
  <c r="J39" i="1"/>
  <c r="J38" i="1"/>
  <c r="G40" i="1"/>
  <c r="G39" i="1"/>
  <c r="G38" i="1"/>
  <c r="D40" i="1"/>
  <c r="D38" i="1"/>
  <c r="K6" i="8" l="1" a="1"/>
  <c r="K6" i="8" s="1"/>
  <c r="J3" i="9" a="1"/>
  <c r="J3" i="9" s="1"/>
  <c r="K4" i="8" a="1"/>
  <c r="K4" i="8" s="1"/>
  <c r="I3" i="9" a="1"/>
  <c r="I3" i="9" s="1"/>
  <c r="K7" i="8" a="1"/>
  <c r="K7" i="8" s="1"/>
  <c r="G3" i="9" a="1"/>
  <c r="G3" i="9" s="1"/>
  <c r="L40" i="2"/>
  <c r="H39" i="2"/>
  <c r="D40" i="2"/>
  <c r="D41" i="2"/>
  <c r="L41" i="2"/>
  <c r="D39" i="2"/>
  <c r="L39" i="2"/>
  <c r="H41" i="2"/>
  <c r="H40" i="2"/>
  <c r="AP6" i="8" l="1"/>
  <c r="AO6" i="8"/>
  <c r="AQ6" i="8" s="1"/>
  <c r="AT6" i="8" s="1"/>
  <c r="AR6" i="8"/>
  <c r="AS6" i="8"/>
  <c r="AP4" i="8"/>
  <c r="AR4" i="8"/>
  <c r="AS4" i="8"/>
  <c r="AO4" i="8"/>
  <c r="AQ4" i="8" s="1"/>
  <c r="AT4" i="8" s="1"/>
  <c r="AP7" i="8"/>
  <c r="AS7" i="8"/>
  <c r="AR7" i="8"/>
  <c r="AO7" i="8"/>
  <c r="AQ7" i="8" l="1"/>
  <c r="AT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<sst xmlns="http://schemas.openxmlformats.org/spreadsheetml/2006/main" count="333" uniqueCount="159">
  <si>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</si>
  <si>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</si>
  <si>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</si>
  <si>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</si>
  <si>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</si>
  <si>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</si>
  <si>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</si>
  <si>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</si>
  <si>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</si>
  <si>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</si>
  <si>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</si>
  <si>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</si>
  <si>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</si>
  <si>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</si>
  <si>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</si>
  <si>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</si>
  <si>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</si>
  <si>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</si>
  <si>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</si>
  <si>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</si>
  <si>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</si>
  <si>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</si>
  <si>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</si>
  <si>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</si>
  <si>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</si>
  <si>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</si>
  <si>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</si>
  <si>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</si>
  <si>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</si>
  <si>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</si>
  <si>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</si>
  <si>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</si>
  <si>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</si>
  <si>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</si>
  <si>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</si>
  <si>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</si>
  <si>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</si>
  <si>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</si>
  <si>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</si>
  <si>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Testing Equipment Identification number</t>
  </si>
  <si>
    <t>Basic Weight(L-14.00 T-16.00 U-18.00)
GSM</t>
  </si>
  <si>
    <t>PG Quality System Requirements
Pass=0; Fail=1</t>
  </si>
  <si>
    <t>Page No 3 of 5</t>
  </si>
  <si>
    <t>Page No 4 of 5</t>
  </si>
  <si>
    <t>Page No 5 of 5</t>
  </si>
  <si>
    <t>Force~Tensile Strength@Break(N)MD(L-9.0 T-12.0)</t>
  </si>
  <si>
    <t>Force~Tensile Strength@Break (N) CD (L-6.0 T-9.0)</t>
  </si>
  <si>
    <t>MRMP: 00004833.002 GCAS:21081576.001</t>
  </si>
  <si>
    <t>Reference:</t>
  </si>
  <si>
    <t>Page No 2 of 5</t>
  </si>
  <si>
    <t>Page No 1 of 5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</si>
  <si>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</si>
  <si>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</si>
  <si>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</si>
  <si>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</si>
  <si>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</si>
  <si>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</si>
  <si>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</si>
  <si>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</si>
  <si>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</si>
  <si>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</si>
  <si>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</si>
  <si>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</si>
  <si>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</si>
  <si>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</si>
  <si>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</si>
  <si>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</si>
  <si>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</si>
  <si>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</si>
  <si>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</si>
  <si>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</si>
  <si>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16.00</t>
  </si>
  <si>
    <t>14.00</t>
  </si>
  <si>
    <t>18.00</t>
  </si>
  <si>
    <t>1.33</t>
  </si>
  <si>
    <t>Tensile strength-MD (Load @Break)</t>
  </si>
  <si>
    <t>N</t>
  </si>
  <si>
    <t>3</t>
  </si>
  <si>
    <t>0.1</t>
  </si>
  <si>
    <t>12.0</t>
  </si>
  <si>
    <t>9.0</t>
  </si>
  <si>
    <t>Tensile strength-CD (Load @Break)</t>
  </si>
  <si>
    <t>6.0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</si>
  <si>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</si>
  <si>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</si>
  <si>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</si>
  <si>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</si>
  <si>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</si>
  <si>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</si>
  <si>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</si>
  <si>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</si>
  <si>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</si>
  <si>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</si>
  <si>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</si>
  <si>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</si>
  <si>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</si>
  <si>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</si>
  <si>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</si>
  <si>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</si>
  <si>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</si>
  <si>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</si>
  <si>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</si>
  <si>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</si>
  <si>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</si>
  <si>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</si>
  <si>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</si>
  <si>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</si>
  <si>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</si>
  <si>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</si>
  <si>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</si>
  <si>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</si>
  <si>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</si>
  <si>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</si>
  <si>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</si>
  <si>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</si>
  <si>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</si>
  <si>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</si>
  <si>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</si>
  <si>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</si>
  <si>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</si>
  <si>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</si>
  <si>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</si>
  <si>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</si>
  <si>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</si>
  <si>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</si>
  <si>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</si>
  <si>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</si>
  <si>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</si>
  <si>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</si>
  <si>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</si>
  <si>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11.0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</si>
  <si>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</si>
  <si>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</si>
  <si>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</si>
  <si>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</si>
  <si>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</si>
  <si>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</si>
  <si>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</si>
  <si>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</si>
  <si>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</si>
  <si>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</si>
  <si>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</si>
  <si>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</si>
  <si>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</si>
  <si>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</si>
  <si>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</si>
  <si>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</si>
  <si>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21081576.001.10</t>
  </si>
  <si>
    <t>MRMP-00004833.002.1</t>
  </si>
  <si>
    <t>MRMP-00004833.002.2</t>
  </si>
  <si>
    <t>MRMP-00004833.002.3</t>
  </si>
  <si>
    <t>MRMP-00004833.002.4</t>
  </si>
  <si>
    <t>MRMP-00004833.002.5</t>
  </si>
  <si>
    <t>MRMP-00004833.002.6</t>
  </si>
  <si>
    <t>MRMP-00004833.002.7</t>
  </si>
  <si>
    <t>MRMP-00004833.002.8</t>
  </si>
  <si>
    <t>MRMP-00004833.002.31</t>
  </si>
  <si>
    <t>MRMP-00004833.002.34</t>
  </si>
  <si>
    <t>MRMP-00004833.002.36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</si>
</sst>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_);[Red]\(0.00\)"/>
    <numFmt numFmtId="167" formatCode="[$-14009]dd\-mm\-yyyy;@"/>
    <numFmt numFmtId="168" formatCode="[$-14009]hh:mm;@"/>
  </numFmts>
  <fonts count="19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Arial"/>
      <family val="2"/>
    </font>
    <font>
      <sz val="9"/>
      <name val="Calibri"/>
      <family val="2"/>
    </font>
    <font>
      <sz val="9"/>
      <color theme="1"/>
      <name val="Calibri"/>
      <family val="2"/>
    </font>
    <font>
      <sz val="9"/>
      <color indexed="8"/>
      <name val="Calibri"/>
      <family val="2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390">
    <xf numFmtId="0" fontId="0" fillId="0" borderId="0" xfId="0"/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49" fontId="1" fillId="2" borderId="11" xfId="0" applyNumberFormat="1" applyFont="1" applyFill="1" applyBorder="1" applyAlignment="1">
      <alignment vertical="center"/>
    </xf>
    <xf numFmtId="49" fontId="1" fillId="2" borderId="12" xfId="0" quotePrefix="1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49" fontId="1" fillId="2" borderId="3" xfId="0" quotePrefix="1" applyNumberFormat="1" applyFont="1" applyFill="1" applyBorder="1" applyAlignment="1">
      <alignment horizontal="center" vertical="center"/>
    </xf>
    <xf numFmtId="49" fontId="1" fillId="2" borderId="5" xfId="0" quotePrefix="1" applyNumberFormat="1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vertical="center"/>
    </xf>
    <xf numFmtId="49" fontId="1" fillId="2" borderId="20" xfId="0" quotePrefix="1" applyNumberFormat="1" applyFont="1" applyFill="1" applyBorder="1" applyAlignment="1">
      <alignment horizontal="center" vertical="center"/>
    </xf>
    <xf numFmtId="49" fontId="1" fillId="2" borderId="21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49" fontId="1" fillId="2" borderId="6" xfId="0" quotePrefix="1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center" vertical="center"/>
      <protection locked="0"/>
    </xf>
    <xf numFmtId="0" fontId="1" fillId="2" borderId="15" xfId="0" applyFont="1" applyFill="1" applyBorder="1" applyAlignment="1" applyProtection="1">
      <alignment vertical="center"/>
      <protection locked="0"/>
    </xf>
    <xf numFmtId="0" fontId="1" fillId="2" borderId="7" xfId="0" applyFont="1" applyFill="1" applyBorder="1" applyAlignment="1" applyProtection="1">
      <alignment vertical="center"/>
      <protection locked="0"/>
    </xf>
    <xf numFmtId="164" fontId="1" fillId="2" borderId="35" xfId="0" applyNumberFormat="1" applyFont="1" applyFill="1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 applyProtection="1">
      <alignment vertical="center"/>
      <protection locked="0"/>
    </xf>
    <xf numFmtId="0" fontId="1" fillId="2" borderId="45" xfId="0" applyFont="1" applyFill="1" applyBorder="1" applyAlignment="1">
      <alignment vertical="center"/>
    </xf>
    <xf numFmtId="0" fontId="1" fillId="2" borderId="47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/>
    </xf>
    <xf numFmtId="164" fontId="1" fillId="2" borderId="53" xfId="0" applyNumberFormat="1" applyFont="1" applyFill="1" applyBorder="1" applyAlignment="1" applyProtection="1">
      <alignment horizontal="center" vertical="center"/>
      <protection locked="0"/>
    </xf>
    <xf numFmtId="49" fontId="1" fillId="2" borderId="23" xfId="0" quotePrefix="1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2" borderId="7" xfId="0" applyNumberFormat="1" applyFont="1" applyFill="1" applyBorder="1" applyAlignment="1" applyProtection="1">
      <alignment horizontal="center" vertical="center"/>
      <protection locked="0"/>
    </xf>
    <xf numFmtId="164" fontId="1" fillId="2" borderId="50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8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10" fillId="2" borderId="38" xfId="0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left" vertical="center"/>
      <protection locked="0"/>
    </xf>
    <xf numFmtId="0" fontId="1" fillId="2" borderId="48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wrapText="1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2" fillId="0" borderId="0" xfId="0" applyNumberFormat="1" applyFont="1" applyAlignment="1">
      <alignment wrapText="1"/>
    </xf>
    <xf numFmtId="164" fontId="12" fillId="0" borderId="0" xfId="0" applyNumberFormat="1" applyFont="1" applyAlignment="1">
      <alignment wrapText="1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6" xfId="0" quotePrefix="1" applyNumberFormat="1" applyFont="1" applyFill="1" applyBorder="1" applyAlignment="1">
      <alignment horizontal="center"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25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 applyProtection="1">
      <alignment horizontal="center"/>
      <protection locked="0"/>
    </xf>
    <xf numFmtId="168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1" fillId="2" borderId="14" xfId="0" quotePrefix="1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2" fontId="14" fillId="3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" fontId="16" fillId="4" borderId="1" xfId="0" applyNumberFormat="1" applyFont="1" applyFill="1" applyBorder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left" vertical="center" wrapText="1"/>
      <protection locked="0"/>
    </xf>
    <xf numFmtId="49" fontId="15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8" fillId="4" borderId="1" xfId="0" applyFont="1" applyFill="1" applyBorder="1" applyAlignment="1">
      <alignment wrapText="1"/>
    </xf>
    <xf numFmtId="0" fontId="15" fillId="0" borderId="0" xfId="0" applyFont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66" fontId="17" fillId="5" borderId="1" xfId="1" applyNumberFormat="1" applyFont="1" applyFill="1" applyBorder="1" applyAlignment="1">
      <alignment horizontal="center" vertical="center" wrapText="1" shrinkToFi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49" fontId="10" fillId="2" borderId="0" xfId="0" quotePrefix="1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0" fillId="2" borderId="37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49" fontId="10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0" fontId="1" fillId="2" borderId="2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55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/>
      <protection locked="0"/>
    </xf>
    <xf numFmtId="0" fontId="1" fillId="2" borderId="14" xfId="0" applyFont="1" applyFill="1" applyBorder="1" applyAlignment="1" applyProtection="1">
      <alignment horizontal="left" vertical="center"/>
      <protection locked="0"/>
    </xf>
    <xf numFmtId="14" fontId="1" fillId="2" borderId="13" xfId="0" applyNumberFormat="1" applyFont="1" applyFill="1" applyBorder="1" applyAlignment="1" applyProtection="1">
      <alignment horizontal="center" vertical="center"/>
      <protection locked="0"/>
    </xf>
    <xf numFmtId="14" fontId="1" fillId="2" borderId="12" xfId="0" applyNumberFormat="1" applyFont="1" applyFill="1" applyBorder="1" applyAlignment="1" applyProtection="1">
      <alignment horizontal="center" vertical="center"/>
      <protection locked="0"/>
    </xf>
    <xf numFmtId="14" fontId="1" fillId="2" borderId="16" xfId="0" applyNumberFormat="1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left" vertical="center"/>
      <protection locked="0"/>
    </xf>
    <xf numFmtId="0" fontId="1" fillId="2" borderId="6" xfId="0" applyFont="1" applyFill="1" applyBorder="1" applyAlignment="1" applyProtection="1">
      <alignment horizontal="left" vertical="center"/>
      <protection locked="0"/>
    </xf>
    <xf numFmtId="14" fontId="1" fillId="2" borderId="4" xfId="0" applyNumberFormat="1" applyFont="1" applyFill="1" applyBorder="1" applyAlignment="1" applyProtection="1">
      <alignment horizontal="center" vertical="center"/>
      <protection locked="0"/>
    </xf>
    <xf numFmtId="14" fontId="1" fillId="2" borderId="5" xfId="0" applyNumberFormat="1" applyFont="1" applyFill="1" applyBorder="1" applyAlignment="1" applyProtection="1">
      <alignment horizontal="center" vertical="center"/>
      <protection locked="0"/>
    </xf>
    <xf numFmtId="14" fontId="1" fillId="2" borderId="18" xfId="0" applyNumberFormat="1" applyFont="1" applyFill="1" applyBorder="1" applyAlignment="1" applyProtection="1">
      <alignment horizontal="center" vertical="center"/>
      <protection locked="0"/>
    </xf>
    <xf numFmtId="164" fontId="1" fillId="2" borderId="13" xfId="0" applyNumberFormat="1" applyFont="1" applyFill="1" applyBorder="1" applyAlignment="1" applyProtection="1">
      <alignment horizontal="center" vertical="center"/>
      <protection locked="0"/>
    </xf>
    <xf numFmtId="164" fontId="1" fillId="2" borderId="14" xfId="0" applyNumberFormat="1" applyFont="1" applyFill="1" applyBorder="1" applyAlignment="1" applyProtection="1">
      <alignment horizontal="center" vertical="center"/>
      <protection locked="0"/>
    </xf>
    <xf numFmtId="2" fontId="1" fillId="2" borderId="13" xfId="0" applyNumberFormat="1" applyFont="1" applyFill="1" applyBorder="1" applyAlignment="1" applyProtection="1">
      <alignment horizontal="center" vertical="center"/>
      <protection locked="0"/>
    </xf>
    <xf numFmtId="2" fontId="1" fillId="2" borderId="14" xfId="0" applyNumberFormat="1" applyFont="1" applyFill="1" applyBorder="1" applyAlignment="1" applyProtection="1">
      <alignment horizontal="center" vertical="center"/>
      <protection locked="0"/>
    </xf>
    <xf numFmtId="164" fontId="1" fillId="2" borderId="4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2" fontId="1" fillId="2" borderId="4" xfId="0" applyNumberFormat="1" applyFont="1" applyFill="1" applyBorder="1" applyAlignment="1" applyProtection="1">
      <alignment horizontal="center" vertical="center"/>
      <protection locked="0"/>
    </xf>
    <xf numFmtId="2" fontId="1" fillId="2" borderId="6" xfId="0" applyNumberFormat="1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 applyProtection="1">
      <alignment horizontal="center" vertical="center"/>
      <protection locked="0"/>
    </xf>
    <xf numFmtId="164" fontId="1" fillId="2" borderId="23" xfId="0" applyNumberFormat="1" applyFont="1" applyFill="1" applyBorder="1" applyAlignment="1" applyProtection="1">
      <alignment horizontal="center" vertical="center"/>
      <protection locked="0"/>
    </xf>
    <xf numFmtId="2" fontId="1" fillId="2" borderId="22" xfId="0" applyNumberFormat="1" applyFont="1" applyFill="1" applyBorder="1" applyAlignment="1" applyProtection="1">
      <alignment horizontal="center" vertical="center"/>
      <protection locked="0"/>
    </xf>
    <xf numFmtId="2" fontId="1" fillId="2" borderId="23" xfId="0" applyNumberFormat="1" applyFont="1" applyFill="1" applyBorder="1" applyAlignment="1" applyProtection="1">
      <alignment horizontal="center" vertical="center"/>
      <protection locked="0"/>
    </xf>
    <xf numFmtId="164" fontId="7" fillId="2" borderId="22" xfId="0" applyNumberFormat="1" applyFont="1" applyFill="1" applyBorder="1" applyAlignment="1">
      <alignment horizontal="center" vertical="center"/>
    </xf>
    <xf numFmtId="164" fontId="7" fillId="2" borderId="23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center" vertical="center"/>
    </xf>
    <xf numFmtId="164" fontId="1" fillId="2" borderId="23" xfId="0" applyNumberFormat="1" applyFont="1" applyFill="1" applyBorder="1" applyAlignment="1">
      <alignment horizontal="center" vertical="center"/>
    </xf>
    <xf numFmtId="2" fontId="1" fillId="2" borderId="22" xfId="0" applyNumberFormat="1" applyFont="1" applyFill="1" applyBorder="1" applyAlignment="1">
      <alignment horizontal="center" vertical="center"/>
    </xf>
    <xf numFmtId="2" fontId="1" fillId="2" borderId="23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right" vertical="center"/>
    </xf>
    <xf numFmtId="164" fontId="1" fillId="2" borderId="21" xfId="0" applyNumberFormat="1" applyFont="1" applyFill="1" applyBorder="1" applyAlignment="1">
      <alignment horizontal="right" vertical="center"/>
    </xf>
    <xf numFmtId="164" fontId="1" fillId="2" borderId="25" xfId="0" applyNumberFormat="1" applyFont="1" applyFill="1" applyBorder="1" applyAlignment="1">
      <alignment horizontal="right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right" vertical="center"/>
    </xf>
    <xf numFmtId="164" fontId="1" fillId="2" borderId="12" xfId="0" applyNumberFormat="1" applyFont="1" applyFill="1" applyBorder="1" applyAlignment="1">
      <alignment horizontal="right" vertical="center"/>
    </xf>
    <xf numFmtId="164" fontId="1" fillId="2" borderId="16" xfId="0" applyNumberFormat="1" applyFont="1" applyFill="1" applyBorder="1" applyAlignment="1">
      <alignment horizontal="right" vertical="center"/>
    </xf>
    <xf numFmtId="164" fontId="7" fillId="2" borderId="4" xfId="0" applyNumberFormat="1" applyFont="1" applyFill="1" applyBorder="1" applyAlignment="1">
      <alignment horizontal="center" vertical="center"/>
    </xf>
    <xf numFmtId="164" fontId="7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2" fontId="1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right" vertical="center"/>
    </xf>
    <xf numFmtId="164" fontId="1" fillId="2" borderId="5" xfId="0" applyNumberFormat="1" applyFont="1" applyFill="1" applyBorder="1" applyAlignment="1">
      <alignment horizontal="right" vertical="center"/>
    </xf>
    <xf numFmtId="164" fontId="1" fillId="2" borderId="18" xfId="0" applyNumberFormat="1" applyFont="1" applyFill="1" applyBorder="1" applyAlignment="1">
      <alignment horizontal="right" vertical="center"/>
    </xf>
    <xf numFmtId="0" fontId="1" fillId="2" borderId="7" xfId="0" applyFont="1" applyFill="1" applyBorder="1" applyAlignment="1" applyProtection="1">
      <alignment horizontal="left" vertical="center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/>
      <protection locked="0"/>
    </xf>
    <xf numFmtId="1" fontId="1" fillId="2" borderId="16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2" fontId="1" fillId="2" borderId="0" xfId="0" applyNumberFormat="1" applyFont="1" applyFill="1" applyAlignment="1" applyProtection="1">
      <alignment horizontal="center" vertical="center"/>
      <protection locked="0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/>
      <protection locked="0"/>
    </xf>
    <xf numFmtId="1" fontId="1" fillId="2" borderId="1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1" fontId="1" fillId="2" borderId="9" xfId="0" applyNumberFormat="1" applyFont="1" applyFill="1" applyBorder="1" applyAlignment="1" applyProtection="1">
      <alignment horizontal="center" vertical="center"/>
      <protection locked="0"/>
    </xf>
    <xf numFmtId="1" fontId="1" fillId="2" borderId="60" xfId="0" applyNumberFormat="1" applyFont="1" applyFill="1" applyBorder="1" applyAlignment="1" applyProtection="1">
      <alignment horizontal="center" vertical="center"/>
      <protection locked="0"/>
    </xf>
    <xf numFmtId="1" fontId="1" fillId="2" borderId="14" xfId="0" applyNumberFormat="1" applyFont="1" applyFill="1" applyBorder="1" applyAlignment="1">
      <alignment horizontal="center" vertical="center"/>
    </xf>
    <xf numFmtId="1" fontId="1" fillId="2" borderId="28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1" fontId="7" fillId="2" borderId="23" xfId="0" applyNumberFormat="1" applyFont="1" applyFill="1" applyBorder="1" applyAlignment="1">
      <alignment horizontal="center" vertical="center"/>
    </xf>
    <xf numFmtId="1" fontId="7" fillId="2" borderId="38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center" vertical="center"/>
    </xf>
    <xf numFmtId="2" fontId="1" fillId="2" borderId="20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right" vertical="center"/>
    </xf>
    <xf numFmtId="164" fontId="1" fillId="2" borderId="54" xfId="0" applyNumberFormat="1" applyFont="1" applyFill="1" applyBorder="1" applyAlignment="1">
      <alignment horizontal="right" vertical="center"/>
    </xf>
    <xf numFmtId="164" fontId="1" fillId="2" borderId="0" xfId="0" applyNumberFormat="1" applyFont="1" applyFill="1" applyAlignment="1">
      <alignment horizontal="right" vertical="center"/>
    </xf>
    <xf numFmtId="164" fontId="1" fillId="2" borderId="53" xfId="0" applyNumberFormat="1" applyFont="1" applyFill="1" applyBorder="1" applyAlignment="1">
      <alignment horizontal="right" vertical="center"/>
    </xf>
    <xf numFmtId="1" fontId="7" fillId="2" borderId="6" xfId="0" applyNumberFormat="1" applyFont="1" applyFill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4" fontId="0" fillId="0" borderId="0" xfId="0" applyNumberFormat="1" applyAlignment="1" applyProtection="1">
      <alignment horizontal="center"/>
      <protection locked="0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B050"/>
      <color rgb="FF008E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2" customWidth="1"/>
    <col min="4" max="15" width="10.7109375" style="12" customWidth="1"/>
    <col min="16" max="16384" width="9.140625" style="12"/>
  </cols>
  <sheetData>
    <row r="1" spans="1:15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57"/>
      <c r="N1" s="229" t="s">
        <v>26</v>
      </c>
      <c r="O1" s="229"/>
    </row>
    <row r="2" spans="1:15" ht="15.75" customHeight="1">
      <c r="A2" s="221" t="s">
        <v>11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58"/>
      <c r="N2" s="230" t="s">
        <v>27</v>
      </c>
      <c r="O2" s="230"/>
    </row>
    <row r="3" spans="1:15" ht="15.75" customHeight="1" thickBot="1">
      <c r="A3" s="222"/>
      <c r="B3" s="222"/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39" t="s">
        <v>20</v>
      </c>
      <c r="N3" s="199"/>
      <c r="O3" s="199"/>
    </row>
    <row r="4" spans="1:15" s="61" customFormat="1" ht="23.25" customHeight="1">
      <c r="A4" s="59" t="s">
        <v>1</v>
      </c>
      <c r="B4" s="210"/>
      <c r="C4" s="233"/>
      <c r="D4" s="211"/>
      <c r="E4" s="225" t="s">
        <v>3</v>
      </c>
      <c r="F4" s="226"/>
      <c r="G4" s="210"/>
      <c r="H4" s="211"/>
      <c r="I4" s="60" t="s">
        <v>5</v>
      </c>
      <c r="J4" s="210"/>
      <c r="K4" s="211"/>
      <c r="L4" s="225" t="s">
        <v>7</v>
      </c>
      <c r="M4" s="226"/>
      <c r="N4" s="210"/>
      <c r="O4" s="223"/>
    </row>
    <row r="5" spans="1:15" s="61" customFormat="1" ht="23.25" customHeight="1">
      <c r="A5" s="62" t="s">
        <v>2</v>
      </c>
      <c r="B5" s="208"/>
      <c r="C5" s="234"/>
      <c r="D5" s="209"/>
      <c r="E5" s="227" t="s">
        <v>4</v>
      </c>
      <c r="F5" s="228"/>
      <c r="G5" s="208"/>
      <c r="H5" s="209"/>
      <c r="I5" s="32" t="s">
        <v>6</v>
      </c>
      <c r="J5" s="212"/>
      <c r="K5" s="213"/>
      <c r="L5" s="227" t="s">
        <v>8</v>
      </c>
      <c r="M5" s="228"/>
      <c r="N5" s="208"/>
      <c r="O5" s="224"/>
    </row>
    <row r="6" spans="1:15" ht="15.75" customHeight="1" thickBot="1">
      <c r="A6" s="196" t="s">
        <v>28</v>
      </c>
      <c r="B6" s="197"/>
      <c r="C6" s="197"/>
      <c r="D6" s="197"/>
      <c r="E6" s="197"/>
      <c r="F6" s="197"/>
      <c r="G6" s="198"/>
      <c r="H6" s="199"/>
      <c r="I6" s="200"/>
      <c r="J6" s="197"/>
      <c r="K6" s="197"/>
      <c r="L6" s="197"/>
      <c r="M6" s="198"/>
      <c r="N6" s="199"/>
      <c r="O6" s="201"/>
    </row>
    <row r="7" spans="1:15" s="41" customFormat="1" ht="56.25" customHeight="1" thickBot="1">
      <c r="A7" s="206" t="s">
        <v>0</v>
      </c>
      <c r="B7" s="205"/>
      <c r="C7" s="205"/>
      <c r="D7" s="202" t="s">
        <v>40</v>
      </c>
      <c r="E7" s="203"/>
      <c r="F7" s="204"/>
      <c r="G7" s="202" t="s">
        <v>36</v>
      </c>
      <c r="H7" s="203"/>
      <c r="I7" s="204"/>
      <c r="J7" s="205" t="s">
        <v>29</v>
      </c>
      <c r="K7" s="205"/>
      <c r="L7" s="205"/>
      <c r="M7" s="202" t="s">
        <v>9</v>
      </c>
      <c r="N7" s="203"/>
      <c r="O7" s="207"/>
    </row>
    <row r="8" spans="1:15" ht="19.5" customHeight="1">
      <c r="A8" s="42"/>
      <c r="B8" s="43"/>
      <c r="C8" s="43"/>
      <c r="D8" s="141"/>
      <c r="E8" s="142"/>
      <c r="F8" s="143"/>
      <c r="G8" s="144"/>
      <c r="H8" s="145"/>
      <c r="I8" s="146"/>
      <c r="J8" s="147"/>
      <c r="K8" s="148"/>
      <c r="L8" s="149"/>
      <c r="M8" s="141"/>
      <c r="N8" s="142"/>
      <c r="O8" s="150"/>
    </row>
    <row r="9" spans="1:15" ht="19.5" customHeight="1">
      <c r="A9" s="42"/>
      <c r="B9" s="43"/>
      <c r="C9" s="43"/>
      <c r="D9" s="151"/>
      <c r="E9" s="152"/>
      <c r="F9" s="160"/>
      <c r="G9" s="157"/>
      <c r="H9" s="158"/>
      <c r="I9" s="159"/>
      <c r="J9" s="154"/>
      <c r="K9" s="155"/>
      <c r="L9" s="156"/>
      <c r="M9" s="151"/>
      <c r="N9" s="152"/>
      <c r="O9" s="153"/>
    </row>
    <row r="10" spans="1:15" ht="19.5" customHeight="1">
      <c r="A10" s="42"/>
      <c r="B10" s="43"/>
      <c r="C10" s="43"/>
      <c r="D10" s="141"/>
      <c r="E10" s="142"/>
      <c r="F10" s="143"/>
      <c r="G10" s="144"/>
      <c r="H10" s="145"/>
      <c r="I10" s="146"/>
      <c r="J10" s="147"/>
      <c r="K10" s="148"/>
      <c r="L10" s="149"/>
      <c r="M10" s="141"/>
      <c r="N10" s="142"/>
      <c r="O10" s="150"/>
    </row>
    <row r="11" spans="1:15" ht="19.5" customHeight="1">
      <c r="A11" s="44"/>
      <c r="B11" s="43"/>
      <c r="C11" s="43"/>
      <c r="D11" s="141"/>
      <c r="E11" s="142"/>
      <c r="F11" s="143"/>
      <c r="G11" s="144"/>
      <c r="H11" s="145"/>
      <c r="I11" s="146"/>
      <c r="J11" s="147"/>
      <c r="K11" s="148"/>
      <c r="L11" s="149"/>
      <c r="M11" s="141"/>
      <c r="N11" s="142"/>
      <c r="O11" s="150"/>
    </row>
    <row r="12" spans="1:15" ht="19.5" customHeight="1">
      <c r="A12" s="45"/>
      <c r="B12" s="46"/>
      <c r="C12" s="46"/>
      <c r="D12" s="151"/>
      <c r="E12" s="152"/>
      <c r="F12" s="160"/>
      <c r="G12" s="157"/>
      <c r="H12" s="158"/>
      <c r="I12" s="159"/>
      <c r="J12" s="154"/>
      <c r="K12" s="155"/>
      <c r="L12" s="156"/>
      <c r="M12" s="151"/>
      <c r="N12" s="152"/>
      <c r="O12" s="153"/>
    </row>
    <row r="13" spans="1:15" ht="19.5" customHeight="1">
      <c r="A13" s="42"/>
      <c r="B13" s="43"/>
      <c r="C13" s="43"/>
      <c r="D13" s="141"/>
      <c r="E13" s="142"/>
      <c r="F13" s="143"/>
      <c r="G13" s="144"/>
      <c r="H13" s="145"/>
      <c r="I13" s="146"/>
      <c r="J13" s="147"/>
      <c r="K13" s="148"/>
      <c r="L13" s="149"/>
      <c r="M13" s="141"/>
      <c r="N13" s="142"/>
      <c r="O13" s="150"/>
    </row>
    <row r="14" spans="1:15" ht="19.5" customHeight="1">
      <c r="A14" s="42"/>
      <c r="B14" s="43"/>
      <c r="C14" s="43"/>
      <c r="D14" s="141"/>
      <c r="E14" s="142"/>
      <c r="F14" s="143"/>
      <c r="G14" s="144"/>
      <c r="H14" s="145"/>
      <c r="I14" s="146"/>
      <c r="J14" s="147"/>
      <c r="K14" s="148"/>
      <c r="L14" s="149"/>
      <c r="M14" s="141"/>
      <c r="N14" s="142"/>
      <c r="O14" s="150"/>
    </row>
    <row r="15" spans="1:15" ht="19.5" customHeight="1">
      <c r="A15" s="42"/>
      <c r="B15" s="43"/>
      <c r="C15" s="43"/>
      <c r="D15" s="141"/>
      <c r="E15" s="142"/>
      <c r="F15" s="143"/>
      <c r="G15" s="144"/>
      <c r="H15" s="145"/>
      <c r="I15" s="146"/>
      <c r="J15" s="147"/>
      <c r="K15" s="148"/>
      <c r="L15" s="149"/>
      <c r="M15" s="141"/>
      <c r="N15" s="142"/>
      <c r="O15" s="150"/>
    </row>
    <row r="16" spans="1:15" ht="19.5" customHeight="1">
      <c r="A16" s="42"/>
      <c r="B16" s="43"/>
      <c r="C16" s="43"/>
      <c r="D16" s="151"/>
      <c r="E16" s="152"/>
      <c r="F16" s="160"/>
      <c r="G16" s="157"/>
      <c r="H16" s="158"/>
      <c r="I16" s="159"/>
      <c r="J16" s="154"/>
      <c r="K16" s="155"/>
      <c r="L16" s="156"/>
      <c r="M16" s="151"/>
      <c r="N16" s="152"/>
      <c r="O16" s="153"/>
    </row>
    <row r="17" spans="1:15" ht="19.5" customHeight="1">
      <c r="A17" s="42"/>
      <c r="B17" s="43"/>
      <c r="C17" s="43"/>
      <c r="D17" s="141"/>
      <c r="E17" s="142"/>
      <c r="F17" s="143"/>
      <c r="G17" s="144"/>
      <c r="H17" s="145"/>
      <c r="I17" s="146"/>
      <c r="J17" s="147"/>
      <c r="K17" s="148"/>
      <c r="L17" s="149"/>
      <c r="M17" s="141"/>
      <c r="N17" s="142"/>
      <c r="O17" s="150"/>
    </row>
    <row r="18" spans="1:15" ht="19.5" customHeight="1">
      <c r="A18" s="42"/>
      <c r="B18" s="43"/>
      <c r="C18" s="43"/>
      <c r="D18" s="141"/>
      <c r="E18" s="142"/>
      <c r="F18" s="143"/>
      <c r="G18" s="144"/>
      <c r="H18" s="145"/>
      <c r="I18" s="146"/>
      <c r="J18" s="147"/>
      <c r="K18" s="148"/>
      <c r="L18" s="149"/>
      <c r="M18" s="141"/>
      <c r="N18" s="142"/>
      <c r="O18" s="150"/>
    </row>
    <row r="19" spans="1:15" ht="19.5" customHeight="1">
      <c r="A19" s="42"/>
      <c r="B19" s="43"/>
      <c r="C19" s="43"/>
      <c r="D19" s="151"/>
      <c r="E19" s="152"/>
      <c r="F19" s="160"/>
      <c r="G19" s="157"/>
      <c r="H19" s="158"/>
      <c r="I19" s="159"/>
      <c r="J19" s="154"/>
      <c r="K19" s="155"/>
      <c r="L19" s="156"/>
      <c r="M19" s="151"/>
      <c r="N19" s="152"/>
      <c r="O19" s="153"/>
    </row>
    <row r="20" spans="1:15" ht="19.5" customHeight="1">
      <c r="A20" s="42"/>
      <c r="B20" s="43"/>
      <c r="C20" s="43"/>
      <c r="D20" s="141"/>
      <c r="E20" s="142"/>
      <c r="F20" s="143"/>
      <c r="G20" s="144"/>
      <c r="H20" s="145"/>
      <c r="I20" s="146"/>
      <c r="J20" s="147"/>
      <c r="K20" s="148"/>
      <c r="L20" s="149"/>
      <c r="M20" s="141"/>
      <c r="N20" s="142"/>
      <c r="O20" s="150"/>
    </row>
    <row r="21" spans="1:15" ht="19.5" customHeight="1">
      <c r="A21" s="42"/>
      <c r="B21" s="43"/>
      <c r="C21" s="43"/>
      <c r="D21" s="141"/>
      <c r="E21" s="142"/>
      <c r="F21" s="143"/>
      <c r="G21" s="144"/>
      <c r="H21" s="145"/>
      <c r="I21" s="146"/>
      <c r="J21" s="147"/>
      <c r="K21" s="148"/>
      <c r="L21" s="149"/>
      <c r="M21" s="141"/>
      <c r="N21" s="142"/>
      <c r="O21" s="150"/>
    </row>
    <row r="22" spans="1:15" ht="19.5" customHeight="1">
      <c r="A22" s="42"/>
      <c r="B22" s="43"/>
      <c r="C22" s="43"/>
      <c r="D22" s="151"/>
      <c r="E22" s="152"/>
      <c r="F22" s="160"/>
      <c r="G22" s="157"/>
      <c r="H22" s="158"/>
      <c r="I22" s="159"/>
      <c r="J22" s="154"/>
      <c r="K22" s="155"/>
      <c r="L22" s="156"/>
      <c r="M22" s="151"/>
      <c r="N22" s="152"/>
      <c r="O22" s="153"/>
    </row>
    <row r="23" spans="1:15" ht="19.5" customHeight="1">
      <c r="A23" s="42"/>
      <c r="B23" s="43"/>
      <c r="C23" s="43"/>
      <c r="D23" s="141"/>
      <c r="E23" s="142"/>
      <c r="F23" s="143"/>
      <c r="G23" s="144"/>
      <c r="H23" s="145"/>
      <c r="I23" s="146"/>
      <c r="J23" s="147"/>
      <c r="K23" s="148"/>
      <c r="L23" s="149"/>
      <c r="M23" s="141"/>
      <c r="N23" s="142"/>
      <c r="O23" s="150"/>
    </row>
    <row r="24" spans="1:15" ht="19.5" customHeight="1">
      <c r="A24" s="44"/>
      <c r="B24" s="43"/>
      <c r="C24" s="43"/>
      <c r="D24" s="141"/>
      <c r="E24" s="142"/>
      <c r="F24" s="143"/>
      <c r="G24" s="144"/>
      <c r="H24" s="145"/>
      <c r="I24" s="146"/>
      <c r="J24" s="147"/>
      <c r="K24" s="148"/>
      <c r="L24" s="149"/>
      <c r="M24" s="141"/>
      <c r="N24" s="142"/>
      <c r="O24" s="150"/>
    </row>
    <row r="25" spans="1:15" ht="19.5" customHeight="1">
      <c r="A25" s="45"/>
      <c r="B25" s="46"/>
      <c r="C25" s="46"/>
      <c r="D25" s="151"/>
      <c r="E25" s="152"/>
      <c r="F25" s="160"/>
      <c r="G25" s="157"/>
      <c r="H25" s="158"/>
      <c r="I25" s="159"/>
      <c r="J25" s="154"/>
      <c r="K25" s="155"/>
      <c r="L25" s="156"/>
      <c r="M25" s="151"/>
      <c r="N25" s="152"/>
      <c r="O25" s="153"/>
    </row>
    <row r="26" spans="1:15" ht="19.5" customHeight="1">
      <c r="A26" s="42"/>
      <c r="B26" s="43"/>
      <c r="C26" s="43"/>
      <c r="D26" s="141"/>
      <c r="E26" s="142"/>
      <c r="F26" s="143"/>
      <c r="G26" s="144"/>
      <c r="H26" s="145"/>
      <c r="I26" s="146"/>
      <c r="J26" s="147"/>
      <c r="K26" s="148"/>
      <c r="L26" s="149"/>
      <c r="M26" s="141"/>
      <c r="N26" s="142"/>
      <c r="O26" s="150"/>
    </row>
    <row r="27" spans="1:15" ht="19.5" customHeight="1">
      <c r="A27" s="42"/>
      <c r="B27" s="43"/>
      <c r="C27" s="43"/>
      <c r="D27" s="141"/>
      <c r="E27" s="142"/>
      <c r="F27" s="143"/>
      <c r="G27" s="144"/>
      <c r="H27" s="145"/>
      <c r="I27" s="146"/>
      <c r="J27" s="147"/>
      <c r="K27" s="148"/>
      <c r="L27" s="149"/>
      <c r="M27" s="141"/>
      <c r="N27" s="142"/>
      <c r="O27" s="150"/>
    </row>
    <row r="28" spans="1:15" ht="19.5" customHeight="1">
      <c r="A28" s="42"/>
      <c r="B28" s="43"/>
      <c r="C28" s="43"/>
      <c r="D28" s="141"/>
      <c r="E28" s="142"/>
      <c r="F28" s="143"/>
      <c r="G28" s="144"/>
      <c r="H28" s="145"/>
      <c r="I28" s="146"/>
      <c r="J28" s="147"/>
      <c r="K28" s="148"/>
      <c r="L28" s="149"/>
      <c r="M28" s="141"/>
      <c r="N28" s="142"/>
      <c r="O28" s="150"/>
    </row>
    <row r="29" spans="1:15" ht="19.5" customHeight="1">
      <c r="A29" s="42"/>
      <c r="B29" s="43"/>
      <c r="C29" s="43"/>
      <c r="D29" s="151"/>
      <c r="E29" s="152"/>
      <c r="F29" s="160"/>
      <c r="G29" s="157"/>
      <c r="H29" s="158"/>
      <c r="I29" s="159"/>
      <c r="J29" s="154"/>
      <c r="K29" s="155"/>
      <c r="L29" s="156"/>
      <c r="M29" s="151"/>
      <c r="N29" s="152"/>
      <c r="O29" s="153"/>
    </row>
    <row r="30" spans="1:15" ht="19.5" customHeight="1">
      <c r="A30" s="42"/>
      <c r="B30" s="43"/>
      <c r="C30" s="43"/>
      <c r="D30" s="141"/>
      <c r="E30" s="142"/>
      <c r="F30" s="143"/>
      <c r="G30" s="144"/>
      <c r="H30" s="145"/>
      <c r="I30" s="146"/>
      <c r="J30" s="147"/>
      <c r="K30" s="148"/>
      <c r="L30" s="149"/>
      <c r="M30" s="141"/>
      <c r="N30" s="142"/>
      <c r="O30" s="150"/>
    </row>
    <row r="31" spans="1:15" ht="19.5" customHeight="1">
      <c r="A31" s="42"/>
      <c r="B31" s="43"/>
      <c r="C31" s="43"/>
      <c r="D31" s="141"/>
      <c r="E31" s="142"/>
      <c r="F31" s="143"/>
      <c r="G31" s="144"/>
      <c r="H31" s="145"/>
      <c r="I31" s="146"/>
      <c r="J31" s="147"/>
      <c r="K31" s="148"/>
      <c r="L31" s="149"/>
      <c r="M31" s="141"/>
      <c r="N31" s="142"/>
      <c r="O31" s="150"/>
    </row>
    <row r="32" spans="1:15" ht="19.5" customHeight="1">
      <c r="A32" s="42"/>
      <c r="B32" s="43"/>
      <c r="C32" s="43"/>
      <c r="D32" s="151"/>
      <c r="E32" s="152"/>
      <c r="F32" s="160"/>
      <c r="G32" s="157"/>
      <c r="H32" s="158"/>
      <c r="I32" s="159"/>
      <c r="J32" s="154"/>
      <c r="K32" s="155"/>
      <c r="L32" s="156"/>
      <c r="M32" s="151"/>
      <c r="N32" s="152"/>
      <c r="O32" s="153"/>
    </row>
    <row r="33" spans="1:15" ht="19.5" customHeight="1">
      <c r="A33" s="42"/>
      <c r="B33" s="43"/>
      <c r="C33" s="43"/>
      <c r="D33" s="141"/>
      <c r="E33" s="142"/>
      <c r="F33" s="143"/>
      <c r="G33" s="144"/>
      <c r="H33" s="145"/>
      <c r="I33" s="146"/>
      <c r="J33" s="147"/>
      <c r="K33" s="148"/>
      <c r="L33" s="149"/>
      <c r="M33" s="141"/>
      <c r="N33" s="142"/>
      <c r="O33" s="150"/>
    </row>
    <row r="34" spans="1:15" ht="19.5" customHeight="1">
      <c r="A34" s="42"/>
      <c r="B34" s="43"/>
      <c r="C34" s="43"/>
      <c r="D34" s="141"/>
      <c r="E34" s="142"/>
      <c r="F34" s="143"/>
      <c r="G34" s="144"/>
      <c r="H34" s="145"/>
      <c r="I34" s="146"/>
      <c r="J34" s="147"/>
      <c r="K34" s="148"/>
      <c r="L34" s="149"/>
      <c r="M34" s="141"/>
      <c r="N34" s="142"/>
      <c r="O34" s="150"/>
    </row>
    <row r="35" spans="1:15" ht="19.5" customHeight="1">
      <c r="A35" s="42"/>
      <c r="B35" s="43"/>
      <c r="C35" s="43"/>
      <c r="D35" s="151"/>
      <c r="E35" s="152"/>
      <c r="F35" s="160"/>
      <c r="G35" s="157"/>
      <c r="H35" s="158"/>
      <c r="I35" s="159"/>
      <c r="J35" s="154"/>
      <c r="K35" s="155"/>
      <c r="L35" s="156"/>
      <c r="M35" s="151"/>
      <c r="N35" s="152"/>
      <c r="O35" s="153"/>
    </row>
    <row r="36" spans="1:15" ht="19.5" customHeight="1">
      <c r="A36" s="42"/>
      <c r="B36" s="43"/>
      <c r="C36" s="43"/>
      <c r="D36" s="141"/>
      <c r="E36" s="142"/>
      <c r="F36" s="143"/>
      <c r="G36" s="144"/>
      <c r="H36" s="145"/>
      <c r="I36" s="146"/>
      <c r="J36" s="147"/>
      <c r="K36" s="148"/>
      <c r="L36" s="149"/>
      <c r="M36" s="141"/>
      <c r="N36" s="142"/>
      <c r="O36" s="150"/>
    </row>
    <row r="37" spans="1:15" ht="19.5" customHeight="1" thickBot="1">
      <c r="A37" s="42"/>
      <c r="B37" s="43"/>
      <c r="C37" s="43"/>
      <c r="D37" s="167"/>
      <c r="E37" s="168"/>
      <c r="F37" s="170"/>
      <c r="G37" s="161"/>
      <c r="H37" s="162"/>
      <c r="I37" s="163"/>
      <c r="J37" s="164"/>
      <c r="K37" s="165"/>
      <c r="L37" s="166"/>
      <c r="M37" s="167"/>
      <c r="N37" s="168"/>
      <c r="O37" s="169"/>
    </row>
    <row r="38" spans="1:15" ht="19.5" customHeight="1">
      <c r="A38" s="47"/>
      <c r="B38" s="48"/>
      <c r="C38" s="48" t="s">
        <v>23</v>
      </c>
      <c r="D38" s="171" t="e">
        <f>AVERAGE(D8:F37)</f>
        <v>#DIV/0!</v>
      </c>
      <c r="E38" s="172"/>
      <c r="F38" s="173"/>
      <c r="G38" s="174" t="e">
        <f>AVERAGE(G8:I37)</f>
        <v>#DIV/0!</v>
      </c>
      <c r="H38" s="175"/>
      <c r="I38" s="176"/>
      <c r="J38" s="177" t="e">
        <f>AVERAGE(J8:L37)</f>
        <v>#DIV/0!</v>
      </c>
      <c r="K38" s="177"/>
      <c r="L38" s="177"/>
      <c r="M38" s="171" t="e">
        <f>AVERAGE(M8:O37)</f>
        <v>#DIV/0!</v>
      </c>
      <c r="N38" s="172"/>
      <c r="O38" s="178"/>
    </row>
    <row r="39" spans="1:15" ht="19.5" customHeight="1">
      <c r="A39" s="49"/>
      <c r="B39" s="50"/>
      <c r="C39" s="51" t="s">
        <v>24</v>
      </c>
      <c r="D39" s="179">
        <f>MIN(D8:F37)</f>
        <v>0</v>
      </c>
      <c r="E39" s="180"/>
      <c r="F39" s="181"/>
      <c r="G39" s="182">
        <f>MIN(G8:I37)</f>
        <v>0</v>
      </c>
      <c r="H39" s="183"/>
      <c r="I39" s="184"/>
      <c r="J39" s="185">
        <f>MIN(J8:L37)</f>
        <v>0</v>
      </c>
      <c r="K39" s="185"/>
      <c r="L39" s="185"/>
      <c r="M39" s="179">
        <f>MIN(M8:O37)</f>
        <v>0</v>
      </c>
      <c r="N39" s="180"/>
      <c r="O39" s="186"/>
    </row>
    <row r="40" spans="1:15" ht="19.5" customHeight="1" thickBot="1">
      <c r="A40" s="52"/>
      <c r="B40" s="53"/>
      <c r="C40" s="54" t="s">
        <v>25</v>
      </c>
      <c r="D40" s="187">
        <f>MAX(D8:F37)</f>
        <v>0</v>
      </c>
      <c r="E40" s="188"/>
      <c r="F40" s="189"/>
      <c r="G40" s="190">
        <f>MAX(G8:I37)</f>
        <v>0</v>
      </c>
      <c r="H40" s="191"/>
      <c r="I40" s="192"/>
      <c r="J40" s="193">
        <f>MAX(J8:L37)</f>
        <v>0</v>
      </c>
      <c r="K40" s="193"/>
      <c r="L40" s="193"/>
      <c r="M40" s="187">
        <f>MAX(M8:O37)</f>
        <v>0</v>
      </c>
      <c r="N40" s="188"/>
      <c r="O40" s="194"/>
    </row>
    <row r="41" spans="1:15" s="40" customFormat="1" ht="16.5" customHeight="1">
      <c r="A41" s="35" t="s">
        <v>12</v>
      </c>
      <c r="B41" s="231"/>
      <c r="C41" s="231"/>
      <c r="D41" s="232" t="s">
        <v>14</v>
      </c>
      <c r="E41" s="232"/>
      <c r="F41" s="36"/>
      <c r="G41" s="37"/>
      <c r="H41" s="37"/>
      <c r="I41" s="37"/>
      <c r="J41" s="218" t="s">
        <v>15</v>
      </c>
      <c r="K41" s="218"/>
      <c r="L41" s="219"/>
      <c r="M41" s="219"/>
      <c r="N41" s="219"/>
      <c r="O41" s="33" t="s">
        <v>16</v>
      </c>
    </row>
    <row r="42" spans="1:15" s="40" customFormat="1" ht="16.5" customHeight="1">
      <c r="A42" s="35"/>
      <c r="B42" s="214"/>
      <c r="C42" s="214"/>
      <c r="D42" s="33"/>
      <c r="E42" s="33"/>
      <c r="F42" s="35"/>
      <c r="G42" s="37"/>
      <c r="H42" s="37"/>
      <c r="I42" s="37"/>
      <c r="J42" s="37"/>
      <c r="K42" s="33"/>
      <c r="L42" s="220"/>
      <c r="M42" s="220"/>
      <c r="N42" s="220"/>
      <c r="O42" s="33"/>
    </row>
    <row r="43" spans="1:15" s="38" customFormat="1" ht="16.5" customHeight="1">
      <c r="A43" s="215" t="s">
        <v>13</v>
      </c>
      <c r="B43" s="215"/>
      <c r="C43" s="215"/>
      <c r="D43" s="37"/>
      <c r="E43" s="37"/>
      <c r="F43" s="37"/>
      <c r="G43" s="35" t="s">
        <v>48</v>
      </c>
      <c r="H43" s="215" t="s">
        <v>47</v>
      </c>
      <c r="I43" s="215"/>
      <c r="J43" s="215"/>
      <c r="K43" s="215"/>
      <c r="L43" s="37"/>
      <c r="M43" s="37"/>
      <c r="N43" s="37"/>
      <c r="O43" s="37"/>
    </row>
    <row r="44" spans="1:15" s="40" customFormat="1" ht="16.5" customHeight="1">
      <c r="A44" s="215" t="s">
        <v>21</v>
      </c>
      <c r="B44" s="215"/>
      <c r="C44" s="35"/>
      <c r="D44" s="37"/>
      <c r="E44" s="37"/>
      <c r="F44" s="37"/>
      <c r="G44" s="37"/>
      <c r="H44" s="37"/>
      <c r="I44" s="37"/>
      <c r="J44" s="37"/>
      <c r="K44" s="37"/>
      <c r="L44" s="37"/>
      <c r="M44" s="216" t="s">
        <v>50</v>
      </c>
      <c r="N44" s="216"/>
      <c r="O44" s="37"/>
    </row>
    <row r="47" spans="1:15" ht="15.75" customHeight="1">
      <c r="B47" s="55" t="s">
        <v>22</v>
      </c>
    </row>
    <row r="51" spans="13:14" ht="15.75" customHeight="1">
      <c r="M51" s="56"/>
      <c r="N51" s="56"/>
    </row>
    <row r="75" spans="3:15" ht="15.75" customHeight="1">
      <c r="C75" s="195"/>
      <c r="D75" s="195"/>
      <c r="E75" s="41"/>
      <c r="I75" s="195"/>
      <c r="J75" s="195"/>
      <c r="K75" s="41"/>
      <c r="L75" s="195"/>
      <c r="M75" s="195"/>
      <c r="N75" s="195"/>
      <c r="O75" s="195"/>
    </row>
    <row r="76" spans="3:15" ht="15.75" customHeight="1">
      <c r="C76" s="195"/>
      <c r="D76" s="195"/>
      <c r="E76" s="195"/>
      <c r="F76" s="195"/>
      <c r="I76" s="195"/>
      <c r="J76" s="195"/>
      <c r="K76" s="41"/>
      <c r="L76" s="195"/>
      <c r="M76" s="195"/>
      <c r="N76" s="195"/>
      <c r="O76" s="195"/>
    </row>
    <row r="77" spans="3:15" ht="15.75" customHeight="1">
      <c r="C77" s="195"/>
      <c r="D77" s="195"/>
      <c r="E77" s="41"/>
      <c r="I77" s="195"/>
      <c r="J77" s="195"/>
      <c r="K77" s="41"/>
      <c r="L77" s="195"/>
      <c r="M77" s="195"/>
      <c r="N77" s="195"/>
      <c r="O77" s="195"/>
    </row>
    <row r="78" spans="3:15" ht="15.75" customHeight="1">
      <c r="C78" s="195"/>
      <c r="D78" s="195"/>
      <c r="E78" s="41"/>
    </row>
  </sheetData>
  <sheetProtection formatColumns="0" formatRows="0"/>
  <mergeCells count="179">
    <mergeCell ref="B42:C42"/>
    <mergeCell ref="H43:K43"/>
    <mergeCell ref="A44:B44"/>
    <mergeCell ref="M44:N44"/>
    <mergeCell ref="A1:L1"/>
    <mergeCell ref="J41:K41"/>
    <mergeCell ref="L41:N41"/>
    <mergeCell ref="L42:N42"/>
    <mergeCell ref="A2:L3"/>
    <mergeCell ref="A43:C43"/>
    <mergeCell ref="N4:O4"/>
    <mergeCell ref="N5:O5"/>
    <mergeCell ref="E4:F4"/>
    <mergeCell ref="L4:M4"/>
    <mergeCell ref="L5:M5"/>
    <mergeCell ref="N1:O1"/>
    <mergeCell ref="N2:O2"/>
    <mergeCell ref="N3:O3"/>
    <mergeCell ref="B41:C41"/>
    <mergeCell ref="D41:E41"/>
    <mergeCell ref="B4:D4"/>
    <mergeCell ref="B5:D5"/>
    <mergeCell ref="E5:F5"/>
    <mergeCell ref="G4:H4"/>
    <mergeCell ref="G5:H5"/>
    <mergeCell ref="J4:K4"/>
    <mergeCell ref="J5:K5"/>
    <mergeCell ref="J8:L8"/>
    <mergeCell ref="M8:O8"/>
    <mergeCell ref="D8:F8"/>
    <mergeCell ref="G8:I8"/>
    <mergeCell ref="J9:L9"/>
    <mergeCell ref="G9:I9"/>
    <mergeCell ref="D9:F9"/>
    <mergeCell ref="J11:L11"/>
    <mergeCell ref="M11:O11"/>
    <mergeCell ref="M10:O10"/>
    <mergeCell ref="A6:C6"/>
    <mergeCell ref="D6:F6"/>
    <mergeCell ref="G6:I6"/>
    <mergeCell ref="J6:L6"/>
    <mergeCell ref="M6:O6"/>
    <mergeCell ref="D7:F7"/>
    <mergeCell ref="J7:L7"/>
    <mergeCell ref="A7:C7"/>
    <mergeCell ref="M7:O7"/>
    <mergeCell ref="G7:I7"/>
    <mergeCell ref="D11:F11"/>
    <mergeCell ref="D10:F10"/>
    <mergeCell ref="G10:I10"/>
    <mergeCell ref="G11:I11"/>
    <mergeCell ref="J10:L10"/>
    <mergeCell ref="M9:O9"/>
    <mergeCell ref="C78:D78"/>
    <mergeCell ref="I75:J75"/>
    <mergeCell ref="L75:O75"/>
    <mergeCell ref="L76:O76"/>
    <mergeCell ref="L77:O77"/>
    <mergeCell ref="I76:J76"/>
    <mergeCell ref="I77:J77"/>
    <mergeCell ref="C75:D75"/>
    <mergeCell ref="C76:F76"/>
    <mergeCell ref="C77:D77"/>
    <mergeCell ref="D38:F38"/>
    <mergeCell ref="G38:I38"/>
    <mergeCell ref="J38:L38"/>
    <mergeCell ref="M38:O38"/>
    <mergeCell ref="D39:F39"/>
    <mergeCell ref="G39:I39"/>
    <mergeCell ref="J39:L39"/>
    <mergeCell ref="M39:O39"/>
    <mergeCell ref="D40:F40"/>
    <mergeCell ref="G40:I40"/>
    <mergeCell ref="J40:L40"/>
    <mergeCell ref="M40:O40"/>
    <mergeCell ref="D36:F36"/>
    <mergeCell ref="G36:I36"/>
    <mergeCell ref="G37:I37"/>
    <mergeCell ref="J36:L36"/>
    <mergeCell ref="M35:O35"/>
    <mergeCell ref="D19:F19"/>
    <mergeCell ref="D16:F16"/>
    <mergeCell ref="J35:L35"/>
    <mergeCell ref="G35:I35"/>
    <mergeCell ref="D35:F35"/>
    <mergeCell ref="J37:L37"/>
    <mergeCell ref="M37:O37"/>
    <mergeCell ref="M36:O36"/>
    <mergeCell ref="D37:F37"/>
    <mergeCell ref="M33:O33"/>
    <mergeCell ref="M29:O29"/>
    <mergeCell ref="G25:I25"/>
    <mergeCell ref="J25:L25"/>
    <mergeCell ref="M28:O28"/>
    <mergeCell ref="J24:L24"/>
    <mergeCell ref="M24:O24"/>
    <mergeCell ref="M23:O23"/>
    <mergeCell ref="D24:F24"/>
    <mergeCell ref="D23:F23"/>
    <mergeCell ref="G23:I23"/>
    <mergeCell ref="G24:I24"/>
    <mergeCell ref="J23:L23"/>
    <mergeCell ref="M22:O22"/>
    <mergeCell ref="J22:L22"/>
    <mergeCell ref="D12:F12"/>
    <mergeCell ref="D21:F21"/>
    <mergeCell ref="D20:F20"/>
    <mergeCell ref="G20:I20"/>
    <mergeCell ref="G21:I21"/>
    <mergeCell ref="J20:L20"/>
    <mergeCell ref="J21:L21"/>
    <mergeCell ref="M21:O21"/>
    <mergeCell ref="M20:O20"/>
    <mergeCell ref="M19:O19"/>
    <mergeCell ref="J19:L19"/>
    <mergeCell ref="G19:I19"/>
    <mergeCell ref="G22:I22"/>
    <mergeCell ref="D22:F22"/>
    <mergeCell ref="J15:L15"/>
    <mergeCell ref="G13:I13"/>
    <mergeCell ref="D13:F13"/>
    <mergeCell ref="M14:O14"/>
    <mergeCell ref="D14:F14"/>
    <mergeCell ref="G12:I12"/>
    <mergeCell ref="J12:L12"/>
    <mergeCell ref="M15:O15"/>
    <mergeCell ref="D15:F15"/>
    <mergeCell ref="G15:I15"/>
    <mergeCell ref="M12:O12"/>
    <mergeCell ref="M16:O16"/>
    <mergeCell ref="J16:L16"/>
    <mergeCell ref="G16:I16"/>
    <mergeCell ref="G14:I14"/>
    <mergeCell ref="J14:L14"/>
    <mergeCell ref="M13:O13"/>
    <mergeCell ref="J13:L13"/>
    <mergeCell ref="M25:O25"/>
    <mergeCell ref="M17:O17"/>
    <mergeCell ref="G18:I18"/>
    <mergeCell ref="M18:O18"/>
    <mergeCell ref="D18:F18"/>
    <mergeCell ref="J18:L18"/>
    <mergeCell ref="D17:F17"/>
    <mergeCell ref="J29:L29"/>
    <mergeCell ref="G29:I29"/>
    <mergeCell ref="D29:F29"/>
    <mergeCell ref="D25:F25"/>
    <mergeCell ref="D28:F28"/>
    <mergeCell ref="G28:I28"/>
    <mergeCell ref="J28:L28"/>
    <mergeCell ref="G26:I26"/>
    <mergeCell ref="D26:F26"/>
    <mergeCell ref="M27:O27"/>
    <mergeCell ref="D27:F27"/>
    <mergeCell ref="G27:I27"/>
    <mergeCell ref="J27:L27"/>
    <mergeCell ref="M26:O26"/>
    <mergeCell ref="J26:L26"/>
    <mergeCell ref="G17:I17"/>
    <mergeCell ref="J17:L17"/>
    <mergeCell ref="D34:F34"/>
    <mergeCell ref="D33:F33"/>
    <mergeCell ref="G33:I33"/>
    <mergeCell ref="G34:I34"/>
    <mergeCell ref="J33:L33"/>
    <mergeCell ref="J30:L30"/>
    <mergeCell ref="J34:L34"/>
    <mergeCell ref="M34:O34"/>
    <mergeCell ref="M30:O30"/>
    <mergeCell ref="G31:I31"/>
    <mergeCell ref="M31:O31"/>
    <mergeCell ref="D31:F31"/>
    <mergeCell ref="J31:L31"/>
    <mergeCell ref="D30:F30"/>
    <mergeCell ref="G30:I30"/>
    <mergeCell ref="M32:O32"/>
    <mergeCell ref="J32:L32"/>
    <mergeCell ref="G32:I32"/>
    <mergeCell ref="D32:F32"/>
  </mergeCells>
  <phoneticPr fontId="9" type="noConversion"/>
  <conditionalFormatting sqref="D8:F40">
    <cfRule type="cellIs" dxfId="20" priority="5" operator="notBetween">
      <formula>14</formula>
      <formula>18</formula>
    </cfRule>
  </conditionalFormatting>
  <conditionalFormatting sqref="G8:I40">
    <cfRule type="cellIs" dxfId="19" priority="4" operator="notBetween">
      <formula>0.025</formula>
      <formula>0.035</formula>
    </cfRule>
  </conditionalFormatting>
  <conditionalFormatting sqref="J8:L40">
    <cfRule type="cellIs" dxfId="18" priority="3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dataValidations count="1">
    <dataValidation type="textLength" allowBlank="1" showInputMessage="1" showErrorMessage="1" sqref="M3:N3 N1:O2 A1:A2" xr:uid="{2CCE3038-563D-4947-AC9C-D0CEBC870C47}">
      <formula1>0</formula1>
      <formula2>0</formula2>
    </dataValidation>
  </dataValidations>
  <pageMargins left="1.5748031496062993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5"/>
  <sheetViews>
    <sheetView view="pageBreakPreview" zoomScaleNormal="100" zoomScaleSheetLayoutView="100" workbookViewId="0">
      <selection activeCell="C17" sqref="C17"/>
    </sheetView>
  </sheetViews>
  <sheetFormatPr defaultColWidth="9.140625" defaultRowHeight="12.75"/>
  <cols>
    <col min="1" max="3" width="14" style="76" customWidth="1"/>
    <col min="4" max="15" width="14.7109375" style="76" customWidth="1"/>
    <col min="16" max="16384" width="9.140625" style="76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s="61" customFormat="1" ht="23.25" customHeight="1">
      <c r="A4" s="64" t="s">
        <v>1</v>
      </c>
      <c r="B4" s="248">
        <f>Page1!B4</f>
        <v>0</v>
      </c>
      <c r="C4" s="249"/>
      <c r="D4" s="250"/>
      <c r="E4" s="251" t="s">
        <v>3</v>
      </c>
      <c r="F4" s="251"/>
      <c r="G4" s="252">
        <f>Page1!G4</f>
        <v>0</v>
      </c>
      <c r="H4" s="252"/>
      <c r="I4" s="65" t="s">
        <v>5</v>
      </c>
      <c r="J4" s="252">
        <f>Page1!J4</f>
        <v>0</v>
      </c>
      <c r="K4" s="252"/>
      <c r="L4" s="254" t="s">
        <v>7</v>
      </c>
      <c r="M4" s="255"/>
      <c r="N4" s="248">
        <f>Page1!N4</f>
        <v>0</v>
      </c>
      <c r="O4" s="258"/>
    </row>
    <row r="5" spans="1:15" s="61" customFormat="1" ht="23.25" customHeight="1">
      <c r="A5" s="66" t="s">
        <v>2</v>
      </c>
      <c r="B5" s="253">
        <f>Page1!B5</f>
        <v>0</v>
      </c>
      <c r="C5" s="253"/>
      <c r="D5" s="253"/>
      <c r="E5" s="273" t="s">
        <v>4</v>
      </c>
      <c r="F5" s="273"/>
      <c r="G5" s="253">
        <f>Page1!G5</f>
        <v>0</v>
      </c>
      <c r="H5" s="253"/>
      <c r="I5" s="67" t="s">
        <v>6</v>
      </c>
      <c r="J5" s="253">
        <f>Page1!J5</f>
        <v>0</v>
      </c>
      <c r="K5" s="253"/>
      <c r="L5" s="256" t="s">
        <v>8</v>
      </c>
      <c r="M5" s="257"/>
      <c r="N5" s="212">
        <f>Page1!N5</f>
        <v>0</v>
      </c>
      <c r="O5" s="259"/>
    </row>
    <row r="6" spans="1:15" s="69" customFormat="1" ht="15.75" customHeight="1" thickBot="1">
      <c r="A6" s="269" t="s">
        <v>28</v>
      </c>
      <c r="B6" s="270"/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0"/>
      <c r="O6" s="271"/>
    </row>
    <row r="7" spans="1:15" s="69" customFormat="1" ht="15" customHeight="1">
      <c r="A7" s="265" t="s">
        <v>0</v>
      </c>
      <c r="B7" s="266"/>
      <c r="C7" s="267"/>
      <c r="D7" s="274" t="s">
        <v>35</v>
      </c>
      <c r="E7" s="275"/>
      <c r="F7" s="275"/>
      <c r="G7" s="275"/>
      <c r="H7" s="276" t="s">
        <v>45</v>
      </c>
      <c r="I7" s="277"/>
      <c r="J7" s="277"/>
      <c r="K7" s="274"/>
      <c r="L7" s="276" t="s">
        <v>34</v>
      </c>
      <c r="M7" s="277"/>
      <c r="N7" s="277"/>
      <c r="O7" s="278"/>
    </row>
    <row r="8" spans="1:15" s="69" customFormat="1" ht="15" customHeight="1" thickBot="1">
      <c r="A8" s="268"/>
      <c r="B8" s="199"/>
      <c r="C8" s="200"/>
      <c r="D8" s="94">
        <v>1</v>
      </c>
      <c r="E8" s="34">
        <v>2</v>
      </c>
      <c r="F8" s="34">
        <v>3</v>
      </c>
      <c r="G8" s="34" t="s">
        <v>17</v>
      </c>
      <c r="H8" s="70">
        <v>1</v>
      </c>
      <c r="I8" s="34">
        <v>2</v>
      </c>
      <c r="J8" s="34">
        <v>3</v>
      </c>
      <c r="K8" s="34" t="s">
        <v>17</v>
      </c>
      <c r="L8" s="34">
        <v>1</v>
      </c>
      <c r="M8" s="34">
        <v>2</v>
      </c>
      <c r="N8" s="34">
        <v>3</v>
      </c>
      <c r="O8" s="68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93"/>
      <c r="E9" s="71"/>
      <c r="F9" s="71"/>
      <c r="G9" s="72" t="e">
        <f>AVERAGE(D9:F9)</f>
        <v>#DIV/0!</v>
      </c>
      <c r="H9" s="73"/>
      <c r="I9" s="73"/>
      <c r="J9" s="73"/>
      <c r="K9" s="74" t="e">
        <f>AVERAGE(H9:J9)</f>
        <v>#DIV/0!</v>
      </c>
      <c r="L9" s="73"/>
      <c r="M9" s="73"/>
      <c r="N9" s="73"/>
      <c r="O9" s="75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93"/>
      <c r="E10" s="71"/>
      <c r="F10" s="71"/>
      <c r="G10" s="72" t="e">
        <f t="shared" ref="G10:G38" si="0">AVERAGE(D10:F10)</f>
        <v>#DIV/0!</v>
      </c>
      <c r="H10" s="73"/>
      <c r="I10" s="73"/>
      <c r="J10" s="73"/>
      <c r="K10" s="74" t="e">
        <f t="shared" ref="K10:K38" si="1">AVERAGE(H10:J10)</f>
        <v>#DIV/0!</v>
      </c>
      <c r="L10" s="73"/>
      <c r="M10" s="73"/>
      <c r="N10" s="73"/>
      <c r="O10" s="75" t="e">
        <f t="shared" ref="O10:O38" si="2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71"/>
      <c r="E11" s="71"/>
      <c r="F11" s="71"/>
      <c r="G11" s="72" t="e">
        <f t="shared" si="0"/>
        <v>#DIV/0!</v>
      </c>
      <c r="H11" s="73"/>
      <c r="I11" s="73"/>
      <c r="J11" s="73"/>
      <c r="K11" s="74" t="e">
        <f t="shared" si="1"/>
        <v>#DIV/0!</v>
      </c>
      <c r="L11" s="73"/>
      <c r="M11" s="73"/>
      <c r="N11" s="73"/>
      <c r="O11" s="75" t="e">
        <f t="shared" si="2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71"/>
      <c r="E12" s="71"/>
      <c r="F12" s="71"/>
      <c r="G12" s="72" t="e">
        <f t="shared" si="0"/>
        <v>#DIV/0!</v>
      </c>
      <c r="H12" s="73"/>
      <c r="I12" s="73"/>
      <c r="J12" s="73"/>
      <c r="K12" s="74" t="e">
        <f t="shared" si="1"/>
        <v>#DIV/0!</v>
      </c>
      <c r="L12" s="73"/>
      <c r="M12" s="73"/>
      <c r="N12" s="73"/>
      <c r="O12" s="75" t="e">
        <f t="shared" si="2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71"/>
      <c r="E13" s="71"/>
      <c r="F13" s="71"/>
      <c r="G13" s="72" t="e">
        <f t="shared" si="0"/>
        <v>#DIV/0!</v>
      </c>
      <c r="H13" s="73"/>
      <c r="I13" s="73"/>
      <c r="J13" s="73"/>
      <c r="K13" s="74" t="e">
        <f t="shared" si="1"/>
        <v>#DIV/0!</v>
      </c>
      <c r="L13" s="73"/>
      <c r="M13" s="73"/>
      <c r="N13" s="73"/>
      <c r="O13" s="75" t="e">
        <f t="shared" si="2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71"/>
      <c r="E14" s="71"/>
      <c r="F14" s="71"/>
      <c r="G14" s="72" t="e">
        <f t="shared" si="0"/>
        <v>#DIV/0!</v>
      </c>
      <c r="H14" s="73"/>
      <c r="I14" s="73"/>
      <c r="J14" s="73"/>
      <c r="K14" s="74" t="e">
        <f t="shared" si="1"/>
        <v>#DIV/0!</v>
      </c>
      <c r="L14" s="73"/>
      <c r="M14" s="73"/>
      <c r="N14" s="73"/>
      <c r="O14" s="75" t="e">
        <f t="shared" si="2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71"/>
      <c r="E15" s="71"/>
      <c r="F15" s="71"/>
      <c r="G15" s="72" t="e">
        <f t="shared" si="0"/>
        <v>#DIV/0!</v>
      </c>
      <c r="H15" s="73"/>
      <c r="I15" s="73"/>
      <c r="J15" s="73"/>
      <c r="K15" s="74" t="e">
        <f t="shared" si="1"/>
        <v>#DIV/0!</v>
      </c>
      <c r="L15" s="73"/>
      <c r="M15" s="73"/>
      <c r="N15" s="73"/>
      <c r="O15" s="75" t="e">
        <f t="shared" si="2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71"/>
      <c r="E16" s="71"/>
      <c r="F16" s="71"/>
      <c r="G16" s="72" t="e">
        <f t="shared" si="0"/>
        <v>#DIV/0!</v>
      </c>
      <c r="H16" s="73"/>
      <c r="I16" s="73"/>
      <c r="J16" s="73"/>
      <c r="K16" s="74" t="e">
        <f t="shared" si="1"/>
        <v>#DIV/0!</v>
      </c>
      <c r="L16" s="73"/>
      <c r="M16" s="73"/>
      <c r="N16" s="73"/>
      <c r="O16" s="75" t="e">
        <f t="shared" si="2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71"/>
      <c r="E17" s="71"/>
      <c r="F17" s="71"/>
      <c r="G17" s="72" t="e">
        <f t="shared" si="0"/>
        <v>#DIV/0!</v>
      </c>
      <c r="H17" s="73"/>
      <c r="I17" s="73"/>
      <c r="J17" s="73"/>
      <c r="K17" s="74" t="e">
        <f t="shared" si="1"/>
        <v>#DIV/0!</v>
      </c>
      <c r="L17" s="73"/>
      <c r="M17" s="73"/>
      <c r="N17" s="73"/>
      <c r="O17" s="75" t="e">
        <f t="shared" si="2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71"/>
      <c r="E18" s="71"/>
      <c r="F18" s="71"/>
      <c r="G18" s="72" t="e">
        <f t="shared" si="0"/>
        <v>#DIV/0!</v>
      </c>
      <c r="H18" s="73"/>
      <c r="I18" s="73"/>
      <c r="J18" s="73"/>
      <c r="K18" s="74" t="e">
        <f t="shared" si="1"/>
        <v>#DIV/0!</v>
      </c>
      <c r="L18" s="73"/>
      <c r="M18" s="73"/>
      <c r="N18" s="73"/>
      <c r="O18" s="75" t="e">
        <f t="shared" si="2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71"/>
      <c r="E19" s="71"/>
      <c r="F19" s="71"/>
      <c r="G19" s="72" t="e">
        <f t="shared" si="0"/>
        <v>#DIV/0!</v>
      </c>
      <c r="H19" s="73"/>
      <c r="I19" s="73"/>
      <c r="J19" s="73"/>
      <c r="K19" s="74" t="e">
        <f t="shared" si="1"/>
        <v>#DIV/0!</v>
      </c>
      <c r="L19" s="73"/>
      <c r="M19" s="73"/>
      <c r="N19" s="73"/>
      <c r="O19" s="75" t="e">
        <f t="shared" si="2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71"/>
      <c r="E20" s="71"/>
      <c r="F20" s="71"/>
      <c r="G20" s="72" t="e">
        <f t="shared" si="0"/>
        <v>#DIV/0!</v>
      </c>
      <c r="H20" s="73"/>
      <c r="I20" s="73"/>
      <c r="J20" s="73"/>
      <c r="K20" s="74" t="e">
        <f t="shared" si="1"/>
        <v>#DIV/0!</v>
      </c>
      <c r="L20" s="73"/>
      <c r="M20" s="73"/>
      <c r="N20" s="73"/>
      <c r="O20" s="75" t="e">
        <f t="shared" si="2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71"/>
      <c r="E21" s="71"/>
      <c r="F21" s="71"/>
      <c r="G21" s="72" t="e">
        <f t="shared" si="0"/>
        <v>#DIV/0!</v>
      </c>
      <c r="H21" s="73"/>
      <c r="I21" s="73"/>
      <c r="J21" s="73"/>
      <c r="K21" s="74" t="e">
        <f t="shared" si="1"/>
        <v>#DIV/0!</v>
      </c>
      <c r="L21" s="73"/>
      <c r="M21" s="73"/>
      <c r="N21" s="73"/>
      <c r="O21" s="75" t="e">
        <f t="shared" si="2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71"/>
      <c r="E22" s="71"/>
      <c r="F22" s="71"/>
      <c r="G22" s="72" t="e">
        <f t="shared" si="0"/>
        <v>#DIV/0!</v>
      </c>
      <c r="H22" s="73"/>
      <c r="I22" s="73"/>
      <c r="J22" s="73"/>
      <c r="K22" s="74" t="e">
        <f t="shared" si="1"/>
        <v>#DIV/0!</v>
      </c>
      <c r="L22" s="73"/>
      <c r="M22" s="73"/>
      <c r="N22" s="73"/>
      <c r="O22" s="75" t="e">
        <f t="shared" si="2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71"/>
      <c r="E23" s="71"/>
      <c r="F23" s="71"/>
      <c r="G23" s="72" t="e">
        <f t="shared" si="0"/>
        <v>#DIV/0!</v>
      </c>
      <c r="H23" s="73"/>
      <c r="I23" s="73"/>
      <c r="J23" s="73"/>
      <c r="K23" s="74" t="e">
        <f t="shared" si="1"/>
        <v>#DIV/0!</v>
      </c>
      <c r="L23" s="73"/>
      <c r="M23" s="73"/>
      <c r="N23" s="73"/>
      <c r="O23" s="75" t="e">
        <f t="shared" si="2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71"/>
      <c r="E24" s="71"/>
      <c r="F24" s="71"/>
      <c r="G24" s="72" t="e">
        <f t="shared" si="0"/>
        <v>#DIV/0!</v>
      </c>
      <c r="H24" s="73"/>
      <c r="I24" s="73"/>
      <c r="J24" s="73"/>
      <c r="K24" s="74" t="e">
        <f t="shared" si="1"/>
        <v>#DIV/0!</v>
      </c>
      <c r="L24" s="73"/>
      <c r="M24" s="73"/>
      <c r="N24" s="73"/>
      <c r="O24" s="75" t="e">
        <f t="shared" si="2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71"/>
      <c r="E25" s="71"/>
      <c r="F25" s="71"/>
      <c r="G25" s="72" t="e">
        <f t="shared" si="0"/>
        <v>#DIV/0!</v>
      </c>
      <c r="H25" s="73"/>
      <c r="I25" s="73"/>
      <c r="J25" s="73"/>
      <c r="K25" s="74" t="e">
        <f t="shared" si="1"/>
        <v>#DIV/0!</v>
      </c>
      <c r="L25" s="73"/>
      <c r="M25" s="73"/>
      <c r="N25" s="73"/>
      <c r="O25" s="75" t="e">
        <f t="shared" si="2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71"/>
      <c r="E26" s="71"/>
      <c r="F26" s="71"/>
      <c r="G26" s="72" t="e">
        <f t="shared" si="0"/>
        <v>#DIV/0!</v>
      </c>
      <c r="H26" s="73"/>
      <c r="I26" s="73"/>
      <c r="J26" s="73"/>
      <c r="K26" s="74" t="e">
        <f t="shared" si="1"/>
        <v>#DIV/0!</v>
      </c>
      <c r="L26" s="73"/>
      <c r="M26" s="73"/>
      <c r="N26" s="73"/>
      <c r="O26" s="75" t="e">
        <f t="shared" si="2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71"/>
      <c r="E27" s="71"/>
      <c r="F27" s="71"/>
      <c r="G27" s="72" t="e">
        <f t="shared" si="0"/>
        <v>#DIV/0!</v>
      </c>
      <c r="H27" s="73"/>
      <c r="I27" s="73"/>
      <c r="J27" s="73"/>
      <c r="K27" s="74" t="e">
        <f t="shared" si="1"/>
        <v>#DIV/0!</v>
      </c>
      <c r="L27" s="73"/>
      <c r="M27" s="73"/>
      <c r="N27" s="73"/>
      <c r="O27" s="75" t="e">
        <f t="shared" si="2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71"/>
      <c r="E28" s="71"/>
      <c r="F28" s="71"/>
      <c r="G28" s="72" t="e">
        <f t="shared" si="0"/>
        <v>#DIV/0!</v>
      </c>
      <c r="H28" s="73"/>
      <c r="I28" s="73"/>
      <c r="J28" s="73"/>
      <c r="K28" s="74" t="e">
        <f t="shared" si="1"/>
        <v>#DIV/0!</v>
      </c>
      <c r="L28" s="73"/>
      <c r="M28" s="73"/>
      <c r="N28" s="73"/>
      <c r="O28" s="75" t="e">
        <f t="shared" si="2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71"/>
      <c r="E29" s="71"/>
      <c r="F29" s="71"/>
      <c r="G29" s="72" t="e">
        <f t="shared" si="0"/>
        <v>#DIV/0!</v>
      </c>
      <c r="H29" s="73"/>
      <c r="I29" s="73"/>
      <c r="J29" s="73"/>
      <c r="K29" s="74" t="e">
        <f t="shared" si="1"/>
        <v>#DIV/0!</v>
      </c>
      <c r="L29" s="73"/>
      <c r="M29" s="73"/>
      <c r="N29" s="73"/>
      <c r="O29" s="75" t="e">
        <f t="shared" si="2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71"/>
      <c r="E30" s="71"/>
      <c r="F30" s="71"/>
      <c r="G30" s="72" t="e">
        <f t="shared" si="0"/>
        <v>#DIV/0!</v>
      </c>
      <c r="H30" s="73"/>
      <c r="I30" s="73"/>
      <c r="J30" s="73"/>
      <c r="K30" s="74" t="e">
        <f t="shared" si="1"/>
        <v>#DIV/0!</v>
      </c>
      <c r="L30" s="73"/>
      <c r="M30" s="73"/>
      <c r="N30" s="73"/>
      <c r="O30" s="75" t="e">
        <f t="shared" si="2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71"/>
      <c r="E31" s="71"/>
      <c r="F31" s="71"/>
      <c r="G31" s="72" t="e">
        <f t="shared" si="0"/>
        <v>#DIV/0!</v>
      </c>
      <c r="H31" s="73"/>
      <c r="I31" s="73"/>
      <c r="J31" s="73"/>
      <c r="K31" s="74" t="e">
        <f t="shared" si="1"/>
        <v>#DIV/0!</v>
      </c>
      <c r="L31" s="73"/>
      <c r="M31" s="73"/>
      <c r="N31" s="73"/>
      <c r="O31" s="75" t="e">
        <f t="shared" si="2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71"/>
      <c r="E32" s="71"/>
      <c r="F32" s="71"/>
      <c r="G32" s="72" t="e">
        <f t="shared" si="0"/>
        <v>#DIV/0!</v>
      </c>
      <c r="H32" s="73"/>
      <c r="I32" s="73"/>
      <c r="J32" s="73"/>
      <c r="K32" s="74" t="e">
        <f t="shared" si="1"/>
        <v>#DIV/0!</v>
      </c>
      <c r="L32" s="73"/>
      <c r="M32" s="73"/>
      <c r="N32" s="73"/>
      <c r="O32" s="75" t="e">
        <f t="shared" si="2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71"/>
      <c r="E33" s="71"/>
      <c r="F33" s="71"/>
      <c r="G33" s="72" t="e">
        <f t="shared" si="0"/>
        <v>#DIV/0!</v>
      </c>
      <c r="H33" s="73"/>
      <c r="I33" s="73"/>
      <c r="J33" s="73"/>
      <c r="K33" s="74" t="e">
        <f t="shared" si="1"/>
        <v>#DIV/0!</v>
      </c>
      <c r="L33" s="73"/>
      <c r="M33" s="73"/>
      <c r="N33" s="73"/>
      <c r="O33" s="75" t="e">
        <f t="shared" si="2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71"/>
      <c r="E34" s="71"/>
      <c r="F34" s="71"/>
      <c r="G34" s="72" t="e">
        <f t="shared" si="0"/>
        <v>#DIV/0!</v>
      </c>
      <c r="H34" s="73"/>
      <c r="I34" s="73"/>
      <c r="J34" s="73"/>
      <c r="K34" s="74" t="e">
        <f t="shared" si="1"/>
        <v>#DIV/0!</v>
      </c>
      <c r="L34" s="73"/>
      <c r="M34" s="73"/>
      <c r="N34" s="73"/>
      <c r="O34" s="75" t="e">
        <f t="shared" si="2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71"/>
      <c r="E35" s="71"/>
      <c r="F35" s="71"/>
      <c r="G35" s="72" t="e">
        <f t="shared" si="0"/>
        <v>#DIV/0!</v>
      </c>
      <c r="H35" s="73"/>
      <c r="I35" s="73"/>
      <c r="J35" s="73"/>
      <c r="K35" s="74" t="e">
        <f t="shared" si="1"/>
        <v>#DIV/0!</v>
      </c>
      <c r="L35" s="73"/>
      <c r="M35" s="73"/>
      <c r="N35" s="73"/>
      <c r="O35" s="75" t="e">
        <f t="shared" si="2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71"/>
      <c r="E36" s="71"/>
      <c r="F36" s="71"/>
      <c r="G36" s="72" t="e">
        <f t="shared" si="0"/>
        <v>#DIV/0!</v>
      </c>
      <c r="H36" s="73"/>
      <c r="I36" s="73"/>
      <c r="J36" s="73"/>
      <c r="K36" s="74" t="e">
        <f t="shared" si="1"/>
        <v>#DIV/0!</v>
      </c>
      <c r="L36" s="73"/>
      <c r="M36" s="73"/>
      <c r="N36" s="73"/>
      <c r="O36" s="75" t="e">
        <f t="shared" si="2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71"/>
      <c r="E37" s="71"/>
      <c r="F37" s="71"/>
      <c r="G37" s="72" t="e">
        <f t="shared" si="0"/>
        <v>#DIV/0!</v>
      </c>
      <c r="H37" s="73"/>
      <c r="I37" s="73"/>
      <c r="J37" s="73"/>
      <c r="K37" s="74" t="e">
        <f t="shared" si="1"/>
        <v>#DIV/0!</v>
      </c>
      <c r="L37" s="73"/>
      <c r="M37" s="73"/>
      <c r="N37" s="73"/>
      <c r="O37" s="75" t="e">
        <f t="shared" si="2"/>
        <v>#DIV/0!</v>
      </c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71"/>
      <c r="E38" s="71"/>
      <c r="F38" s="71"/>
      <c r="G38" s="72" t="e">
        <f t="shared" si="0"/>
        <v>#DIV/0!</v>
      </c>
      <c r="H38" s="73"/>
      <c r="I38" s="73"/>
      <c r="J38" s="73"/>
      <c r="K38" s="74" t="e">
        <f t="shared" si="1"/>
        <v>#DIV/0!</v>
      </c>
      <c r="L38" s="73"/>
      <c r="M38" s="73"/>
      <c r="N38" s="73"/>
      <c r="O38" s="75" t="e">
        <f t="shared" si="2"/>
        <v>#DIV/0!</v>
      </c>
    </row>
    <row r="39" spans="1:15" s="38" customFormat="1" ht="19.5" customHeight="1">
      <c r="A39" s="47"/>
      <c r="B39" s="48"/>
      <c r="C39" s="102" t="s">
        <v>23</v>
      </c>
      <c r="D39" s="239" t="e">
        <f>AVERAGE(G9:G38)</f>
        <v>#DIV/0!</v>
      </c>
      <c r="E39" s="239"/>
      <c r="F39" s="239"/>
      <c r="G39" s="240"/>
      <c r="H39" s="241" t="e">
        <f>AVERAGE(K9:K38)</f>
        <v>#DIV/0!</v>
      </c>
      <c r="I39" s="242"/>
      <c r="J39" s="242"/>
      <c r="K39" s="243"/>
      <c r="L39" s="241" t="e">
        <f>AVERAGE(O9:O38)</f>
        <v>#DIV/0!</v>
      </c>
      <c r="M39" s="242"/>
      <c r="N39" s="242"/>
      <c r="O39" s="244"/>
    </row>
    <row r="40" spans="1:15" s="38" customFormat="1" ht="19.5" customHeight="1">
      <c r="A40" s="49"/>
      <c r="B40" s="50"/>
      <c r="C40" s="103" t="s">
        <v>24</v>
      </c>
      <c r="D40" s="237" t="e">
        <f>MIN(G9:G38)</f>
        <v>#DIV/0!</v>
      </c>
      <c r="E40" s="237"/>
      <c r="F40" s="237"/>
      <c r="G40" s="238"/>
      <c r="H40" s="245" t="e">
        <f>MIN(K9:K38)</f>
        <v>#DIV/0!</v>
      </c>
      <c r="I40" s="246"/>
      <c r="J40" s="246"/>
      <c r="K40" s="272"/>
      <c r="L40" s="245" t="e">
        <f>MIN(O9:O38)</f>
        <v>#DIV/0!</v>
      </c>
      <c r="M40" s="246"/>
      <c r="N40" s="246"/>
      <c r="O40" s="247"/>
    </row>
    <row r="41" spans="1:15" s="38" customFormat="1" ht="19.5" customHeight="1" thickBot="1">
      <c r="A41" s="52"/>
      <c r="B41" s="53"/>
      <c r="C41" s="104" t="s">
        <v>25</v>
      </c>
      <c r="D41" s="260" t="e">
        <f>MAX(G9:G38)</f>
        <v>#DIV/0!</v>
      </c>
      <c r="E41" s="260"/>
      <c r="F41" s="260"/>
      <c r="G41" s="261"/>
      <c r="H41" s="262" t="e">
        <f>MAX(K9:K38)</f>
        <v>#DIV/0!</v>
      </c>
      <c r="I41" s="263"/>
      <c r="J41" s="263"/>
      <c r="K41" s="279"/>
      <c r="L41" s="262" t="e">
        <f>MAX(O9:O38)</f>
        <v>#DIV/0!</v>
      </c>
      <c r="M41" s="263"/>
      <c r="N41" s="263"/>
      <c r="O41" s="264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  <c r="O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49</v>
      </c>
      <c r="N45" s="216"/>
      <c r="O45" s="37"/>
    </row>
  </sheetData>
  <dataConsolidate/>
  <mergeCells count="40">
    <mergeCell ref="J5:K5"/>
    <mergeCell ref="G5:H5"/>
    <mergeCell ref="B43:C43"/>
    <mergeCell ref="A45:B45"/>
    <mergeCell ref="M45:N45"/>
    <mergeCell ref="M43:N43"/>
    <mergeCell ref="H44:J44"/>
    <mergeCell ref="A44:C44"/>
    <mergeCell ref="N4:O4"/>
    <mergeCell ref="N5:O5"/>
    <mergeCell ref="D41:G41"/>
    <mergeCell ref="L41:O41"/>
    <mergeCell ref="B42:C42"/>
    <mergeCell ref="D42:E42"/>
    <mergeCell ref="M42:N42"/>
    <mergeCell ref="A7:C8"/>
    <mergeCell ref="A6:C6"/>
    <mergeCell ref="D6:O6"/>
    <mergeCell ref="H40:K40"/>
    <mergeCell ref="E5:F5"/>
    <mergeCell ref="D7:G7"/>
    <mergeCell ref="H7:K7"/>
    <mergeCell ref="L7:O7"/>
    <mergeCell ref="H41:K41"/>
    <mergeCell ref="A1:M1"/>
    <mergeCell ref="N1:O1"/>
    <mergeCell ref="A2:M3"/>
    <mergeCell ref="N2:O2"/>
    <mergeCell ref="D40:G40"/>
    <mergeCell ref="D39:G39"/>
    <mergeCell ref="H39:K39"/>
    <mergeCell ref="L39:O39"/>
    <mergeCell ref="L40:O40"/>
    <mergeCell ref="B4:D4"/>
    <mergeCell ref="E4:F4"/>
    <mergeCell ref="G4:H4"/>
    <mergeCell ref="J4:K4"/>
    <mergeCell ref="B5:D5"/>
    <mergeCell ref="L4:M4"/>
    <mergeCell ref="L5:M5"/>
  </mergeCells>
  <conditionalFormatting sqref="D9:G41">
    <cfRule type="cellIs" dxfId="16" priority="12" operator="lessThan">
      <formula>350</formula>
    </cfRule>
  </conditionalFormatting>
  <conditionalFormatting sqref="H9:K41">
    <cfRule type="cellIs" dxfId="15" priority="1" operator="lessThan">
      <formula>9</formula>
    </cfRule>
  </conditionalFormatting>
  <conditionalFormatting sqref="L9:O41">
    <cfRule type="cellIs" dxfId="14" priority="10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O46"/>
  <sheetViews>
    <sheetView view="pageBreakPreview" zoomScaleNormal="70" zoomScaleSheetLayoutView="100" workbookViewId="0">
      <selection activeCell="M16" sqref="M16"/>
    </sheetView>
  </sheetViews>
  <sheetFormatPr defaultColWidth="9.140625" defaultRowHeight="12.75"/>
  <cols>
    <col min="1" max="3" width="14" style="76" customWidth="1"/>
    <col min="4" max="15" width="14.7109375" style="76" customWidth="1"/>
    <col min="16" max="16384" width="9.140625" style="76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s="61" customFormat="1" ht="23.25" customHeight="1">
      <c r="A4" s="64" t="s">
        <v>1</v>
      </c>
      <c r="B4" s="248">
        <f>Page1!B4</f>
        <v>0</v>
      </c>
      <c r="C4" s="249"/>
      <c r="D4" s="250"/>
      <c r="E4" s="251" t="s">
        <v>3</v>
      </c>
      <c r="F4" s="251"/>
      <c r="G4" s="252">
        <f>Page1!G4</f>
        <v>0</v>
      </c>
      <c r="H4" s="252"/>
      <c r="I4" s="65" t="s">
        <v>5</v>
      </c>
      <c r="J4" s="252">
        <f>Page1!J4</f>
        <v>0</v>
      </c>
      <c r="K4" s="252"/>
      <c r="L4" s="254" t="s">
        <v>7</v>
      </c>
      <c r="M4" s="255">
        <f>Page1!O4</f>
        <v>0</v>
      </c>
      <c r="N4" s="248">
        <f>Page1!N4</f>
        <v>0</v>
      </c>
      <c r="O4" s="258"/>
    </row>
    <row r="5" spans="1:15" s="61" customFormat="1" ht="23.25" customHeight="1">
      <c r="A5" s="66" t="s">
        <v>2</v>
      </c>
      <c r="B5" s="253">
        <f>Page1!B5</f>
        <v>0</v>
      </c>
      <c r="C5" s="253"/>
      <c r="D5" s="253"/>
      <c r="E5" s="273" t="s">
        <v>4</v>
      </c>
      <c r="F5" s="273"/>
      <c r="G5" s="253">
        <f>Page1!G5</f>
        <v>0</v>
      </c>
      <c r="H5" s="253"/>
      <c r="I5" s="67" t="s">
        <v>6</v>
      </c>
      <c r="J5" s="253">
        <f>Page1!J5</f>
        <v>0</v>
      </c>
      <c r="K5" s="253"/>
      <c r="L5" s="256" t="s">
        <v>8</v>
      </c>
      <c r="M5" s="257">
        <f>Page1!O5</f>
        <v>0</v>
      </c>
      <c r="N5" s="212">
        <f>Page1!N5</f>
        <v>0</v>
      </c>
      <c r="O5" s="259"/>
    </row>
    <row r="6" spans="1:15" s="69" customFormat="1" ht="15.75" customHeight="1" thickBot="1">
      <c r="A6" s="269" t="s">
        <v>28</v>
      </c>
      <c r="B6" s="270"/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0"/>
      <c r="O6" s="271"/>
    </row>
    <row r="7" spans="1:15" s="69" customFormat="1" ht="15" customHeight="1">
      <c r="A7" s="280" t="s">
        <v>0</v>
      </c>
      <c r="B7" s="216"/>
      <c r="C7" s="281"/>
      <c r="D7" s="275" t="s">
        <v>18</v>
      </c>
      <c r="E7" s="275"/>
      <c r="F7" s="275"/>
      <c r="G7" s="275"/>
      <c r="H7" s="276" t="s">
        <v>46</v>
      </c>
      <c r="I7" s="277"/>
      <c r="J7" s="277"/>
      <c r="K7" s="274"/>
      <c r="L7" s="276" t="s">
        <v>33</v>
      </c>
      <c r="M7" s="277"/>
      <c r="N7" s="277"/>
      <c r="O7" s="278"/>
    </row>
    <row r="8" spans="1:15" s="69" customFormat="1" ht="15" customHeight="1" thickBot="1">
      <c r="A8" s="268"/>
      <c r="B8" s="199"/>
      <c r="C8" s="200"/>
      <c r="D8" s="34">
        <v>1</v>
      </c>
      <c r="E8" s="34">
        <v>2</v>
      </c>
      <c r="F8" s="34">
        <v>3</v>
      </c>
      <c r="G8" s="34" t="s">
        <v>17</v>
      </c>
      <c r="H8" s="70">
        <v>1</v>
      </c>
      <c r="I8" s="34">
        <v>2</v>
      </c>
      <c r="J8" s="34">
        <v>3</v>
      </c>
      <c r="K8" s="34" t="s">
        <v>17</v>
      </c>
      <c r="L8" s="34">
        <v>1</v>
      </c>
      <c r="M8" s="34">
        <v>2</v>
      </c>
      <c r="N8" s="34">
        <v>3</v>
      </c>
      <c r="O8" s="68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71"/>
      <c r="E9" s="71"/>
      <c r="F9" s="71"/>
      <c r="G9" s="72" t="e">
        <f>AVERAGE(D9:F9)</f>
        <v>#DIV/0!</v>
      </c>
      <c r="H9" s="73"/>
      <c r="I9" s="73"/>
      <c r="J9" s="73"/>
      <c r="K9" s="74" t="e">
        <f>AVERAGE(H9:J9)</f>
        <v>#DIV/0!</v>
      </c>
      <c r="L9" s="73"/>
      <c r="M9" s="73"/>
      <c r="N9" s="73"/>
      <c r="O9" s="75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71"/>
      <c r="E10" s="71"/>
      <c r="F10" s="71"/>
      <c r="G10" s="72" t="e">
        <f t="shared" ref="G10:G38" si="0">AVERAGE(D10:F10)</f>
        <v>#DIV/0!</v>
      </c>
      <c r="H10" s="73"/>
      <c r="I10" s="73"/>
      <c r="J10" s="73"/>
      <c r="K10" s="74" t="e">
        <f t="shared" ref="K10:K38" si="1">AVERAGE(H10:J10)</f>
        <v>#DIV/0!</v>
      </c>
      <c r="L10" s="73"/>
      <c r="M10" s="73"/>
      <c r="N10" s="73"/>
      <c r="O10" s="75" t="e">
        <f t="shared" ref="O10:O38" si="2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71"/>
      <c r="E11" s="71"/>
      <c r="F11" s="71"/>
      <c r="G11" s="72" t="e">
        <f t="shared" si="0"/>
        <v>#DIV/0!</v>
      </c>
      <c r="H11" s="73"/>
      <c r="I11" s="73"/>
      <c r="J11" s="73"/>
      <c r="K11" s="74" t="e">
        <f t="shared" si="1"/>
        <v>#DIV/0!</v>
      </c>
      <c r="L11" s="73"/>
      <c r="M11" s="73"/>
      <c r="N11" s="73"/>
      <c r="O11" s="75" t="e">
        <f t="shared" si="2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71"/>
      <c r="E12" s="71"/>
      <c r="F12" s="71"/>
      <c r="G12" s="72" t="e">
        <f t="shared" si="0"/>
        <v>#DIV/0!</v>
      </c>
      <c r="H12" s="73"/>
      <c r="I12" s="73"/>
      <c r="J12" s="73"/>
      <c r="K12" s="74" t="e">
        <f t="shared" si="1"/>
        <v>#DIV/0!</v>
      </c>
      <c r="L12" s="73"/>
      <c r="M12" s="73"/>
      <c r="N12" s="73"/>
      <c r="O12" s="75" t="e">
        <f t="shared" si="2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71"/>
      <c r="E13" s="71"/>
      <c r="F13" s="71"/>
      <c r="G13" s="72" t="e">
        <f t="shared" si="0"/>
        <v>#DIV/0!</v>
      </c>
      <c r="H13" s="73"/>
      <c r="I13" s="73"/>
      <c r="J13" s="73"/>
      <c r="K13" s="74" t="e">
        <f t="shared" si="1"/>
        <v>#DIV/0!</v>
      </c>
      <c r="L13" s="73"/>
      <c r="M13" s="73"/>
      <c r="N13" s="73"/>
      <c r="O13" s="75" t="e">
        <f t="shared" si="2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71"/>
      <c r="E14" s="71"/>
      <c r="F14" s="71"/>
      <c r="G14" s="72" t="e">
        <f t="shared" si="0"/>
        <v>#DIV/0!</v>
      </c>
      <c r="H14" s="73"/>
      <c r="I14" s="73"/>
      <c r="J14" s="73"/>
      <c r="K14" s="74" t="e">
        <f t="shared" si="1"/>
        <v>#DIV/0!</v>
      </c>
      <c r="L14" s="73"/>
      <c r="M14" s="73"/>
      <c r="N14" s="73"/>
      <c r="O14" s="75" t="e">
        <f t="shared" si="2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71"/>
      <c r="E15" s="71"/>
      <c r="F15" s="71"/>
      <c r="G15" s="72" t="e">
        <f t="shared" si="0"/>
        <v>#DIV/0!</v>
      </c>
      <c r="H15" s="73"/>
      <c r="I15" s="73"/>
      <c r="J15" s="73"/>
      <c r="K15" s="74" t="e">
        <f t="shared" si="1"/>
        <v>#DIV/0!</v>
      </c>
      <c r="L15" s="73"/>
      <c r="M15" s="73"/>
      <c r="N15" s="73"/>
      <c r="O15" s="75" t="e">
        <f t="shared" si="2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71"/>
      <c r="E16" s="71"/>
      <c r="F16" s="71"/>
      <c r="G16" s="72" t="e">
        <f t="shared" si="0"/>
        <v>#DIV/0!</v>
      </c>
      <c r="H16" s="73"/>
      <c r="I16" s="73"/>
      <c r="J16" s="73"/>
      <c r="K16" s="74" t="e">
        <f t="shared" si="1"/>
        <v>#DIV/0!</v>
      </c>
      <c r="L16" s="73"/>
      <c r="M16" s="73"/>
      <c r="N16" s="73"/>
      <c r="O16" s="75" t="e">
        <f t="shared" si="2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71"/>
      <c r="E17" s="71"/>
      <c r="F17" s="71"/>
      <c r="G17" s="72" t="e">
        <f t="shared" si="0"/>
        <v>#DIV/0!</v>
      </c>
      <c r="H17" s="73"/>
      <c r="I17" s="73"/>
      <c r="J17" s="73"/>
      <c r="K17" s="74" t="e">
        <f t="shared" si="1"/>
        <v>#DIV/0!</v>
      </c>
      <c r="L17" s="73"/>
      <c r="M17" s="73"/>
      <c r="N17" s="73"/>
      <c r="O17" s="75" t="e">
        <f t="shared" si="2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71"/>
      <c r="E18" s="71"/>
      <c r="F18" s="71"/>
      <c r="G18" s="72" t="e">
        <f t="shared" si="0"/>
        <v>#DIV/0!</v>
      </c>
      <c r="H18" s="73"/>
      <c r="I18" s="73"/>
      <c r="J18" s="73"/>
      <c r="K18" s="74" t="e">
        <f t="shared" si="1"/>
        <v>#DIV/0!</v>
      </c>
      <c r="L18" s="73"/>
      <c r="M18" s="73"/>
      <c r="N18" s="73"/>
      <c r="O18" s="75" t="e">
        <f t="shared" si="2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71"/>
      <c r="E19" s="71"/>
      <c r="F19" s="71"/>
      <c r="G19" s="72" t="e">
        <f t="shared" si="0"/>
        <v>#DIV/0!</v>
      </c>
      <c r="H19" s="73"/>
      <c r="I19" s="73"/>
      <c r="J19" s="73"/>
      <c r="K19" s="74" t="e">
        <f t="shared" si="1"/>
        <v>#DIV/0!</v>
      </c>
      <c r="L19" s="73"/>
      <c r="M19" s="73"/>
      <c r="N19" s="73"/>
      <c r="O19" s="75" t="e">
        <f t="shared" si="2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71"/>
      <c r="E20" s="71"/>
      <c r="F20" s="71"/>
      <c r="G20" s="72" t="e">
        <f t="shared" si="0"/>
        <v>#DIV/0!</v>
      </c>
      <c r="H20" s="73"/>
      <c r="I20" s="73"/>
      <c r="J20" s="73"/>
      <c r="K20" s="74" t="e">
        <f t="shared" si="1"/>
        <v>#DIV/0!</v>
      </c>
      <c r="L20" s="73"/>
      <c r="M20" s="73"/>
      <c r="N20" s="73"/>
      <c r="O20" s="75" t="e">
        <f t="shared" si="2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71"/>
      <c r="E21" s="71"/>
      <c r="F21" s="71"/>
      <c r="G21" s="72" t="e">
        <f t="shared" si="0"/>
        <v>#DIV/0!</v>
      </c>
      <c r="H21" s="73"/>
      <c r="I21" s="73"/>
      <c r="J21" s="73"/>
      <c r="K21" s="74" t="e">
        <f t="shared" si="1"/>
        <v>#DIV/0!</v>
      </c>
      <c r="L21" s="73"/>
      <c r="M21" s="73"/>
      <c r="N21" s="73"/>
      <c r="O21" s="75" t="e">
        <f t="shared" si="2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71"/>
      <c r="E22" s="71"/>
      <c r="F22" s="71"/>
      <c r="G22" s="72" t="e">
        <f t="shared" si="0"/>
        <v>#DIV/0!</v>
      </c>
      <c r="H22" s="73"/>
      <c r="I22" s="73"/>
      <c r="J22" s="73"/>
      <c r="K22" s="74" t="e">
        <f t="shared" si="1"/>
        <v>#DIV/0!</v>
      </c>
      <c r="L22" s="73"/>
      <c r="M22" s="73"/>
      <c r="N22" s="73"/>
      <c r="O22" s="75" t="e">
        <f t="shared" si="2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71"/>
      <c r="E23" s="71"/>
      <c r="F23" s="71"/>
      <c r="G23" s="72" t="e">
        <f t="shared" si="0"/>
        <v>#DIV/0!</v>
      </c>
      <c r="H23" s="73"/>
      <c r="I23" s="73"/>
      <c r="J23" s="73"/>
      <c r="K23" s="74" t="e">
        <f t="shared" si="1"/>
        <v>#DIV/0!</v>
      </c>
      <c r="L23" s="73"/>
      <c r="M23" s="73"/>
      <c r="N23" s="73"/>
      <c r="O23" s="75" t="e">
        <f t="shared" si="2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71"/>
      <c r="E24" s="71"/>
      <c r="F24" s="71"/>
      <c r="G24" s="72" t="e">
        <f t="shared" si="0"/>
        <v>#DIV/0!</v>
      </c>
      <c r="H24" s="73"/>
      <c r="I24" s="73"/>
      <c r="J24" s="73"/>
      <c r="K24" s="74" t="e">
        <f t="shared" si="1"/>
        <v>#DIV/0!</v>
      </c>
      <c r="L24" s="73"/>
      <c r="M24" s="73"/>
      <c r="N24" s="73"/>
      <c r="O24" s="75" t="e">
        <f t="shared" si="2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71"/>
      <c r="E25" s="71"/>
      <c r="F25" s="71"/>
      <c r="G25" s="72" t="e">
        <f t="shared" si="0"/>
        <v>#DIV/0!</v>
      </c>
      <c r="H25" s="73"/>
      <c r="I25" s="73"/>
      <c r="J25" s="73"/>
      <c r="K25" s="74" t="e">
        <f t="shared" si="1"/>
        <v>#DIV/0!</v>
      </c>
      <c r="L25" s="73"/>
      <c r="M25" s="73"/>
      <c r="N25" s="73"/>
      <c r="O25" s="75" t="e">
        <f t="shared" si="2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71"/>
      <c r="E26" s="71"/>
      <c r="F26" s="71"/>
      <c r="G26" s="72" t="e">
        <f t="shared" si="0"/>
        <v>#DIV/0!</v>
      </c>
      <c r="H26" s="73"/>
      <c r="I26" s="73"/>
      <c r="J26" s="73"/>
      <c r="K26" s="74" t="e">
        <f t="shared" si="1"/>
        <v>#DIV/0!</v>
      </c>
      <c r="L26" s="73"/>
      <c r="M26" s="73"/>
      <c r="N26" s="73"/>
      <c r="O26" s="75" t="e">
        <f t="shared" si="2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71"/>
      <c r="E27" s="71"/>
      <c r="F27" s="71"/>
      <c r="G27" s="72" t="e">
        <f t="shared" si="0"/>
        <v>#DIV/0!</v>
      </c>
      <c r="H27" s="73"/>
      <c r="I27" s="73"/>
      <c r="J27" s="73"/>
      <c r="K27" s="74" t="e">
        <f t="shared" si="1"/>
        <v>#DIV/0!</v>
      </c>
      <c r="L27" s="73"/>
      <c r="M27" s="73"/>
      <c r="N27" s="73"/>
      <c r="O27" s="75" t="e">
        <f t="shared" si="2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71"/>
      <c r="E28" s="71"/>
      <c r="F28" s="71"/>
      <c r="G28" s="72" t="e">
        <f t="shared" si="0"/>
        <v>#DIV/0!</v>
      </c>
      <c r="H28" s="73"/>
      <c r="I28" s="73"/>
      <c r="J28" s="73"/>
      <c r="K28" s="74" t="e">
        <f t="shared" si="1"/>
        <v>#DIV/0!</v>
      </c>
      <c r="L28" s="73"/>
      <c r="M28" s="73"/>
      <c r="N28" s="73"/>
      <c r="O28" s="75" t="e">
        <f t="shared" si="2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71"/>
      <c r="E29" s="71"/>
      <c r="F29" s="71"/>
      <c r="G29" s="72" t="e">
        <f t="shared" si="0"/>
        <v>#DIV/0!</v>
      </c>
      <c r="H29" s="73"/>
      <c r="I29" s="73"/>
      <c r="J29" s="73"/>
      <c r="K29" s="74" t="e">
        <f t="shared" si="1"/>
        <v>#DIV/0!</v>
      </c>
      <c r="L29" s="73"/>
      <c r="M29" s="73"/>
      <c r="N29" s="73"/>
      <c r="O29" s="75" t="e">
        <f t="shared" si="2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71"/>
      <c r="E30" s="71"/>
      <c r="F30" s="71"/>
      <c r="G30" s="72" t="e">
        <f t="shared" si="0"/>
        <v>#DIV/0!</v>
      </c>
      <c r="H30" s="73"/>
      <c r="I30" s="73"/>
      <c r="J30" s="73"/>
      <c r="K30" s="74" t="e">
        <f t="shared" si="1"/>
        <v>#DIV/0!</v>
      </c>
      <c r="L30" s="73"/>
      <c r="M30" s="73"/>
      <c r="N30" s="73"/>
      <c r="O30" s="75" t="e">
        <f t="shared" si="2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71"/>
      <c r="E31" s="71"/>
      <c r="F31" s="71"/>
      <c r="G31" s="72" t="e">
        <f t="shared" si="0"/>
        <v>#DIV/0!</v>
      </c>
      <c r="H31" s="73"/>
      <c r="I31" s="73"/>
      <c r="J31" s="73"/>
      <c r="K31" s="74" t="e">
        <f t="shared" si="1"/>
        <v>#DIV/0!</v>
      </c>
      <c r="L31" s="73"/>
      <c r="M31" s="73"/>
      <c r="N31" s="73"/>
      <c r="O31" s="75" t="e">
        <f t="shared" si="2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71"/>
      <c r="E32" s="71"/>
      <c r="F32" s="71"/>
      <c r="G32" s="72" t="e">
        <f t="shared" si="0"/>
        <v>#DIV/0!</v>
      </c>
      <c r="H32" s="73"/>
      <c r="I32" s="73"/>
      <c r="J32" s="73"/>
      <c r="K32" s="74" t="e">
        <f t="shared" si="1"/>
        <v>#DIV/0!</v>
      </c>
      <c r="L32" s="73"/>
      <c r="M32" s="73"/>
      <c r="N32" s="73"/>
      <c r="O32" s="75" t="e">
        <f t="shared" si="2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71"/>
      <c r="E33" s="71"/>
      <c r="F33" s="71"/>
      <c r="G33" s="72" t="e">
        <f t="shared" si="0"/>
        <v>#DIV/0!</v>
      </c>
      <c r="H33" s="73"/>
      <c r="I33" s="73"/>
      <c r="J33" s="73"/>
      <c r="K33" s="74" t="e">
        <f t="shared" si="1"/>
        <v>#DIV/0!</v>
      </c>
      <c r="L33" s="73"/>
      <c r="M33" s="73"/>
      <c r="N33" s="73"/>
      <c r="O33" s="75" t="e">
        <f t="shared" si="2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71"/>
      <c r="E34" s="71"/>
      <c r="F34" s="71"/>
      <c r="G34" s="72" t="e">
        <f t="shared" si="0"/>
        <v>#DIV/0!</v>
      </c>
      <c r="H34" s="73"/>
      <c r="I34" s="73"/>
      <c r="J34" s="73"/>
      <c r="K34" s="74" t="e">
        <f t="shared" si="1"/>
        <v>#DIV/0!</v>
      </c>
      <c r="L34" s="73"/>
      <c r="M34" s="73"/>
      <c r="N34" s="73"/>
      <c r="O34" s="75" t="e">
        <f t="shared" si="2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71"/>
      <c r="E35" s="71"/>
      <c r="F35" s="71"/>
      <c r="G35" s="72" t="e">
        <f t="shared" si="0"/>
        <v>#DIV/0!</v>
      </c>
      <c r="H35" s="73"/>
      <c r="I35" s="73"/>
      <c r="J35" s="73"/>
      <c r="K35" s="74" t="e">
        <f t="shared" si="1"/>
        <v>#DIV/0!</v>
      </c>
      <c r="L35" s="73"/>
      <c r="M35" s="73"/>
      <c r="N35" s="73"/>
      <c r="O35" s="75" t="e">
        <f t="shared" si="2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71"/>
      <c r="E36" s="71"/>
      <c r="F36" s="71"/>
      <c r="G36" s="72" t="e">
        <f t="shared" si="0"/>
        <v>#DIV/0!</v>
      </c>
      <c r="H36" s="73"/>
      <c r="I36" s="73"/>
      <c r="J36" s="73"/>
      <c r="K36" s="74" t="e">
        <f t="shared" si="1"/>
        <v>#DIV/0!</v>
      </c>
      <c r="L36" s="73"/>
      <c r="M36" s="73"/>
      <c r="N36" s="73"/>
      <c r="O36" s="75" t="e">
        <f t="shared" si="2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71"/>
      <c r="E37" s="71"/>
      <c r="F37" s="71"/>
      <c r="G37" s="72" t="e">
        <f t="shared" si="0"/>
        <v>#DIV/0!</v>
      </c>
      <c r="H37" s="73"/>
      <c r="I37" s="73"/>
      <c r="J37" s="73"/>
      <c r="K37" s="74" t="e">
        <f t="shared" si="1"/>
        <v>#DIV/0!</v>
      </c>
      <c r="L37" s="73"/>
      <c r="M37" s="73"/>
      <c r="N37" s="73"/>
      <c r="O37" s="75" t="e">
        <f t="shared" si="2"/>
        <v>#DIV/0!</v>
      </c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71"/>
      <c r="E38" s="71"/>
      <c r="F38" s="71"/>
      <c r="G38" s="72" t="e">
        <f t="shared" si="0"/>
        <v>#DIV/0!</v>
      </c>
      <c r="H38" s="73"/>
      <c r="I38" s="73"/>
      <c r="J38" s="73"/>
      <c r="K38" s="74" t="e">
        <f t="shared" si="1"/>
        <v>#DIV/0!</v>
      </c>
      <c r="L38" s="73"/>
      <c r="M38" s="73"/>
      <c r="N38" s="73"/>
      <c r="O38" s="75" t="e">
        <f t="shared" si="2"/>
        <v>#DIV/0!</v>
      </c>
    </row>
    <row r="39" spans="1:15" s="38" customFormat="1" ht="19.5" customHeight="1">
      <c r="A39" s="47"/>
      <c r="B39" s="48"/>
      <c r="C39" s="48" t="s">
        <v>23</v>
      </c>
      <c r="D39" s="283" t="e">
        <f>AVERAGE(G9:G38)</f>
        <v>#DIV/0!</v>
      </c>
      <c r="E39" s="239"/>
      <c r="F39" s="239"/>
      <c r="G39" s="240"/>
      <c r="H39" s="241" t="e">
        <f>AVERAGE(K9:K38)</f>
        <v>#DIV/0!</v>
      </c>
      <c r="I39" s="242"/>
      <c r="J39" s="242"/>
      <c r="K39" s="243"/>
      <c r="L39" s="241" t="e">
        <f>AVERAGE(O9:O38)</f>
        <v>#DIV/0!</v>
      </c>
      <c r="M39" s="242"/>
      <c r="N39" s="242"/>
      <c r="O39" s="244"/>
    </row>
    <row r="40" spans="1:15" s="38" customFormat="1" ht="19.5" customHeight="1">
      <c r="A40" s="49"/>
      <c r="B40" s="50"/>
      <c r="C40" s="51" t="s">
        <v>24</v>
      </c>
      <c r="D40" s="284" t="e">
        <f>MIN(G9:G38)</f>
        <v>#DIV/0!</v>
      </c>
      <c r="E40" s="237"/>
      <c r="F40" s="237"/>
      <c r="G40" s="238"/>
      <c r="H40" s="245" t="e">
        <f>MIN(K9:K38)</f>
        <v>#DIV/0!</v>
      </c>
      <c r="I40" s="246"/>
      <c r="J40" s="246"/>
      <c r="K40" s="272"/>
      <c r="L40" s="245" t="e">
        <f>MIN(O9:O38)</f>
        <v>#DIV/0!</v>
      </c>
      <c r="M40" s="246"/>
      <c r="N40" s="246"/>
      <c r="O40" s="247"/>
    </row>
    <row r="41" spans="1:15" s="38" customFormat="1" ht="19.5" customHeight="1" thickBot="1">
      <c r="A41" s="52"/>
      <c r="B41" s="53"/>
      <c r="C41" s="54" t="s">
        <v>25</v>
      </c>
      <c r="D41" s="282" t="e">
        <f>MAX(G9:G38)</f>
        <v>#DIV/0!</v>
      </c>
      <c r="E41" s="260"/>
      <c r="F41" s="260"/>
      <c r="G41" s="261"/>
      <c r="H41" s="262" t="e">
        <f>MAX(K9:K38)</f>
        <v>#DIV/0!</v>
      </c>
      <c r="I41" s="263"/>
      <c r="J41" s="263"/>
      <c r="K41" s="279"/>
      <c r="L41" s="262" t="e">
        <f>MAX(O9:O38)</f>
        <v>#DIV/0!</v>
      </c>
      <c r="M41" s="263"/>
      <c r="N41" s="263"/>
      <c r="O41" s="264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  <c r="O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42</v>
      </c>
      <c r="N45" s="216"/>
      <c r="O45" s="37"/>
    </row>
    <row r="46" spans="1:15" s="40" customFormat="1" ht="16.5" customHeight="1">
      <c r="A46" s="215"/>
      <c r="B46" s="215"/>
      <c r="C46" s="35"/>
      <c r="D46" s="37"/>
      <c r="E46" s="37"/>
      <c r="F46" s="37"/>
      <c r="G46" s="37"/>
      <c r="H46" s="37"/>
      <c r="I46" s="37"/>
      <c r="J46" s="37"/>
      <c r="K46" s="37"/>
      <c r="L46" s="37"/>
      <c r="M46" s="216"/>
      <c r="N46" s="216"/>
      <c r="O46" s="37"/>
    </row>
  </sheetData>
  <dataConsolidate/>
  <mergeCells count="42"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6:C6"/>
    <mergeCell ref="D6:O6"/>
    <mergeCell ref="A7:C8"/>
    <mergeCell ref="D7:G7"/>
    <mergeCell ref="H7:K7"/>
    <mergeCell ref="L7:O7"/>
    <mergeCell ref="A1:M1"/>
    <mergeCell ref="N1:O1"/>
    <mergeCell ref="A2:M3"/>
    <mergeCell ref="N2:O2"/>
    <mergeCell ref="B5:D5"/>
    <mergeCell ref="E5:F5"/>
    <mergeCell ref="G5:H5"/>
    <mergeCell ref="J5:K5"/>
    <mergeCell ref="L5:M5"/>
    <mergeCell ref="N5:O5"/>
    <mergeCell ref="B4:D4"/>
    <mergeCell ref="E4:F4"/>
    <mergeCell ref="G4:H4"/>
    <mergeCell ref="J4:K4"/>
    <mergeCell ref="L4:M4"/>
    <mergeCell ref="N4:O4"/>
    <mergeCell ref="B42:C42"/>
    <mergeCell ref="D42:E42"/>
    <mergeCell ref="M42:N42"/>
    <mergeCell ref="B43:C43"/>
    <mergeCell ref="M43:N43"/>
    <mergeCell ref="A46:B46"/>
    <mergeCell ref="M46:N46"/>
    <mergeCell ref="A44:C44"/>
    <mergeCell ref="H44:J44"/>
    <mergeCell ref="A45:B45"/>
    <mergeCell ref="M45:N45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5"/>
  <sheetViews>
    <sheetView view="pageBreakPreview" zoomScaleNormal="85" zoomScaleSheetLayoutView="100" workbookViewId="0">
      <selection activeCell="B4" sqref="B4:D4"/>
    </sheetView>
  </sheetViews>
  <sheetFormatPr defaultColWidth="9.140625" defaultRowHeight="12.75"/>
  <cols>
    <col min="1" max="3" width="14" style="2" customWidth="1"/>
    <col min="4" max="15" width="14.28515625" style="2" customWidth="1"/>
    <col min="16" max="16384" width="9.140625" style="2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s="13" customFormat="1" ht="23.25" customHeight="1">
      <c r="A4" s="82" t="s">
        <v>1</v>
      </c>
      <c r="B4" s="248">
        <f>Page1!B4</f>
        <v>0</v>
      </c>
      <c r="C4" s="249"/>
      <c r="D4" s="250"/>
      <c r="E4" s="299" t="s">
        <v>3</v>
      </c>
      <c r="F4" s="300"/>
      <c r="G4" s="252">
        <f>Page1!G4</f>
        <v>0</v>
      </c>
      <c r="H4" s="252"/>
      <c r="I4" s="17" t="s">
        <v>5</v>
      </c>
      <c r="J4" s="252">
        <f>Page1!J4</f>
        <v>0</v>
      </c>
      <c r="K4" s="252"/>
      <c r="L4" s="17" t="s">
        <v>7</v>
      </c>
      <c r="M4" s="301">
        <f>Page1!N4</f>
        <v>0</v>
      </c>
      <c r="N4" s="302"/>
      <c r="O4" s="303"/>
    </row>
    <row r="5" spans="1:15" s="1" customFormat="1" ht="23.25" customHeight="1">
      <c r="A5" s="83" t="s">
        <v>2</v>
      </c>
      <c r="B5" s="253">
        <f>Page1!B5</f>
        <v>0</v>
      </c>
      <c r="C5" s="253"/>
      <c r="D5" s="253"/>
      <c r="E5" s="304" t="s">
        <v>4</v>
      </c>
      <c r="F5" s="305"/>
      <c r="G5" s="253">
        <f>Page1!G5</f>
        <v>0</v>
      </c>
      <c r="H5" s="253"/>
      <c r="I5" s="18" t="s">
        <v>6</v>
      </c>
      <c r="J5" s="253">
        <f>Page1!J5</f>
        <v>0</v>
      </c>
      <c r="K5" s="253"/>
      <c r="L5" s="14" t="s">
        <v>8</v>
      </c>
      <c r="M5" s="306">
        <f>Page1!N5</f>
        <v>0</v>
      </c>
      <c r="N5" s="307"/>
      <c r="O5" s="308"/>
    </row>
    <row r="6" spans="1:15" s="11" customFormat="1" ht="15.75" customHeight="1" thickBot="1">
      <c r="A6" s="317" t="s">
        <v>39</v>
      </c>
      <c r="B6" s="286"/>
      <c r="C6" s="318"/>
      <c r="D6" s="285"/>
      <c r="E6" s="286"/>
      <c r="F6" s="286"/>
      <c r="G6" s="286"/>
      <c r="H6" s="286"/>
      <c r="I6" s="286"/>
      <c r="J6" s="286"/>
      <c r="K6" s="318"/>
      <c r="L6" s="285"/>
      <c r="M6" s="286"/>
      <c r="N6" s="286"/>
      <c r="O6" s="287"/>
    </row>
    <row r="7" spans="1:15" s="11" customFormat="1" ht="39.75" customHeight="1">
      <c r="A7" s="288" t="s">
        <v>0</v>
      </c>
      <c r="B7" s="289"/>
      <c r="C7" s="290"/>
      <c r="D7" s="294" t="s">
        <v>32</v>
      </c>
      <c r="E7" s="267"/>
      <c r="F7" s="294" t="s">
        <v>37</v>
      </c>
      <c r="G7" s="267"/>
      <c r="H7" s="294" t="s">
        <v>31</v>
      </c>
      <c r="I7" s="267"/>
      <c r="J7" s="295" t="s">
        <v>38</v>
      </c>
      <c r="K7" s="296"/>
      <c r="L7" s="248" t="s">
        <v>30</v>
      </c>
      <c r="M7" s="249"/>
      <c r="N7" s="249"/>
      <c r="O7" s="258"/>
    </row>
    <row r="8" spans="1:15" ht="17.25" customHeight="1" thickBot="1">
      <c r="A8" s="291"/>
      <c r="B8" s="292"/>
      <c r="C8" s="293"/>
      <c r="D8" s="198"/>
      <c r="E8" s="200"/>
      <c r="F8" s="198"/>
      <c r="G8" s="200"/>
      <c r="H8" s="198"/>
      <c r="I8" s="200"/>
      <c r="J8" s="297"/>
      <c r="K8" s="298"/>
      <c r="L8" s="80">
        <v>1</v>
      </c>
      <c r="M8" s="80">
        <v>2</v>
      </c>
      <c r="N8" s="80">
        <v>3</v>
      </c>
      <c r="O8" s="81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309"/>
      <c r="E9" s="310"/>
      <c r="F9" s="309"/>
      <c r="G9" s="310"/>
      <c r="H9" s="309"/>
      <c r="I9" s="310"/>
      <c r="J9" s="311"/>
      <c r="K9" s="312"/>
      <c r="L9" s="30"/>
      <c r="M9" s="27"/>
      <c r="N9" s="27"/>
      <c r="O9" s="19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313"/>
      <c r="E10" s="314"/>
      <c r="F10" s="313"/>
      <c r="G10" s="314"/>
      <c r="H10" s="313"/>
      <c r="I10" s="314"/>
      <c r="J10" s="315"/>
      <c r="K10" s="316"/>
      <c r="L10" s="30"/>
      <c r="M10" s="27"/>
      <c r="N10" s="27"/>
      <c r="O10" s="19" t="e">
        <f t="shared" ref="O10:O38" si="0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313"/>
      <c r="E11" s="314"/>
      <c r="F11" s="313"/>
      <c r="G11" s="314"/>
      <c r="H11" s="313"/>
      <c r="I11" s="314"/>
      <c r="J11" s="315"/>
      <c r="K11" s="316"/>
      <c r="L11" s="30"/>
      <c r="M11" s="27"/>
      <c r="N11" s="27"/>
      <c r="O11" s="19" t="e">
        <f t="shared" si="0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313"/>
      <c r="E12" s="314"/>
      <c r="F12" s="313"/>
      <c r="G12" s="314"/>
      <c r="H12" s="313"/>
      <c r="I12" s="314"/>
      <c r="J12" s="315"/>
      <c r="K12" s="316"/>
      <c r="L12" s="29"/>
      <c r="M12" s="28"/>
      <c r="N12" s="28"/>
      <c r="O12" s="19" t="e">
        <f t="shared" si="0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313"/>
      <c r="E13" s="314"/>
      <c r="F13" s="313"/>
      <c r="G13" s="314"/>
      <c r="H13" s="313"/>
      <c r="I13" s="314"/>
      <c r="J13" s="315"/>
      <c r="K13" s="316"/>
      <c r="L13" s="30"/>
      <c r="M13" s="27"/>
      <c r="N13" s="27"/>
      <c r="O13" s="19" t="e">
        <f t="shared" si="0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313"/>
      <c r="E14" s="314"/>
      <c r="F14" s="313"/>
      <c r="G14" s="314"/>
      <c r="H14" s="313"/>
      <c r="I14" s="314"/>
      <c r="J14" s="315"/>
      <c r="K14" s="316"/>
      <c r="L14" s="30"/>
      <c r="M14" s="27"/>
      <c r="N14" s="27"/>
      <c r="O14" s="19" t="e">
        <f t="shared" si="0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313"/>
      <c r="E15" s="314"/>
      <c r="F15" s="313"/>
      <c r="G15" s="314"/>
      <c r="H15" s="313"/>
      <c r="I15" s="314"/>
      <c r="J15" s="315"/>
      <c r="K15" s="316"/>
      <c r="L15" s="30"/>
      <c r="M15" s="27"/>
      <c r="N15" s="27"/>
      <c r="O15" s="19" t="e">
        <f t="shared" si="0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313"/>
      <c r="E16" s="314"/>
      <c r="F16" s="313"/>
      <c r="G16" s="314"/>
      <c r="H16" s="313"/>
      <c r="I16" s="314"/>
      <c r="J16" s="315"/>
      <c r="K16" s="316"/>
      <c r="L16" s="30"/>
      <c r="M16" s="27"/>
      <c r="N16" s="27"/>
      <c r="O16" s="19" t="e">
        <f t="shared" si="0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313"/>
      <c r="E17" s="314"/>
      <c r="F17" s="313"/>
      <c r="G17" s="314"/>
      <c r="H17" s="313"/>
      <c r="I17" s="314"/>
      <c r="J17" s="315"/>
      <c r="K17" s="316"/>
      <c r="L17" s="30"/>
      <c r="M17" s="27"/>
      <c r="N17" s="27"/>
      <c r="O17" s="19" t="e">
        <f t="shared" si="0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313"/>
      <c r="E18" s="314"/>
      <c r="F18" s="313"/>
      <c r="G18" s="314"/>
      <c r="H18" s="313"/>
      <c r="I18" s="314"/>
      <c r="J18" s="315"/>
      <c r="K18" s="316"/>
      <c r="L18" s="30"/>
      <c r="M18" s="27"/>
      <c r="N18" s="27"/>
      <c r="O18" s="19" t="e">
        <f t="shared" si="0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313"/>
      <c r="E19" s="314"/>
      <c r="F19" s="313"/>
      <c r="G19" s="314"/>
      <c r="H19" s="313"/>
      <c r="I19" s="314"/>
      <c r="J19" s="315"/>
      <c r="K19" s="316"/>
      <c r="L19" s="30"/>
      <c r="M19" s="27"/>
      <c r="N19" s="27"/>
      <c r="O19" s="19" t="e">
        <f t="shared" si="0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313"/>
      <c r="E20" s="314"/>
      <c r="F20" s="313"/>
      <c r="G20" s="314"/>
      <c r="H20" s="313"/>
      <c r="I20" s="314"/>
      <c r="J20" s="315"/>
      <c r="K20" s="316"/>
      <c r="L20" s="30"/>
      <c r="M20" s="27"/>
      <c r="N20" s="27"/>
      <c r="O20" s="19" t="e">
        <f t="shared" si="0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313"/>
      <c r="E21" s="314"/>
      <c r="F21" s="313"/>
      <c r="G21" s="314"/>
      <c r="H21" s="313"/>
      <c r="I21" s="314"/>
      <c r="J21" s="315"/>
      <c r="K21" s="316"/>
      <c r="L21" s="30"/>
      <c r="M21" s="27"/>
      <c r="N21" s="27"/>
      <c r="O21" s="19" t="e">
        <f t="shared" si="0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313"/>
      <c r="E22" s="314"/>
      <c r="F22" s="313"/>
      <c r="G22" s="314"/>
      <c r="H22" s="313"/>
      <c r="I22" s="314"/>
      <c r="J22" s="315"/>
      <c r="K22" s="316"/>
      <c r="L22" s="30"/>
      <c r="M22" s="27"/>
      <c r="N22" s="27"/>
      <c r="O22" s="19" t="e">
        <f t="shared" si="0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313"/>
      <c r="E23" s="314"/>
      <c r="F23" s="313"/>
      <c r="G23" s="314"/>
      <c r="H23" s="313"/>
      <c r="I23" s="314"/>
      <c r="J23" s="315"/>
      <c r="K23" s="316"/>
      <c r="L23" s="30"/>
      <c r="M23" s="27"/>
      <c r="N23" s="27"/>
      <c r="O23" s="19" t="e">
        <f t="shared" si="0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313"/>
      <c r="E24" s="314"/>
      <c r="F24" s="313"/>
      <c r="G24" s="314"/>
      <c r="H24" s="313"/>
      <c r="I24" s="314"/>
      <c r="J24" s="315"/>
      <c r="K24" s="316"/>
      <c r="L24" s="30"/>
      <c r="M24" s="27"/>
      <c r="N24" s="27"/>
      <c r="O24" s="19" t="e">
        <f t="shared" si="0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313"/>
      <c r="E25" s="314"/>
      <c r="F25" s="313"/>
      <c r="G25" s="314"/>
      <c r="H25" s="313"/>
      <c r="I25" s="314"/>
      <c r="J25" s="315"/>
      <c r="K25" s="316"/>
      <c r="L25" s="29"/>
      <c r="M25" s="28"/>
      <c r="N25" s="28"/>
      <c r="O25" s="19" t="e">
        <f t="shared" si="0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313"/>
      <c r="E26" s="314"/>
      <c r="F26" s="313"/>
      <c r="G26" s="314"/>
      <c r="H26" s="313"/>
      <c r="I26" s="314"/>
      <c r="J26" s="315"/>
      <c r="K26" s="316"/>
      <c r="L26" s="30"/>
      <c r="M26" s="27"/>
      <c r="N26" s="27"/>
      <c r="O26" s="19" t="e">
        <f t="shared" si="0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313"/>
      <c r="E27" s="314"/>
      <c r="F27" s="313"/>
      <c r="G27" s="314"/>
      <c r="H27" s="313"/>
      <c r="I27" s="314"/>
      <c r="J27" s="315"/>
      <c r="K27" s="316"/>
      <c r="L27" s="30"/>
      <c r="M27" s="27"/>
      <c r="N27" s="27"/>
      <c r="O27" s="19" t="e">
        <f t="shared" si="0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313"/>
      <c r="E28" s="314"/>
      <c r="F28" s="313"/>
      <c r="G28" s="314"/>
      <c r="H28" s="313"/>
      <c r="I28" s="314"/>
      <c r="J28" s="315"/>
      <c r="K28" s="316"/>
      <c r="L28" s="30"/>
      <c r="M28" s="27"/>
      <c r="N28" s="27"/>
      <c r="O28" s="19" t="e">
        <f t="shared" si="0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313"/>
      <c r="E29" s="314"/>
      <c r="F29" s="313"/>
      <c r="G29" s="314"/>
      <c r="H29" s="313"/>
      <c r="I29" s="314"/>
      <c r="J29" s="315"/>
      <c r="K29" s="316"/>
      <c r="L29" s="30"/>
      <c r="M29" s="27"/>
      <c r="N29" s="27"/>
      <c r="O29" s="19" t="e">
        <f t="shared" si="0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313"/>
      <c r="E30" s="314"/>
      <c r="F30" s="313"/>
      <c r="G30" s="314"/>
      <c r="H30" s="313"/>
      <c r="I30" s="314"/>
      <c r="J30" s="315"/>
      <c r="K30" s="316"/>
      <c r="L30" s="30"/>
      <c r="M30" s="27"/>
      <c r="N30" s="27"/>
      <c r="O30" s="19" t="e">
        <f t="shared" si="0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313"/>
      <c r="E31" s="314"/>
      <c r="F31" s="313"/>
      <c r="G31" s="314"/>
      <c r="H31" s="313"/>
      <c r="I31" s="314"/>
      <c r="J31" s="315"/>
      <c r="K31" s="316"/>
      <c r="L31" s="30"/>
      <c r="M31" s="27"/>
      <c r="N31" s="27"/>
      <c r="O31" s="19" t="e">
        <f t="shared" si="0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313"/>
      <c r="E32" s="314"/>
      <c r="F32" s="313"/>
      <c r="G32" s="314"/>
      <c r="H32" s="313"/>
      <c r="I32" s="314"/>
      <c r="J32" s="315"/>
      <c r="K32" s="316"/>
      <c r="L32" s="30"/>
      <c r="M32" s="27"/>
      <c r="N32" s="27"/>
      <c r="O32" s="19" t="e">
        <f t="shared" si="0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313"/>
      <c r="E33" s="314"/>
      <c r="F33" s="313"/>
      <c r="G33" s="314"/>
      <c r="H33" s="313"/>
      <c r="I33" s="314"/>
      <c r="J33" s="315"/>
      <c r="K33" s="316"/>
      <c r="L33" s="30"/>
      <c r="M33" s="27"/>
      <c r="N33" s="27"/>
      <c r="O33" s="19" t="e">
        <f t="shared" si="0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313"/>
      <c r="E34" s="314"/>
      <c r="F34" s="313"/>
      <c r="G34" s="314"/>
      <c r="H34" s="313"/>
      <c r="I34" s="314"/>
      <c r="J34" s="315"/>
      <c r="K34" s="316"/>
      <c r="L34" s="30"/>
      <c r="M34" s="27"/>
      <c r="N34" s="27"/>
      <c r="O34" s="19" t="e">
        <f t="shared" si="0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313"/>
      <c r="E35" s="314"/>
      <c r="F35" s="313"/>
      <c r="G35" s="314"/>
      <c r="H35" s="313"/>
      <c r="I35" s="314"/>
      <c r="J35" s="315"/>
      <c r="K35" s="316"/>
      <c r="L35" s="30"/>
      <c r="M35" s="27"/>
      <c r="N35" s="27"/>
      <c r="O35" s="19" t="e">
        <f t="shared" si="0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313"/>
      <c r="E36" s="314"/>
      <c r="F36" s="313"/>
      <c r="G36" s="314"/>
      <c r="H36" s="313"/>
      <c r="I36" s="314"/>
      <c r="J36" s="315"/>
      <c r="K36" s="316"/>
      <c r="L36" s="30"/>
      <c r="M36" s="27"/>
      <c r="N36" s="27"/>
      <c r="O36" s="19" t="e">
        <f t="shared" si="0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313"/>
      <c r="E37" s="314"/>
      <c r="F37" s="313"/>
      <c r="G37" s="314"/>
      <c r="H37" s="313"/>
      <c r="I37" s="314"/>
      <c r="J37" s="315"/>
      <c r="K37" s="316"/>
      <c r="L37" s="30"/>
      <c r="M37" s="27"/>
      <c r="N37" s="27"/>
      <c r="O37" s="19" t="e">
        <f t="shared" si="0"/>
        <v>#DIV/0!</v>
      </c>
    </row>
    <row r="38" spans="1:15" s="11" customFormat="1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319"/>
      <c r="E38" s="320"/>
      <c r="F38" s="319"/>
      <c r="G38" s="320"/>
      <c r="H38" s="319"/>
      <c r="I38" s="320"/>
      <c r="J38" s="321"/>
      <c r="K38" s="322"/>
      <c r="L38" s="29"/>
      <c r="M38" s="28"/>
      <c r="N38" s="28"/>
      <c r="O38" s="19" t="e">
        <f t="shared" si="0"/>
        <v>#DIV/0!</v>
      </c>
    </row>
    <row r="39" spans="1:15" s="11" customFormat="1" ht="19.5" customHeight="1">
      <c r="A39" s="3"/>
      <c r="B39" s="4"/>
      <c r="C39" s="4" t="s">
        <v>23</v>
      </c>
      <c r="D39" s="332" t="e">
        <f>AVERAGE(D9:E38)</f>
        <v>#DIV/0!</v>
      </c>
      <c r="E39" s="333"/>
      <c r="F39" s="332" t="e">
        <f>AVERAGE(F9:G38)</f>
        <v>#DIV/0!</v>
      </c>
      <c r="G39" s="333"/>
      <c r="H39" s="332" t="e">
        <f>AVERAGE(H9:I38)</f>
        <v>#DIV/0!</v>
      </c>
      <c r="I39" s="333"/>
      <c r="J39" s="334" t="e">
        <f>AVERAGE(J9:K38)</f>
        <v>#DIV/0!</v>
      </c>
      <c r="K39" s="335"/>
      <c r="L39" s="336" t="e">
        <f>AVERAGE(O9:O38)</f>
        <v>#DIV/0!</v>
      </c>
      <c r="M39" s="337"/>
      <c r="N39" s="337"/>
      <c r="O39" s="338"/>
    </row>
    <row r="40" spans="1:15" s="11" customFormat="1" ht="19.5" customHeight="1">
      <c r="A40" s="5"/>
      <c r="B40" s="6"/>
      <c r="C40" s="7" t="s">
        <v>24</v>
      </c>
      <c r="D40" s="339">
        <f>MIN(D9:E38)</f>
        <v>0</v>
      </c>
      <c r="E40" s="340"/>
      <c r="F40" s="341">
        <f>MIN(F9:G38)</f>
        <v>0</v>
      </c>
      <c r="G40" s="342"/>
      <c r="H40" s="341">
        <f>MIN(H9:I38)</f>
        <v>0</v>
      </c>
      <c r="I40" s="342"/>
      <c r="J40" s="343">
        <f>MIN(J9:K38)</f>
        <v>0</v>
      </c>
      <c r="K40" s="344"/>
      <c r="L40" s="345" t="e">
        <f>MIN(O9:O38)</f>
        <v>#DIV/0!</v>
      </c>
      <c r="M40" s="346"/>
      <c r="N40" s="346"/>
      <c r="O40" s="347"/>
    </row>
    <row r="41" spans="1:15" s="11" customFormat="1" ht="19.5" customHeight="1" thickBot="1">
      <c r="A41" s="8"/>
      <c r="B41" s="9"/>
      <c r="C41" s="10" t="s">
        <v>25</v>
      </c>
      <c r="D41" s="323">
        <f>MAX(D9:E38)</f>
        <v>0</v>
      </c>
      <c r="E41" s="324"/>
      <c r="F41" s="325">
        <f>MAX(F9:G38)</f>
        <v>0</v>
      </c>
      <c r="G41" s="326"/>
      <c r="H41" s="325">
        <f>MAX(H9:I38)</f>
        <v>0</v>
      </c>
      <c r="I41" s="326"/>
      <c r="J41" s="327">
        <f>MAX(J9:K38)</f>
        <v>0</v>
      </c>
      <c r="K41" s="328"/>
      <c r="L41" s="329" t="e">
        <f>MAX(O9:O38)</f>
        <v>#DIV/0!</v>
      </c>
      <c r="M41" s="330"/>
      <c r="N41" s="330"/>
      <c r="O41" s="331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  <c r="O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43</v>
      </c>
      <c r="N45" s="216"/>
      <c r="O45" s="37"/>
    </row>
  </sheetData>
  <dataConsolidate/>
  <mergeCells count="167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13:E13"/>
    <mergeCell ref="F13:G13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9:E9"/>
    <mergeCell ref="F9:G9"/>
    <mergeCell ref="H9:I9"/>
    <mergeCell ref="J9:K9"/>
    <mergeCell ref="D10:E10"/>
    <mergeCell ref="F10:G10"/>
    <mergeCell ref="H10:I10"/>
    <mergeCell ref="J10:K10"/>
    <mergeCell ref="A6:C6"/>
    <mergeCell ref="D6:K6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M4:O4"/>
    <mergeCell ref="B5:D5"/>
    <mergeCell ref="E5:F5"/>
    <mergeCell ref="G5:H5"/>
    <mergeCell ref="J5:K5"/>
    <mergeCell ref="M5:O5"/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</mergeCells>
  <conditionalFormatting sqref="D9:D38 D39:E41">
    <cfRule type="cellIs" dxfId="10" priority="15" operator="notBetween">
      <formula>90.6</formula>
      <formula>98.6</formula>
    </cfRule>
  </conditionalFormatting>
  <conditionalFormatting sqref="F9:F38 F39:G41">
    <cfRule type="cellIs" dxfId="9" priority="14" operator="notBetween">
      <formula>-5.1</formula>
      <formula>2.9</formula>
    </cfRule>
  </conditionalFormatting>
  <conditionalFormatting sqref="H9:H38 H39:I41">
    <cfRule type="cellIs" dxfId="8" priority="13" operator="notBetween">
      <formula>-3.6</formula>
      <formula>4.4</formula>
    </cfRule>
  </conditionalFormatting>
  <conditionalFormatting sqref="J9:J38 J39:K41">
    <cfRule type="cellIs" dxfId="7" priority="12" operator="greaterThan">
      <formula>5</formula>
    </cfRule>
  </conditionalFormatting>
  <conditionalFormatting sqref="L9:O41">
    <cfRule type="cellIs" dxfId="6" priority="1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85" zoomScaleSheetLayoutView="100" workbookViewId="0">
      <selection activeCell="H36" sqref="H36:I36"/>
    </sheetView>
  </sheetViews>
  <sheetFormatPr defaultColWidth="9.140625" defaultRowHeight="12.75"/>
  <cols>
    <col min="1" max="3" width="13.85546875" style="2" customWidth="1"/>
    <col min="4" max="15" width="14.28515625" style="2" customWidth="1"/>
    <col min="16" max="16384" width="9.140625" style="2"/>
  </cols>
  <sheetData>
    <row r="1" spans="1:15" s="63" customFormat="1" ht="15.75" customHeight="1">
      <c r="A1" s="235" t="s">
        <v>10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29" t="s">
        <v>26</v>
      </c>
      <c r="O1" s="229"/>
    </row>
    <row r="2" spans="1:15" s="63" customFormat="1" ht="15.75" customHeight="1">
      <c r="A2" s="236" t="s">
        <v>11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0" t="s">
        <v>27</v>
      </c>
      <c r="O2" s="230"/>
    </row>
    <row r="3" spans="1:15" s="63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39" t="s">
        <v>19</v>
      </c>
      <c r="O3" s="33"/>
    </row>
    <row r="4" spans="1:15" ht="23.25" customHeight="1">
      <c r="A4" s="16" t="s">
        <v>1</v>
      </c>
      <c r="B4" s="248">
        <f>Page1!B4</f>
        <v>0</v>
      </c>
      <c r="C4" s="249"/>
      <c r="D4" s="250"/>
      <c r="E4" s="299" t="s">
        <v>3</v>
      </c>
      <c r="F4" s="300"/>
      <c r="G4" s="252">
        <f>Page1!G4</f>
        <v>0</v>
      </c>
      <c r="H4" s="252"/>
      <c r="I4" s="17" t="s">
        <v>5</v>
      </c>
      <c r="J4" s="252">
        <f>Page1!J4</f>
        <v>0</v>
      </c>
      <c r="K4" s="252"/>
      <c r="L4" s="17" t="s">
        <v>7</v>
      </c>
      <c r="M4" s="301">
        <f>Page1!N4</f>
        <v>0</v>
      </c>
      <c r="N4" s="302"/>
      <c r="O4" s="303"/>
    </row>
    <row r="5" spans="1:15" ht="23.25" customHeight="1" thickBot="1">
      <c r="A5" s="20" t="s">
        <v>2</v>
      </c>
      <c r="B5" s="253">
        <f>Page1!B5</f>
        <v>0</v>
      </c>
      <c r="C5" s="253"/>
      <c r="D5" s="253"/>
      <c r="E5" s="348" t="s">
        <v>4</v>
      </c>
      <c r="F5" s="348"/>
      <c r="G5" s="253">
        <f>Page1!G5</f>
        <v>0</v>
      </c>
      <c r="H5" s="253"/>
      <c r="I5" s="18" t="s">
        <v>6</v>
      </c>
      <c r="J5" s="253">
        <f>Page1!J5</f>
        <v>0</v>
      </c>
      <c r="K5" s="253"/>
      <c r="L5" s="18" t="s">
        <v>8</v>
      </c>
      <c r="M5" s="306">
        <f>Page1!N5</f>
        <v>0</v>
      </c>
      <c r="N5" s="307"/>
      <c r="O5" s="308"/>
    </row>
    <row r="6" spans="1:15" ht="15.75" thickBot="1">
      <c r="A6" s="355" t="s">
        <v>39</v>
      </c>
      <c r="B6" s="356"/>
      <c r="C6" s="357"/>
      <c r="D6" s="358"/>
      <c r="E6" s="359"/>
      <c r="F6" s="21"/>
      <c r="G6" s="21"/>
      <c r="H6" s="21"/>
      <c r="I6" s="21"/>
      <c r="J6" s="21"/>
      <c r="K6" s="21"/>
      <c r="L6" s="21"/>
      <c r="M6" s="21"/>
      <c r="N6" s="21"/>
      <c r="O6" s="22"/>
    </row>
    <row r="7" spans="1:15" ht="15">
      <c r="A7" s="360" t="s">
        <v>0</v>
      </c>
      <c r="B7" s="361"/>
      <c r="C7" s="362"/>
      <c r="D7" s="366" t="s">
        <v>41</v>
      </c>
      <c r="E7" s="367"/>
      <c r="F7" s="266"/>
      <c r="G7" s="266"/>
      <c r="H7" s="266"/>
      <c r="I7" s="266"/>
      <c r="J7" s="349"/>
      <c r="K7" s="349"/>
      <c r="L7" s="349"/>
      <c r="M7" s="349"/>
      <c r="N7" s="349"/>
      <c r="O7" s="350"/>
    </row>
    <row r="8" spans="1:15" ht="35.25" customHeight="1" thickBot="1">
      <c r="A8" s="363"/>
      <c r="B8" s="364"/>
      <c r="C8" s="365"/>
      <c r="D8" s="368"/>
      <c r="E8" s="369"/>
      <c r="F8" s="216"/>
      <c r="G8" s="216"/>
      <c r="H8" s="216"/>
      <c r="I8" s="216"/>
      <c r="J8" s="372"/>
      <c r="K8" s="372"/>
      <c r="L8" s="23"/>
      <c r="M8" s="23"/>
      <c r="N8" s="23"/>
      <c r="O8" s="24"/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351">
        <v>0</v>
      </c>
      <c r="E9" s="352"/>
      <c r="F9" s="353"/>
      <c r="G9" s="353"/>
      <c r="H9" s="353"/>
      <c r="I9" s="353"/>
      <c r="J9" s="354"/>
      <c r="K9" s="354"/>
      <c r="L9" s="31"/>
      <c r="M9" s="31"/>
      <c r="N9" s="31"/>
      <c r="O9" s="25"/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370">
        <v>0</v>
      </c>
      <c r="E10" s="371"/>
      <c r="F10" s="353"/>
      <c r="G10" s="353"/>
      <c r="H10" s="353"/>
      <c r="I10" s="353"/>
      <c r="J10" s="354"/>
      <c r="K10" s="354"/>
      <c r="L10" s="31"/>
      <c r="M10" s="31"/>
      <c r="N10" s="31"/>
      <c r="O10" s="25"/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370">
        <v>0</v>
      </c>
      <c r="E11" s="371"/>
      <c r="F11" s="353"/>
      <c r="G11" s="353"/>
      <c r="H11" s="353"/>
      <c r="I11" s="353"/>
      <c r="J11" s="354"/>
      <c r="K11" s="354"/>
      <c r="L11" s="31"/>
      <c r="M11" s="31"/>
      <c r="N11" s="31"/>
      <c r="O11" s="25"/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370">
        <v>0</v>
      </c>
      <c r="E12" s="371"/>
      <c r="F12" s="353"/>
      <c r="G12" s="353"/>
      <c r="H12" s="353"/>
      <c r="I12" s="353"/>
      <c r="J12" s="354"/>
      <c r="K12" s="354"/>
      <c r="L12" s="31"/>
      <c r="M12" s="31"/>
      <c r="N12" s="31"/>
      <c r="O12" s="25"/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370">
        <v>0</v>
      </c>
      <c r="E13" s="371"/>
      <c r="F13" s="353"/>
      <c r="G13" s="353"/>
      <c r="H13" s="353"/>
      <c r="I13" s="353"/>
      <c r="J13" s="354"/>
      <c r="K13" s="354"/>
      <c r="L13" s="31"/>
      <c r="M13" s="31"/>
      <c r="N13" s="31"/>
      <c r="O13" s="25"/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370">
        <v>0</v>
      </c>
      <c r="E14" s="371"/>
      <c r="F14" s="353"/>
      <c r="G14" s="353"/>
      <c r="H14" s="353"/>
      <c r="I14" s="353"/>
      <c r="J14" s="354"/>
      <c r="K14" s="354"/>
      <c r="L14" s="31"/>
      <c r="M14" s="31"/>
      <c r="N14" s="31"/>
      <c r="O14" s="25"/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370">
        <v>0</v>
      </c>
      <c r="E15" s="371"/>
      <c r="F15" s="353"/>
      <c r="G15" s="353"/>
      <c r="H15" s="353"/>
      <c r="I15" s="353"/>
      <c r="J15" s="354"/>
      <c r="K15" s="354"/>
      <c r="L15" s="31"/>
      <c r="M15" s="31"/>
      <c r="N15" s="31"/>
      <c r="O15" s="25"/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370">
        <v>0</v>
      </c>
      <c r="E16" s="371"/>
      <c r="F16" s="353"/>
      <c r="G16" s="353"/>
      <c r="H16" s="353"/>
      <c r="I16" s="353"/>
      <c r="J16" s="354"/>
      <c r="K16" s="354"/>
      <c r="L16" s="31"/>
      <c r="M16" s="31"/>
      <c r="N16" s="31"/>
      <c r="O16" s="25"/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370">
        <v>0</v>
      </c>
      <c r="E17" s="371"/>
      <c r="F17" s="353"/>
      <c r="G17" s="353"/>
      <c r="H17" s="353"/>
      <c r="I17" s="353"/>
      <c r="J17" s="354"/>
      <c r="K17" s="354"/>
      <c r="L17" s="31"/>
      <c r="M17" s="31"/>
      <c r="N17" s="31"/>
      <c r="O17" s="25"/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370">
        <v>0</v>
      </c>
      <c r="E18" s="371"/>
      <c r="F18" s="353"/>
      <c r="G18" s="353"/>
      <c r="H18" s="353"/>
      <c r="I18" s="353"/>
      <c r="J18" s="354"/>
      <c r="K18" s="354"/>
      <c r="L18" s="31"/>
      <c r="M18" s="31"/>
      <c r="N18" s="31"/>
      <c r="O18" s="25"/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370">
        <v>0</v>
      </c>
      <c r="E19" s="371"/>
      <c r="F19" s="353"/>
      <c r="G19" s="353"/>
      <c r="H19" s="353"/>
      <c r="I19" s="353"/>
      <c r="J19" s="354"/>
      <c r="K19" s="354"/>
      <c r="L19" s="31"/>
      <c r="M19" s="31"/>
      <c r="N19" s="31"/>
      <c r="O19" s="25"/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370">
        <v>0</v>
      </c>
      <c r="E20" s="371"/>
      <c r="F20" s="353"/>
      <c r="G20" s="353"/>
      <c r="H20" s="353"/>
      <c r="I20" s="353"/>
      <c r="J20" s="354"/>
      <c r="K20" s="354"/>
      <c r="L20" s="31"/>
      <c r="M20" s="31"/>
      <c r="N20" s="31"/>
      <c r="O20" s="25"/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370">
        <v>0</v>
      </c>
      <c r="E21" s="371"/>
      <c r="F21" s="353"/>
      <c r="G21" s="353"/>
      <c r="H21" s="353"/>
      <c r="I21" s="353"/>
      <c r="J21" s="354"/>
      <c r="K21" s="354"/>
      <c r="L21" s="31"/>
      <c r="M21" s="31"/>
      <c r="N21" s="31"/>
      <c r="O21" s="25"/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370">
        <v>0</v>
      </c>
      <c r="E22" s="371"/>
      <c r="F22" s="353"/>
      <c r="G22" s="353"/>
      <c r="H22" s="353"/>
      <c r="I22" s="353"/>
      <c r="J22" s="354"/>
      <c r="K22" s="354"/>
      <c r="L22" s="31"/>
      <c r="M22" s="31"/>
      <c r="N22" s="31"/>
      <c r="O22" s="25"/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370">
        <v>0</v>
      </c>
      <c r="E23" s="371"/>
      <c r="F23" s="353"/>
      <c r="G23" s="353"/>
      <c r="H23" s="353"/>
      <c r="I23" s="353"/>
      <c r="J23" s="354"/>
      <c r="K23" s="354"/>
      <c r="L23" s="31"/>
      <c r="M23" s="31"/>
      <c r="N23" s="31"/>
      <c r="O23" s="25"/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370">
        <v>0</v>
      </c>
      <c r="E24" s="371"/>
      <c r="F24" s="353"/>
      <c r="G24" s="353"/>
      <c r="H24" s="353"/>
      <c r="I24" s="353"/>
      <c r="J24" s="354"/>
      <c r="K24" s="354"/>
      <c r="L24" s="31"/>
      <c r="M24" s="31"/>
      <c r="N24" s="31"/>
      <c r="O24" s="25"/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370">
        <v>0</v>
      </c>
      <c r="E25" s="371"/>
      <c r="F25" s="353"/>
      <c r="G25" s="353"/>
      <c r="H25" s="353"/>
      <c r="I25" s="353"/>
      <c r="J25" s="354"/>
      <c r="K25" s="354"/>
      <c r="L25" s="31"/>
      <c r="M25" s="31"/>
      <c r="N25" s="31"/>
      <c r="O25" s="25"/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370">
        <v>0</v>
      </c>
      <c r="E26" s="371"/>
      <c r="F26" s="353"/>
      <c r="G26" s="353"/>
      <c r="H26" s="353"/>
      <c r="I26" s="353"/>
      <c r="J26" s="354"/>
      <c r="K26" s="354"/>
      <c r="L26" s="31"/>
      <c r="M26" s="31"/>
      <c r="N26" s="31"/>
      <c r="O26" s="25"/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370">
        <v>0</v>
      </c>
      <c r="E27" s="371"/>
      <c r="F27" s="353"/>
      <c r="G27" s="353"/>
      <c r="H27" s="353"/>
      <c r="I27" s="353"/>
      <c r="J27" s="354"/>
      <c r="K27" s="354"/>
      <c r="L27" s="31"/>
      <c r="M27" s="31"/>
      <c r="N27" s="31"/>
      <c r="O27" s="25"/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370">
        <v>0</v>
      </c>
      <c r="E28" s="371"/>
      <c r="F28" s="353"/>
      <c r="G28" s="353"/>
      <c r="H28" s="353"/>
      <c r="I28" s="353"/>
      <c r="J28" s="354"/>
      <c r="K28" s="354"/>
      <c r="L28" s="31"/>
      <c r="M28" s="31"/>
      <c r="N28" s="31"/>
      <c r="O28" s="25"/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370">
        <v>0</v>
      </c>
      <c r="E29" s="371"/>
      <c r="F29" s="353"/>
      <c r="G29" s="353"/>
      <c r="H29" s="353"/>
      <c r="I29" s="353"/>
      <c r="J29" s="354"/>
      <c r="K29" s="354"/>
      <c r="L29" s="31"/>
      <c r="M29" s="31"/>
      <c r="N29" s="31"/>
      <c r="O29" s="25"/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370">
        <v>0</v>
      </c>
      <c r="E30" s="371"/>
      <c r="F30" s="353"/>
      <c r="G30" s="353"/>
      <c r="H30" s="353"/>
      <c r="I30" s="353"/>
      <c r="J30" s="354"/>
      <c r="K30" s="354"/>
      <c r="L30" s="31"/>
      <c r="M30" s="31"/>
      <c r="N30" s="31"/>
      <c r="O30" s="25"/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370">
        <v>0</v>
      </c>
      <c r="E31" s="371"/>
      <c r="F31" s="353"/>
      <c r="G31" s="353"/>
      <c r="H31" s="353"/>
      <c r="I31" s="353"/>
      <c r="J31" s="354"/>
      <c r="K31" s="354"/>
      <c r="L31" s="31"/>
      <c r="M31" s="31"/>
      <c r="N31" s="31"/>
      <c r="O31" s="25"/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370">
        <v>0</v>
      </c>
      <c r="E32" s="371"/>
      <c r="F32" s="353"/>
      <c r="G32" s="353"/>
      <c r="H32" s="353"/>
      <c r="I32" s="353"/>
      <c r="J32" s="354"/>
      <c r="K32" s="354"/>
      <c r="L32" s="31"/>
      <c r="M32" s="31"/>
      <c r="N32" s="31"/>
      <c r="O32" s="25"/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370">
        <v>0</v>
      </c>
      <c r="E33" s="371"/>
      <c r="F33" s="353"/>
      <c r="G33" s="353"/>
      <c r="H33" s="353"/>
      <c r="I33" s="353"/>
      <c r="J33" s="354"/>
      <c r="K33" s="354"/>
      <c r="L33" s="31"/>
      <c r="M33" s="31"/>
      <c r="N33" s="31"/>
      <c r="O33" s="25"/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370">
        <v>0</v>
      </c>
      <c r="E34" s="371"/>
      <c r="F34" s="353"/>
      <c r="G34" s="353"/>
      <c r="H34" s="353"/>
      <c r="I34" s="353"/>
      <c r="J34" s="354"/>
      <c r="K34" s="354"/>
      <c r="L34" s="31"/>
      <c r="M34" s="31"/>
      <c r="N34" s="31"/>
      <c r="O34" s="25"/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370">
        <v>0</v>
      </c>
      <c r="E35" s="371"/>
      <c r="F35" s="353"/>
      <c r="G35" s="353"/>
      <c r="H35" s="353"/>
      <c r="I35" s="353"/>
      <c r="J35" s="354"/>
      <c r="K35" s="354"/>
      <c r="L35" s="31"/>
      <c r="M35" s="31"/>
      <c r="N35" s="31"/>
      <c r="O35" s="25"/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370">
        <v>0</v>
      </c>
      <c r="E36" s="371"/>
      <c r="F36" s="353"/>
      <c r="G36" s="353"/>
      <c r="H36" s="353"/>
      <c r="I36" s="353"/>
      <c r="J36" s="354"/>
      <c r="K36" s="354"/>
      <c r="L36" s="31"/>
      <c r="M36" s="31"/>
      <c r="N36" s="31"/>
      <c r="O36" s="25"/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370">
        <v>0</v>
      </c>
      <c r="E37" s="371"/>
      <c r="F37" s="353"/>
      <c r="G37" s="353"/>
      <c r="H37" s="353"/>
      <c r="I37" s="353"/>
      <c r="J37" s="354"/>
      <c r="K37" s="354"/>
      <c r="L37" s="31"/>
      <c r="M37" s="31"/>
      <c r="N37" s="31"/>
      <c r="O37" s="25"/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373">
        <v>0</v>
      </c>
      <c r="E38" s="374"/>
      <c r="F38" s="353"/>
      <c r="G38" s="353"/>
      <c r="H38" s="353"/>
      <c r="I38" s="353"/>
      <c r="J38" s="354"/>
      <c r="K38" s="354"/>
      <c r="L38" s="31"/>
      <c r="M38" s="31"/>
      <c r="N38" s="31"/>
      <c r="O38" s="25"/>
    </row>
    <row r="39" spans="1:15" ht="19.5" customHeight="1">
      <c r="A39" s="3"/>
      <c r="B39" s="4"/>
      <c r="C39" s="116" t="s">
        <v>23</v>
      </c>
      <c r="D39" s="375">
        <f>AVERAGE(D9:E38)</f>
        <v>0</v>
      </c>
      <c r="E39" s="376"/>
      <c r="F39" s="377"/>
      <c r="G39" s="377"/>
      <c r="H39" s="377"/>
      <c r="I39" s="377"/>
      <c r="J39" s="378"/>
      <c r="K39" s="378"/>
      <c r="L39" s="385"/>
      <c r="M39" s="385"/>
      <c r="N39" s="385"/>
      <c r="O39" s="386"/>
    </row>
    <row r="40" spans="1:15" ht="19.5" customHeight="1">
      <c r="A40" s="5"/>
      <c r="B40" s="6"/>
      <c r="C40" s="15" t="s">
        <v>24</v>
      </c>
      <c r="D40" s="387">
        <f>MIN(D9:E38)</f>
        <v>0</v>
      </c>
      <c r="E40" s="388"/>
      <c r="F40" s="377"/>
      <c r="G40" s="377"/>
      <c r="H40" s="377"/>
      <c r="I40" s="377"/>
      <c r="J40" s="378"/>
      <c r="K40" s="378"/>
      <c r="L40" s="385"/>
      <c r="M40" s="385"/>
      <c r="N40" s="385"/>
      <c r="O40" s="386"/>
    </row>
    <row r="41" spans="1:15" ht="19.5" customHeight="1" thickBot="1">
      <c r="A41" s="8"/>
      <c r="B41" s="9"/>
      <c r="C41" s="26" t="s">
        <v>25</v>
      </c>
      <c r="D41" s="379">
        <f>MAX(D9:E38)</f>
        <v>0</v>
      </c>
      <c r="E41" s="380"/>
      <c r="F41" s="381"/>
      <c r="G41" s="381"/>
      <c r="H41" s="381"/>
      <c r="I41" s="381"/>
      <c r="J41" s="382"/>
      <c r="K41" s="382"/>
      <c r="L41" s="383"/>
      <c r="M41" s="383"/>
      <c r="N41" s="383"/>
      <c r="O41" s="384"/>
    </row>
    <row r="42" spans="1:15" s="40" customFormat="1" ht="16.5" customHeight="1">
      <c r="A42" s="35" t="s">
        <v>12</v>
      </c>
      <c r="B42" s="231"/>
      <c r="C42" s="231"/>
      <c r="D42" s="232" t="s">
        <v>14</v>
      </c>
      <c r="E42" s="232"/>
      <c r="F42" s="36"/>
      <c r="G42" s="37"/>
      <c r="H42" s="37"/>
      <c r="I42" s="37"/>
      <c r="K42" s="78"/>
      <c r="L42" s="79" t="s">
        <v>15</v>
      </c>
      <c r="M42" s="219"/>
      <c r="N42" s="219"/>
      <c r="O42" s="35" t="s">
        <v>16</v>
      </c>
    </row>
    <row r="43" spans="1:15" s="40" customFormat="1" ht="16.5" customHeight="1">
      <c r="A43" s="35"/>
      <c r="B43" s="214"/>
      <c r="C43" s="214"/>
      <c r="D43" s="33"/>
      <c r="E43" s="33"/>
      <c r="F43" s="35"/>
      <c r="G43" s="37"/>
      <c r="H43" s="37"/>
      <c r="I43" s="37"/>
      <c r="J43" s="37"/>
      <c r="K43" s="33"/>
      <c r="L43" s="37"/>
      <c r="M43" s="220"/>
      <c r="N43" s="220"/>
      <c r="O43" s="33"/>
    </row>
    <row r="44" spans="1:15" s="38" customFormat="1" ht="16.5" customHeight="1">
      <c r="A44" s="215" t="s">
        <v>13</v>
      </c>
      <c r="B44" s="215"/>
      <c r="C44" s="215"/>
      <c r="D44" s="37"/>
      <c r="E44" s="37"/>
      <c r="F44" s="37"/>
      <c r="G44" s="39" t="s">
        <v>48</v>
      </c>
      <c r="H44" s="215" t="s">
        <v>47</v>
      </c>
      <c r="I44" s="215"/>
      <c r="J44" s="215"/>
      <c r="K44" s="37"/>
      <c r="L44" s="37"/>
      <c r="M44" s="37"/>
      <c r="N44" s="37"/>
    </row>
    <row r="45" spans="1:15" s="40" customFormat="1" ht="16.5" customHeight="1">
      <c r="A45" s="215" t="s">
        <v>21</v>
      </c>
      <c r="B45" s="215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216" t="s">
        <v>44</v>
      </c>
      <c r="N45" s="216"/>
      <c r="O45" s="37"/>
    </row>
  </sheetData>
  <dataConsolidate/>
  <mergeCells count="166">
    <mergeCell ref="D41:E41"/>
    <mergeCell ref="F41:G41"/>
    <mergeCell ref="H41:I41"/>
    <mergeCell ref="J41:K41"/>
    <mergeCell ref="L41:O41"/>
    <mergeCell ref="L39:O39"/>
    <mergeCell ref="D40:E40"/>
    <mergeCell ref="F40:G40"/>
    <mergeCell ref="H40:I40"/>
    <mergeCell ref="J40:K40"/>
    <mergeCell ref="L40:O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M5:O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A1:M1"/>
    <mergeCell ref="N1:O1"/>
    <mergeCell ref="A2:M3"/>
    <mergeCell ref="N2:O2"/>
    <mergeCell ref="B4:D4"/>
    <mergeCell ref="E4:F4"/>
    <mergeCell ref="G4:H4"/>
    <mergeCell ref="J4:K4"/>
    <mergeCell ref="M4:O4"/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</mergeCells>
  <conditionalFormatting sqref="F9:F38 F39:G41">
    <cfRule type="cellIs" dxfId="5" priority="6" operator="notBetween">
      <formula>-5.1</formula>
      <formula>2.9</formula>
    </cfRule>
  </conditionalFormatting>
  <conditionalFormatting sqref="H9:H38 H39:I41">
    <cfRule type="cellIs" dxfId="4" priority="5" operator="notBetween">
      <formula>-3.6</formula>
      <formula>4.4</formula>
    </cfRule>
  </conditionalFormatting>
  <conditionalFormatting sqref="J9:J38 J39:K41">
    <cfRule type="cellIs" dxfId="3" priority="4" operator="greaterThan">
      <formula>5</formula>
    </cfRule>
  </conditionalFormatting>
  <conditionalFormatting sqref="L9:O41">
    <cfRule type="cellIs" dxfId="2" priority="3" operator="greaterThan">
      <formula>11</formula>
    </cfRule>
  </conditionalFormatting>
  <dataValidations count="4">
    <dataValidation type="textLength" allowBlank="1" showInputMessage="1" showErrorMessage="1" sqref="A9:C38" xr:uid="{EE12EE0B-A643-449C-BF5F-C847354F5892}">
      <formula1>1000</formula1>
      <formula2>10000</formula2>
    </dataValidation>
    <dataValidation type="textLength" allowBlank="1" showInputMessage="1" showErrorMessage="1" sqref="J11:K11" xr:uid="{68C5D400-64B2-4A97-A03C-6E6EAF25E9AA}">
      <formula1>10000</formula1>
      <formula2>100000</formula2>
    </dataValidation>
    <dataValidation type="textLength" allowBlank="1" showInputMessage="1" showErrorMessage="1" sqref="M4:O5 B4:D5 G4:H5 J4:K5" xr:uid="{4C3FE35F-603B-409C-B521-E6B53AF0CA54}">
      <formula1>1000</formula1>
      <formula2>100000</formula2>
    </dataValidation>
    <dataValidation type="textLength" allowBlank="1" showInputMessage="1" showErrorMessage="1" sqref="A39:C41 O9:O38 A1:A8 B6:D8 B1:D3 M1:O3 J1:K3 E7:O8 G1:H3 I1:I5 E1:F5 L1:L5 F39:O41" xr:uid="{47EC8243-23ED-400B-B615-69CAE0DE0D95}">
      <formula1>1000</formula1>
      <formula2>1000000</formula2>
    </dataValidation>
  </dataValidations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0B8F-7FA2-4DC2-A4BF-8C983AAE9C78}">
  <dimension ref="A1:O33"/>
  <sheetViews>
    <sheetView zoomScaleNormal="100" workbookViewId="0">
      <selection activeCell="D6" sqref="D6"/>
    </sheetView>
  </sheetViews>
  <sheetFormatPr defaultRowHeight="15"/>
  <cols>
    <col min="1" max="1" width="17" style="115" customWidth="1"/>
    <col min="2" max="2" width="8.5703125" style="115" customWidth="1"/>
    <col min="3" max="3" width="9.85546875" style="115" customWidth="1"/>
    <col min="4" max="4" width="17" style="115" customWidth="1"/>
    <col min="5" max="5" width="20" style="115" customWidth="1"/>
    <col min="6" max="6" width="21.7109375" style="115" customWidth="1"/>
    <col min="7" max="7" width="22.42578125" style="115" customWidth="1"/>
    <col min="8" max="8" width="33" style="115" customWidth="1"/>
    <col min="9" max="9" width="35.140625" style="115" customWidth="1"/>
    <col min="10" max="10" width="46.140625" style="115" customWidth="1"/>
    <col min="11" max="11" width="27.85546875" style="115" customWidth="1"/>
    <col min="12" max="12" width="30.28515625" style="115" customWidth="1"/>
    <col min="13" max="13" width="27" style="115" customWidth="1"/>
    <col min="14" max="14" width="35.5703125" style="115" customWidth="1"/>
    <col min="15" max="15" width="32" style="115" customWidth="1"/>
    <col min="16" max="16" width="24.5703125" customWidth="1"/>
  </cols>
  <sheetData>
    <row r="1" spans="1:15" s="105" customFormat="1" ht="18.75" customHeight="1">
      <c r="C1" s="105" t="s">
        <v>131</v>
      </c>
      <c r="D1" s="105" t="s">
        <v>132</v>
      </c>
      <c r="E1" s="105" t="s">
        <v>133</v>
      </c>
      <c r="F1" s="105" t="s">
        <v>134</v>
      </c>
      <c r="G1" s="105" t="s">
        <v>135</v>
      </c>
      <c r="H1" s="105" t="s">
        <v>136</v>
      </c>
      <c r="I1" s="105" t="s">
        <v>137</v>
      </c>
      <c r="J1" s="105" t="s">
        <v>138</v>
      </c>
      <c r="K1" s="105" t="s">
        <v>139</v>
      </c>
      <c r="L1" s="105" t="s">
        <v>140</v>
      </c>
      <c r="M1" s="105" t="s">
        <v>141</v>
      </c>
      <c r="N1" s="105" t="s">
        <v>142</v>
      </c>
      <c r="O1" s="105" t="s">
        <v>143</v>
      </c>
    </row>
    <row r="2" spans="1:15" s="105" customFormat="1" ht="18.75" customHeight="1">
      <c r="A2" s="106" t="s">
        <v>144</v>
      </c>
      <c r="B2" s="106" t="s">
        <v>145</v>
      </c>
      <c r="C2" s="106" t="s">
        <v>146</v>
      </c>
      <c r="D2" s="106" t="s">
        <v>147</v>
      </c>
      <c r="E2" s="106" t="s">
        <v>148</v>
      </c>
      <c r="F2" s="106" t="s">
        <v>149</v>
      </c>
      <c r="G2" s="106" t="s">
        <v>150</v>
      </c>
      <c r="H2" s="106" t="s">
        <v>151</v>
      </c>
      <c r="I2" s="106" t="s">
        <v>152</v>
      </c>
      <c r="J2" s="106" t="s">
        <v>153</v>
      </c>
      <c r="K2" s="106" t="s">
        <v>154</v>
      </c>
      <c r="L2" s="106" t="s">
        <v>155</v>
      </c>
      <c r="M2" s="106" t="s">
        <v>156</v>
      </c>
      <c r="N2" s="106" t="s">
        <v>157</v>
      </c>
      <c r="O2" s="106" t="s">
        <v>158</v>
      </c>
    </row>
    <row r="3" spans="1:15">
      <c r="A3" s="389"/>
      <c r="B3" s="108">
        <f t="array" ref="B3">TRANSPOSE(Page1!C8)</f>
        <v>0</v>
      </c>
      <c r="C3" s="109"/>
      <c r="D3" s="110">
        <f t="array" ref="D3">TRANSPOSE(Page4!J9:K38)</f>
        <v>0</v>
      </c>
      <c r="E3" s="110">
        <f t="array" ref="E3">TRANSPOSE(Page1!D8:F8)</f>
        <v>0</v>
      </c>
      <c r="F3" s="111" t="e" cm="1">
        <f t="array" ref="F3">TRANSPOSE(Page3!G9)</f>
        <v>#DIV/0!</v>
      </c>
      <c r="G3" s="111" t="e">
        <f t="array" ref="G3">TRANSPOSE(Page2!G9)</f>
        <v>#DIV/0!</v>
      </c>
      <c r="H3" s="112" t="e">
        <f t="array" ref="H3">TRANSPOSE(Page3!K9)</f>
        <v>#DIV/0!</v>
      </c>
      <c r="I3" s="112" t="e">
        <f t="array" ref="I3">TRANSPOSE(Page2!K9)</f>
        <v>#DIV/0!</v>
      </c>
      <c r="J3" s="112" t="e">
        <f t="array" ref="J3">TRANSPOSE(Page2!O9)</f>
        <v>#DIV/0!</v>
      </c>
      <c r="K3" s="113">
        <f t="array" ref="K3">TRANSPOSE(Page1!G8:I8)</f>
        <v>0</v>
      </c>
      <c r="L3" s="112" t="e">
        <f t="array" ref="L3">TRANSPOSE(Page3!O9)</f>
        <v>#DIV/0!</v>
      </c>
      <c r="M3" s="114">
        <v>0</v>
      </c>
      <c r="N3" s="111">
        <f>Page5!D9</f>
        <v>0</v>
      </c>
      <c r="O3" s="114">
        <v>0</v>
      </c>
    </row>
    <row r="4" spans="1:15">
      <c r="A4" s="389"/>
      <c r="B4" s="108">
        <f t="array" ref="B4">TRANSPOSE(Page1!C9)</f>
        <v>0</v>
      </c>
      <c r="D4" s="110">
        <f t="array" ref="D4">TRANSPOSE(Page4!J10:K39)</f>
        <v>0</v>
      </c>
      <c r="E4" s="110">
        <f t="array" ref="E4">TRANSPOSE(Page1!D9:F9)</f>
        <v>0</v>
      </c>
      <c r="F4" s="111" t="e">
        <f t="array" ref="F4">TRANSPOSE(Page3!G10)</f>
        <v>#DIV/0!</v>
      </c>
      <c r="G4" s="111" t="e">
        <f t="array" ref="G4">TRANSPOSE(Page2!G10)</f>
        <v>#DIV/0!</v>
      </c>
      <c r="H4" s="112" t="e">
        <f t="array" ref="H4">TRANSPOSE(Page3!K10)</f>
        <v>#DIV/0!</v>
      </c>
      <c r="I4" s="112" t="e">
        <f t="array" ref="I4">TRANSPOSE(Page2!K10)</f>
        <v>#DIV/0!</v>
      </c>
      <c r="J4" s="112" t="e">
        <f t="array" ref="J4">TRANSPOSE(Page2!O10)</f>
        <v>#DIV/0!</v>
      </c>
      <c r="K4" s="113">
        <f t="array" ref="K4">TRANSPOSE(Page1!G9:I9)</f>
        <v>0</v>
      </c>
      <c r="L4" s="112" t="e">
        <f t="array" ref="L4">TRANSPOSE(Page3!O10)</f>
        <v>#DIV/0!</v>
      </c>
      <c r="M4" s="115">
        <f>M3</f>
        <v>0</v>
      </c>
      <c r="N4" s="111">
        <f>Page5!D10</f>
        <v>0</v>
      </c>
      <c r="O4" s="115">
        <f t="shared" ref="O4" si="0">O3</f>
        <v>0</v>
      </c>
    </row>
    <row r="5" spans="1:15">
      <c r="A5" s="389"/>
      <c r="B5" s="108">
        <f t="array" ref="B5">TRANSPOSE(Page1!C10)</f>
        <v>0</v>
      </c>
      <c r="D5" s="110">
        <f t="array" ref="D5">TRANSPOSE(Page4!J11:K40)</f>
        <v>0</v>
      </c>
      <c r="E5" s="110">
        <f t="array" ref="E5">TRANSPOSE(Page1!D10:F10)</f>
        <v>0</v>
      </c>
      <c r="F5" s="111" t="e">
        <f t="array" ref="F5">TRANSPOSE(Page3!G11)</f>
        <v>#DIV/0!</v>
      </c>
      <c r="G5" s="111" t="e">
        <f t="array" ref="G5">TRANSPOSE(Page2!G11)</f>
        <v>#DIV/0!</v>
      </c>
      <c r="H5" s="112" t="e">
        <f t="array" ref="H5">TRANSPOSE(Page3!K11)</f>
        <v>#DIV/0!</v>
      </c>
      <c r="I5" s="112" t="e">
        <f t="array" ref="I5">TRANSPOSE(Page2!K11)</f>
        <v>#DIV/0!</v>
      </c>
      <c r="J5" s="112" t="e">
        <f t="array" ref="J5">TRANSPOSE(Page2!O11)</f>
        <v>#DIV/0!</v>
      </c>
      <c r="K5" s="113">
        <f t="array" ref="K5">TRANSPOSE(Page1!G10:I10)</f>
        <v>0</v>
      </c>
      <c r="L5" s="112" t="e">
        <f t="array" ref="L5">TRANSPOSE(Page3!O11)</f>
        <v>#DIV/0!</v>
      </c>
      <c r="M5" s="115">
        <f>M3</f>
        <v>0</v>
      </c>
      <c r="N5" s="111">
        <f>Page5!D11</f>
        <v>0</v>
      </c>
      <c r="O5" s="115">
        <f t="shared" ref="O5" si="1">O3</f>
        <v>0</v>
      </c>
    </row>
    <row r="6" spans="1:15">
      <c r="A6" s="389"/>
      <c r="B6" s="108">
        <f t="array" ref="B6">TRANSPOSE(Page1!C11)</f>
        <v>0</v>
      </c>
      <c r="D6" s="110">
        <f t="array" ref="D6">TRANSPOSE(Page4!J12:K41)</f>
        <v>0</v>
      </c>
      <c r="E6" s="110">
        <f t="array" ref="E6">TRANSPOSE(Page1!D11:F11)</f>
        <v>0</v>
      </c>
      <c r="F6" s="111" t="e">
        <f t="array" ref="F6">TRANSPOSE(Page3!G12)</f>
        <v>#DIV/0!</v>
      </c>
      <c r="G6" s="111" t="e">
        <f t="array" ref="G6">TRANSPOSE(Page2!G12)</f>
        <v>#DIV/0!</v>
      </c>
      <c r="H6" s="112" t="e">
        <f t="array" ref="H6">TRANSPOSE(Page3!K12)</f>
        <v>#DIV/0!</v>
      </c>
      <c r="I6" s="112" t="e">
        <f t="array" ref="I6">TRANSPOSE(Page2!K12)</f>
        <v>#DIV/0!</v>
      </c>
      <c r="J6" s="112" t="e">
        <f t="array" ref="J6">TRANSPOSE(Page2!O12)</f>
        <v>#DIV/0!</v>
      </c>
      <c r="K6" s="113">
        <f t="array" ref="K6">TRANSPOSE(Page1!G11:I11)</f>
        <v>0</v>
      </c>
      <c r="L6" s="112" t="e">
        <f t="array" ref="L6">TRANSPOSE(Page3!O12)</f>
        <v>#DIV/0!</v>
      </c>
      <c r="M6" s="115">
        <f>M3</f>
        <v>0</v>
      </c>
      <c r="N6" s="111">
        <f>Page5!D12</f>
        <v>0</v>
      </c>
      <c r="O6" s="115">
        <f t="shared" ref="O6" si="2">O3</f>
        <v>0</v>
      </c>
    </row>
    <row r="7" spans="1:15">
      <c r="A7" s="389"/>
      <c r="B7" s="108">
        <f t="array" ref="B7">TRANSPOSE(Page1!C12)</f>
        <v>0</v>
      </c>
      <c r="D7" s="110">
        <f t="array" ref="D7">TRANSPOSE(Page4!J13:K42)</f>
        <v>0</v>
      </c>
      <c r="E7" s="110">
        <f t="array" ref="E7">TRANSPOSE(Page1!D12:F12)</f>
        <v>0</v>
      </c>
      <c r="F7" s="111" t="e">
        <f t="array" ref="F7">TRANSPOSE(Page3!G13)</f>
        <v>#DIV/0!</v>
      </c>
      <c r="G7" s="111" t="e">
        <f t="array" ref="G7">TRANSPOSE(Page2!G13)</f>
        <v>#DIV/0!</v>
      </c>
      <c r="H7" s="112" t="e">
        <f t="array" ref="H7">TRANSPOSE(Page3!K13)</f>
        <v>#DIV/0!</v>
      </c>
      <c r="I7" s="112" t="e">
        <f t="array" ref="I7">TRANSPOSE(Page2!K13)</f>
        <v>#DIV/0!</v>
      </c>
      <c r="J7" s="112" t="e">
        <f t="array" ref="J7">TRANSPOSE(Page2!O13)</f>
        <v>#DIV/0!</v>
      </c>
      <c r="K7" s="113">
        <f t="array" ref="K7">TRANSPOSE(Page1!G12:I12)</f>
        <v>0</v>
      </c>
      <c r="L7" s="112" t="e">
        <f t="array" ref="L7">TRANSPOSE(Page3!O13)</f>
        <v>#DIV/0!</v>
      </c>
      <c r="M7" s="115">
        <f>M3</f>
        <v>0</v>
      </c>
      <c r="N7" s="111">
        <f>Page5!D13</f>
        <v>0</v>
      </c>
      <c r="O7" s="115">
        <f t="shared" ref="O7" si="3">O3</f>
        <v>0</v>
      </c>
    </row>
    <row r="8" spans="1:15">
      <c r="A8" s="389"/>
      <c r="B8" s="108">
        <f t="array" ref="B8">TRANSPOSE(Page1!C13)</f>
        <v>0</v>
      </c>
      <c r="D8" s="110">
        <f t="array" ref="D8">TRANSPOSE(Page4!J14:K43)</f>
        <v>0</v>
      </c>
      <c r="E8" s="110">
        <f t="array" ref="E8">TRANSPOSE(Page1!D13:F13)</f>
        <v>0</v>
      </c>
      <c r="F8" s="111" t="e">
        <f t="array" ref="F8">TRANSPOSE(Page3!G14)</f>
        <v>#DIV/0!</v>
      </c>
      <c r="G8" s="111" t="e">
        <f t="array" ref="G8">TRANSPOSE(Page2!G14)</f>
        <v>#DIV/0!</v>
      </c>
      <c r="H8" s="112" t="e">
        <f t="array" ref="H8">TRANSPOSE(Page3!K14)</f>
        <v>#DIV/0!</v>
      </c>
      <c r="I8" s="112" t="e">
        <f t="array" ref="I8">TRANSPOSE(Page2!K14)</f>
        <v>#DIV/0!</v>
      </c>
      <c r="J8" s="112" t="e">
        <f t="array" ref="J8">TRANSPOSE(Page2!O14)</f>
        <v>#DIV/0!</v>
      </c>
      <c r="K8" s="113">
        <f t="array" ref="K8">TRANSPOSE(Page1!G13:I13)</f>
        <v>0</v>
      </c>
      <c r="L8" s="112" t="e">
        <f t="array" ref="L8">TRANSPOSE(Page3!O14)</f>
        <v>#DIV/0!</v>
      </c>
      <c r="M8" s="115">
        <f>M3</f>
        <v>0</v>
      </c>
      <c r="N8" s="111">
        <f>Page5!D14</f>
        <v>0</v>
      </c>
      <c r="O8" s="115">
        <f t="shared" ref="O8" si="4">O3</f>
        <v>0</v>
      </c>
    </row>
    <row r="9" spans="1:15">
      <c r="A9" s="389"/>
      <c r="B9" s="108">
        <f t="array" ref="B9">TRANSPOSE(Page1!C14)</f>
        <v>0</v>
      </c>
      <c r="D9" s="110">
        <f t="array" ref="D9">TRANSPOSE(Page4!J15:K44)</f>
        <v>0</v>
      </c>
      <c r="E9" s="110">
        <f t="array" ref="E9">TRANSPOSE(Page1!D14:F14)</f>
        <v>0</v>
      </c>
      <c r="F9" s="111" t="e">
        <f t="array" ref="F9">TRANSPOSE(Page3!G15)</f>
        <v>#DIV/0!</v>
      </c>
      <c r="G9" s="111" t="e">
        <f t="array" ref="G9">TRANSPOSE(Page2!G15)</f>
        <v>#DIV/0!</v>
      </c>
      <c r="H9" s="112" t="e">
        <f t="array" ref="H9">TRANSPOSE(Page3!K15)</f>
        <v>#DIV/0!</v>
      </c>
      <c r="I9" s="112" t="e">
        <f t="array" ref="I9">TRANSPOSE(Page2!K15)</f>
        <v>#DIV/0!</v>
      </c>
      <c r="J9" s="112" t="e">
        <f t="array" ref="J9">TRANSPOSE(Page2!O15)</f>
        <v>#DIV/0!</v>
      </c>
      <c r="K9" s="113">
        <f t="array" ref="K9">TRANSPOSE(Page1!G14:I14)</f>
        <v>0</v>
      </c>
      <c r="L9" s="112" t="e">
        <f t="array" ref="L9">TRANSPOSE(Page3!O15)</f>
        <v>#DIV/0!</v>
      </c>
      <c r="M9" s="115">
        <f>M3</f>
        <v>0</v>
      </c>
      <c r="N9" s="111">
        <f>Page5!D15</f>
        <v>0</v>
      </c>
      <c r="O9" s="115">
        <f t="shared" ref="O9" si="5">O3</f>
        <v>0</v>
      </c>
    </row>
    <row r="10" spans="1:15">
      <c r="A10" s="389"/>
      <c r="B10" s="108">
        <f t="array" ref="B10">TRANSPOSE(Page1!C15)</f>
        <v>0</v>
      </c>
      <c r="D10" s="110">
        <f t="array" ref="D10">TRANSPOSE(Page4!J16:K45)</f>
        <v>0</v>
      </c>
      <c r="E10" s="110">
        <f t="array" ref="E10">TRANSPOSE(Page1!D15:F15)</f>
        <v>0</v>
      </c>
      <c r="F10" s="111" t="e">
        <f t="array" ref="F10">TRANSPOSE(Page3!G16)</f>
        <v>#DIV/0!</v>
      </c>
      <c r="G10" s="111" t="e">
        <f t="array" ref="G10">TRANSPOSE(Page2!G16)</f>
        <v>#DIV/0!</v>
      </c>
      <c r="H10" s="112" t="e">
        <f t="array" ref="H10">TRANSPOSE(Page3!K16)</f>
        <v>#DIV/0!</v>
      </c>
      <c r="I10" s="112" t="e">
        <f t="array" ref="I10">TRANSPOSE(Page2!K16)</f>
        <v>#DIV/0!</v>
      </c>
      <c r="J10" s="112" t="e">
        <f t="array" ref="J10">TRANSPOSE(Page2!O16)</f>
        <v>#DIV/0!</v>
      </c>
      <c r="K10" s="113">
        <f t="array" ref="K10">TRANSPOSE(Page1!G15:I15)</f>
        <v>0</v>
      </c>
      <c r="L10" s="112" t="e">
        <f t="array" ref="L10">TRANSPOSE(Page3!O16)</f>
        <v>#DIV/0!</v>
      </c>
      <c r="M10" s="115">
        <f>M3</f>
        <v>0</v>
      </c>
      <c r="N10" s="111">
        <f>Page5!D16</f>
        <v>0</v>
      </c>
      <c r="O10" s="115">
        <f t="shared" ref="O10" si="6">O3</f>
        <v>0</v>
      </c>
    </row>
    <row r="11" spans="1:15">
      <c r="A11" s="389"/>
      <c r="B11" s="108">
        <f t="array" ref="B11">TRANSPOSE(Page1!C16)</f>
        <v>0</v>
      </c>
      <c r="D11" s="110">
        <f t="array" ref="D11">TRANSPOSE(Page4!J17:K46)</f>
        <v>0</v>
      </c>
      <c r="E11" s="110">
        <f t="array" ref="E11">TRANSPOSE(Page1!D16:F16)</f>
        <v>0</v>
      </c>
      <c r="F11" s="111" t="e">
        <f t="array" ref="F11">TRANSPOSE(Page3!G17)</f>
        <v>#DIV/0!</v>
      </c>
      <c r="G11" s="111" t="e">
        <f t="array" ref="G11">TRANSPOSE(Page2!G17)</f>
        <v>#DIV/0!</v>
      </c>
      <c r="H11" s="112" t="e">
        <f t="array" ref="H11">TRANSPOSE(Page3!K17)</f>
        <v>#DIV/0!</v>
      </c>
      <c r="I11" s="112" t="e">
        <f t="array" ref="I11">TRANSPOSE(Page2!K17)</f>
        <v>#DIV/0!</v>
      </c>
      <c r="J11" s="112" t="e">
        <f t="array" ref="J11">TRANSPOSE(Page2!O17)</f>
        <v>#DIV/0!</v>
      </c>
      <c r="K11" s="113">
        <f t="array" ref="K11">TRANSPOSE(Page1!G16:I16)</f>
        <v>0</v>
      </c>
      <c r="L11" s="112" t="e">
        <f t="array" ref="L11">TRANSPOSE(Page3!O17)</f>
        <v>#DIV/0!</v>
      </c>
      <c r="M11" s="115">
        <f>M3</f>
        <v>0</v>
      </c>
      <c r="N11" s="111">
        <f>Page5!D17</f>
        <v>0</v>
      </c>
      <c r="O11" s="115">
        <f t="shared" ref="O11" si="7">O3</f>
        <v>0</v>
      </c>
    </row>
    <row r="12" spans="1:15">
      <c r="A12" s="389"/>
      <c r="B12" s="108">
        <f t="array" ref="B12">TRANSPOSE(Page1!C17)</f>
        <v>0</v>
      </c>
      <c r="D12" s="110">
        <f t="array" ref="D12">TRANSPOSE(Page4!J18:K47)</f>
        <v>0</v>
      </c>
      <c r="E12" s="110">
        <f t="array" ref="E12">TRANSPOSE(Page1!D17:F17)</f>
        <v>0</v>
      </c>
      <c r="F12" s="111" t="e">
        <f t="array" ref="F12">TRANSPOSE(Page3!G18)</f>
        <v>#DIV/0!</v>
      </c>
      <c r="G12" s="111" t="e">
        <f t="array" ref="G12">TRANSPOSE(Page2!G18)</f>
        <v>#DIV/0!</v>
      </c>
      <c r="H12" s="112" t="e">
        <f t="array" ref="H12">TRANSPOSE(Page3!K18)</f>
        <v>#DIV/0!</v>
      </c>
      <c r="I12" s="112" t="e">
        <f t="array" ref="I12">TRANSPOSE(Page2!K18)</f>
        <v>#DIV/0!</v>
      </c>
      <c r="J12" s="112" t="e">
        <f t="array" ref="J12">TRANSPOSE(Page2!O18)</f>
        <v>#DIV/0!</v>
      </c>
      <c r="K12" s="113">
        <f t="array" ref="K12">TRANSPOSE(Page1!G17:I17)</f>
        <v>0</v>
      </c>
      <c r="L12" s="112" t="e">
        <f t="array" ref="L12">TRANSPOSE(Page3!O18)</f>
        <v>#DIV/0!</v>
      </c>
      <c r="M12" s="115">
        <f>M3</f>
        <v>0</v>
      </c>
      <c r="N12" s="111">
        <f>Page5!D18</f>
        <v>0</v>
      </c>
      <c r="O12" s="115">
        <f t="shared" ref="O12" si="8">O3</f>
        <v>0</v>
      </c>
    </row>
    <row r="13" spans="1:15">
      <c r="A13" s="389"/>
      <c r="B13" s="108">
        <f t="array" ref="B13">TRANSPOSE(Page1!C18)</f>
        <v>0</v>
      </c>
      <c r="D13" s="110">
        <f t="array" ref="D13">TRANSPOSE(Page4!J19:K48)</f>
        <v>0</v>
      </c>
      <c r="E13" s="110">
        <f t="array" ref="E13">TRANSPOSE(Page1!D18:F18)</f>
        <v>0</v>
      </c>
      <c r="F13" s="111" t="e">
        <f t="array" ref="F13">TRANSPOSE(Page3!G19)</f>
        <v>#DIV/0!</v>
      </c>
      <c r="G13" s="111" t="e">
        <f t="array" ref="G13">TRANSPOSE(Page2!G19)</f>
        <v>#DIV/0!</v>
      </c>
      <c r="H13" s="112" t="e">
        <f t="array" ref="H13">TRANSPOSE(Page3!K19)</f>
        <v>#DIV/0!</v>
      </c>
      <c r="I13" s="112" t="e">
        <f t="array" ref="I13">TRANSPOSE(Page2!K19)</f>
        <v>#DIV/0!</v>
      </c>
      <c r="J13" s="112" t="e">
        <f t="array" ref="J13">TRANSPOSE(Page2!O19)</f>
        <v>#DIV/0!</v>
      </c>
      <c r="K13" s="113">
        <f t="array" ref="K13">TRANSPOSE(Page1!G18:I18)</f>
        <v>0</v>
      </c>
      <c r="L13" s="112" t="e">
        <f t="array" ref="L13">TRANSPOSE(Page3!O19)</f>
        <v>#DIV/0!</v>
      </c>
      <c r="M13" s="115">
        <f>M3</f>
        <v>0</v>
      </c>
      <c r="N13" s="111">
        <f>Page5!D19</f>
        <v>0</v>
      </c>
      <c r="O13" s="115">
        <f t="shared" ref="O13" si="9">O3</f>
        <v>0</v>
      </c>
    </row>
    <row r="14" spans="1:15">
      <c r="A14" s="389"/>
      <c r="B14" s="108">
        <f t="array" ref="B14">TRANSPOSE(Page1!C19)</f>
        <v>0</v>
      </c>
      <c r="D14" s="110">
        <f t="array" ref="D14">TRANSPOSE(Page4!J20:K49)</f>
        <v>0</v>
      </c>
      <c r="E14" s="110">
        <f t="array" ref="E14">TRANSPOSE(Page1!D19:F19)</f>
        <v>0</v>
      </c>
      <c r="F14" s="111" t="e">
        <f t="array" ref="F14">TRANSPOSE(Page3!G20)</f>
        <v>#DIV/0!</v>
      </c>
      <c r="G14" s="111" t="e">
        <f t="array" ref="G14">TRANSPOSE(Page2!G20)</f>
        <v>#DIV/0!</v>
      </c>
      <c r="H14" s="112" t="e">
        <f t="array" ref="H14">TRANSPOSE(Page3!K20)</f>
        <v>#DIV/0!</v>
      </c>
      <c r="I14" s="112" t="e">
        <f t="array" ref="I14">TRANSPOSE(Page2!K20)</f>
        <v>#DIV/0!</v>
      </c>
      <c r="J14" s="112" t="e">
        <f t="array" ref="J14">TRANSPOSE(Page2!O20)</f>
        <v>#DIV/0!</v>
      </c>
      <c r="K14" s="113">
        <f t="array" ref="K14">TRANSPOSE(Page1!G19:I19)</f>
        <v>0</v>
      </c>
      <c r="L14" s="112" t="e">
        <f t="array" ref="L14">TRANSPOSE(Page3!O20)</f>
        <v>#DIV/0!</v>
      </c>
      <c r="M14" s="115">
        <f>M3</f>
        <v>0</v>
      </c>
      <c r="N14" s="111">
        <f>Page5!D20</f>
        <v>0</v>
      </c>
      <c r="O14" s="115">
        <f t="shared" ref="O14" si="10">O3</f>
        <v>0</v>
      </c>
    </row>
    <row r="15" spans="1:15">
      <c r="A15" s="389"/>
      <c r="B15" s="108">
        <f t="array" ref="B15">TRANSPOSE(Page1!C20)</f>
        <v>0</v>
      </c>
      <c r="D15" s="110">
        <f t="array" ref="D15">TRANSPOSE(Page4!J21:K50)</f>
        <v>0</v>
      </c>
      <c r="E15" s="110">
        <f t="array" ref="E15">TRANSPOSE(Page1!D20:F20)</f>
        <v>0</v>
      </c>
      <c r="F15" s="111" t="e">
        <f t="array" ref="F15">TRANSPOSE(Page3!G21)</f>
        <v>#DIV/0!</v>
      </c>
      <c r="G15" s="111" t="e">
        <f t="array" ref="G15">TRANSPOSE(Page2!G21)</f>
        <v>#DIV/0!</v>
      </c>
      <c r="H15" s="112" t="e">
        <f t="array" ref="H15">TRANSPOSE(Page3!K21)</f>
        <v>#DIV/0!</v>
      </c>
      <c r="I15" s="112" t="e">
        <f t="array" ref="I15">TRANSPOSE(Page2!K21)</f>
        <v>#DIV/0!</v>
      </c>
      <c r="J15" s="112" t="e">
        <f t="array" ref="J15">TRANSPOSE(Page2!O21)</f>
        <v>#DIV/0!</v>
      </c>
      <c r="K15" s="113">
        <f t="array" ref="K15">TRANSPOSE(Page1!G20:I20)</f>
        <v>0</v>
      </c>
      <c r="L15" s="112" t="e">
        <f t="array" ref="L15">TRANSPOSE(Page3!O21)</f>
        <v>#DIV/0!</v>
      </c>
      <c r="M15" s="115">
        <f>M3</f>
        <v>0</v>
      </c>
      <c r="N15" s="111">
        <f>Page5!D21</f>
        <v>0</v>
      </c>
      <c r="O15" s="115">
        <f t="shared" ref="O15" si="11">O3</f>
        <v>0</v>
      </c>
    </row>
    <row r="16" spans="1:15">
      <c r="A16" s="389"/>
      <c r="B16" s="108">
        <f t="array" ref="B16">TRANSPOSE(Page1!C21)</f>
        <v>0</v>
      </c>
      <c r="D16" s="110">
        <f t="array" ref="D16">TRANSPOSE(Page4!J22:K51)</f>
        <v>0</v>
      </c>
      <c r="E16" s="110">
        <f t="array" ref="E16">TRANSPOSE(Page1!D21:F21)</f>
        <v>0</v>
      </c>
      <c r="F16" s="111" t="e">
        <f t="array" ref="F16">TRANSPOSE(Page3!G22)</f>
        <v>#DIV/0!</v>
      </c>
      <c r="G16" s="111" t="e">
        <f t="array" ref="G16">TRANSPOSE(Page2!G22)</f>
        <v>#DIV/0!</v>
      </c>
      <c r="H16" s="112" t="e">
        <f t="array" ref="H16">TRANSPOSE(Page3!K22)</f>
        <v>#DIV/0!</v>
      </c>
      <c r="I16" s="112" t="e">
        <f t="array" ref="I16">TRANSPOSE(Page2!K22)</f>
        <v>#DIV/0!</v>
      </c>
      <c r="J16" s="112" t="e">
        <f t="array" ref="J16">TRANSPOSE(Page2!O22)</f>
        <v>#DIV/0!</v>
      </c>
      <c r="K16" s="113">
        <f t="array" ref="K16">TRANSPOSE(Page1!G21:I21)</f>
        <v>0</v>
      </c>
      <c r="L16" s="112" t="e">
        <f t="array" ref="L16">TRANSPOSE(Page3!O22)</f>
        <v>#DIV/0!</v>
      </c>
      <c r="M16" s="115">
        <f>M3</f>
        <v>0</v>
      </c>
      <c r="N16" s="111">
        <f>Page5!D22</f>
        <v>0</v>
      </c>
      <c r="O16" s="115">
        <f t="shared" ref="O16" si="12">O3</f>
        <v>0</v>
      </c>
    </row>
    <row r="17" spans="1:15">
      <c r="A17" s="389"/>
      <c r="B17" s="108">
        <f t="array" ref="B17">TRANSPOSE(Page1!C22)</f>
        <v>0</v>
      </c>
      <c r="D17" s="110">
        <f t="array" ref="D17">TRANSPOSE(Page4!J23:K52)</f>
        <v>0</v>
      </c>
      <c r="E17" s="110">
        <f t="array" ref="E17">TRANSPOSE(Page1!D22:F22)</f>
        <v>0</v>
      </c>
      <c r="F17" s="111" t="e">
        <f t="array" ref="F17">TRANSPOSE(Page3!G23)</f>
        <v>#DIV/0!</v>
      </c>
      <c r="G17" s="111" t="e">
        <f t="array" ref="G17">TRANSPOSE(Page2!G23)</f>
        <v>#DIV/0!</v>
      </c>
      <c r="H17" s="112" t="e">
        <f t="array" ref="H17">TRANSPOSE(Page3!K23)</f>
        <v>#DIV/0!</v>
      </c>
      <c r="I17" s="112" t="e">
        <f t="array" ref="I17">TRANSPOSE(Page2!K23)</f>
        <v>#DIV/0!</v>
      </c>
      <c r="J17" s="112" t="e">
        <f t="array" ref="J17">TRANSPOSE(Page2!O23)</f>
        <v>#DIV/0!</v>
      </c>
      <c r="K17" s="113">
        <f t="array" ref="K17">TRANSPOSE(Page1!G22:I22)</f>
        <v>0</v>
      </c>
      <c r="L17" s="112" t="e">
        <f t="array" ref="L17">TRANSPOSE(Page3!O23)</f>
        <v>#DIV/0!</v>
      </c>
      <c r="M17" s="115">
        <f>M3</f>
        <v>0</v>
      </c>
      <c r="N17" s="111">
        <f>Page5!D23</f>
        <v>0</v>
      </c>
      <c r="O17" s="115">
        <f t="shared" ref="O17" si="13">O3</f>
        <v>0</v>
      </c>
    </row>
    <row r="18" spans="1:15">
      <c r="A18" s="389"/>
      <c r="B18" s="108">
        <f t="array" ref="B18">TRANSPOSE(Page1!C23)</f>
        <v>0</v>
      </c>
      <c r="D18" s="110">
        <f t="array" ref="D18">TRANSPOSE(Page4!J24:K53)</f>
        <v>0</v>
      </c>
      <c r="E18" s="110">
        <f t="array" ref="E18">TRANSPOSE(Page1!D23:F23)</f>
        <v>0</v>
      </c>
      <c r="F18" s="111" t="e">
        <f t="array" ref="F18">TRANSPOSE(Page3!G24)</f>
        <v>#DIV/0!</v>
      </c>
      <c r="G18" s="111" t="e">
        <f t="array" ref="G18">TRANSPOSE(Page2!G24)</f>
        <v>#DIV/0!</v>
      </c>
      <c r="H18" s="112" t="e">
        <f t="array" ref="H18">TRANSPOSE(Page3!K24)</f>
        <v>#DIV/0!</v>
      </c>
      <c r="I18" s="112" t="e">
        <f t="array" ref="I18">TRANSPOSE(Page2!K24)</f>
        <v>#DIV/0!</v>
      </c>
      <c r="J18" s="112" t="e">
        <f t="array" ref="J18">TRANSPOSE(Page2!O24)</f>
        <v>#DIV/0!</v>
      </c>
      <c r="K18" s="113">
        <f t="array" ref="K18">TRANSPOSE(Page1!G23:I23)</f>
        <v>0</v>
      </c>
      <c r="L18" s="112" t="e">
        <f t="array" ref="L18">TRANSPOSE(Page3!O24)</f>
        <v>#DIV/0!</v>
      </c>
      <c r="M18" s="115">
        <f>M3</f>
        <v>0</v>
      </c>
      <c r="N18" s="111">
        <f>Page5!D24</f>
        <v>0</v>
      </c>
      <c r="O18" s="115">
        <f t="shared" ref="O18" si="14">O3</f>
        <v>0</v>
      </c>
    </row>
    <row r="19" spans="1:15">
      <c r="A19" s="389"/>
      <c r="B19" s="108">
        <f t="array" ref="B19">TRANSPOSE(Page1!C24)</f>
        <v>0</v>
      </c>
      <c r="D19" s="110">
        <f t="array" ref="D19">TRANSPOSE(Page4!J25:K54)</f>
        <v>0</v>
      </c>
      <c r="E19" s="110">
        <f t="array" ref="E19">TRANSPOSE(Page1!D24:F24)</f>
        <v>0</v>
      </c>
      <c r="F19" s="111" t="e">
        <f t="array" ref="F19">TRANSPOSE(Page3!G25)</f>
        <v>#DIV/0!</v>
      </c>
      <c r="G19" s="111" t="e">
        <f t="array" ref="G19">TRANSPOSE(Page2!G25)</f>
        <v>#DIV/0!</v>
      </c>
      <c r="H19" s="112" t="e">
        <f t="array" ref="H19">TRANSPOSE(Page3!K25)</f>
        <v>#DIV/0!</v>
      </c>
      <c r="I19" s="112" t="e">
        <f t="array" ref="I19">TRANSPOSE(Page2!K25)</f>
        <v>#DIV/0!</v>
      </c>
      <c r="J19" s="112" t="e">
        <f t="array" ref="J19">TRANSPOSE(Page2!O25)</f>
        <v>#DIV/0!</v>
      </c>
      <c r="K19" s="113">
        <f t="array" ref="K19">TRANSPOSE(Page1!G24:I24)</f>
        <v>0</v>
      </c>
      <c r="L19" s="112" t="e">
        <f t="array" ref="L19">TRANSPOSE(Page3!O25)</f>
        <v>#DIV/0!</v>
      </c>
      <c r="M19" s="115">
        <f>M3</f>
        <v>0</v>
      </c>
      <c r="N19" s="111">
        <f>Page5!D25</f>
        <v>0</v>
      </c>
      <c r="O19" s="115">
        <f t="shared" ref="O19" si="15">O3</f>
        <v>0</v>
      </c>
    </row>
    <row r="20" spans="1:15">
      <c r="A20" s="389"/>
      <c r="B20" s="108">
        <f t="array" ref="B20">TRANSPOSE(Page1!C25)</f>
        <v>0</v>
      </c>
      <c r="D20" s="110">
        <f t="array" ref="D20">TRANSPOSE(Page4!J26:K55)</f>
        <v>0</v>
      </c>
      <c r="E20" s="110">
        <f t="array" ref="E20">TRANSPOSE(Page1!D25:F25)</f>
        <v>0</v>
      </c>
      <c r="F20" s="111" t="e">
        <f t="array" ref="F20">TRANSPOSE(Page3!G26)</f>
        <v>#DIV/0!</v>
      </c>
      <c r="G20" s="111" t="e">
        <f t="array" ref="G20">TRANSPOSE(Page2!G26)</f>
        <v>#DIV/0!</v>
      </c>
      <c r="H20" s="112" t="e">
        <f t="array" ref="H20">TRANSPOSE(Page3!K26)</f>
        <v>#DIV/0!</v>
      </c>
      <c r="I20" s="112" t="e">
        <f t="array" ref="I20">TRANSPOSE(Page2!K26)</f>
        <v>#DIV/0!</v>
      </c>
      <c r="J20" s="112" t="e">
        <f t="array" ref="J20">TRANSPOSE(Page2!O26)</f>
        <v>#DIV/0!</v>
      </c>
      <c r="K20" s="113">
        <f t="array" ref="K20">TRANSPOSE(Page1!G25:I25)</f>
        <v>0</v>
      </c>
      <c r="L20" s="112" t="e">
        <f t="array" ref="L20">TRANSPOSE(Page3!O26)</f>
        <v>#DIV/0!</v>
      </c>
      <c r="M20" s="115">
        <f>M3</f>
        <v>0</v>
      </c>
      <c r="N20" s="111">
        <f>Page5!D26</f>
        <v>0</v>
      </c>
      <c r="O20" s="115">
        <f t="shared" ref="O20" si="16">O3</f>
        <v>0</v>
      </c>
    </row>
    <row r="21" spans="1:15">
      <c r="A21" s="389"/>
      <c r="B21" s="108">
        <f t="array" ref="B21">TRANSPOSE(Page1!C26)</f>
        <v>0</v>
      </c>
      <c r="D21" s="110">
        <f t="array" ref="D21">TRANSPOSE(Page4!J27:K56)</f>
        <v>0</v>
      </c>
      <c r="E21" s="110">
        <f t="array" ref="E21">TRANSPOSE(Page1!D26:F26)</f>
        <v>0</v>
      </c>
      <c r="F21" s="111" t="e">
        <f t="array" ref="F21">TRANSPOSE(Page3!G27)</f>
        <v>#DIV/0!</v>
      </c>
      <c r="G21" s="111" t="e">
        <f t="array" ref="G21">TRANSPOSE(Page2!G27)</f>
        <v>#DIV/0!</v>
      </c>
      <c r="H21" s="112" t="e">
        <f t="array" ref="H21">TRANSPOSE(Page3!K27)</f>
        <v>#DIV/0!</v>
      </c>
      <c r="I21" s="112" t="e">
        <f t="array" ref="I21">TRANSPOSE(Page2!K27)</f>
        <v>#DIV/0!</v>
      </c>
      <c r="J21" s="112" t="e">
        <f t="array" ref="J21">TRANSPOSE(Page2!O27)</f>
        <v>#DIV/0!</v>
      </c>
      <c r="K21" s="113">
        <f t="array" ref="K21">TRANSPOSE(Page1!G26:I26)</f>
        <v>0</v>
      </c>
      <c r="L21" s="112" t="e">
        <f t="array" ref="L21">TRANSPOSE(Page3!O27)</f>
        <v>#DIV/0!</v>
      </c>
      <c r="M21" s="115">
        <f>M3</f>
        <v>0</v>
      </c>
      <c r="N21" s="111">
        <f>Page5!D27</f>
        <v>0</v>
      </c>
      <c r="O21" s="115">
        <f t="shared" ref="O21" si="17">O3</f>
        <v>0</v>
      </c>
    </row>
    <row r="22" spans="1:15">
      <c r="A22" s="389"/>
      <c r="B22" s="108">
        <f t="array" ref="B22">TRANSPOSE(Page1!C27)</f>
        <v>0</v>
      </c>
      <c r="D22" s="110">
        <f t="array" ref="D22">TRANSPOSE(Page4!J28:K57)</f>
        <v>0</v>
      </c>
      <c r="E22" s="110">
        <f t="array" ref="E22">TRANSPOSE(Page1!D27:F27)</f>
        <v>0</v>
      </c>
      <c r="F22" s="111" t="e">
        <f t="array" ref="F22">TRANSPOSE(Page3!G28)</f>
        <v>#DIV/0!</v>
      </c>
      <c r="G22" s="111" t="e">
        <f t="array" ref="G22">TRANSPOSE(Page2!G28)</f>
        <v>#DIV/0!</v>
      </c>
      <c r="H22" s="112" t="e">
        <f t="array" ref="H22">TRANSPOSE(Page3!K28)</f>
        <v>#DIV/0!</v>
      </c>
      <c r="I22" s="112" t="e">
        <f t="array" ref="I22">TRANSPOSE(Page2!K28)</f>
        <v>#DIV/0!</v>
      </c>
      <c r="J22" s="112" t="e">
        <f t="array" ref="J22">TRANSPOSE(Page2!O28)</f>
        <v>#DIV/0!</v>
      </c>
      <c r="K22" s="113">
        <f t="array" ref="K22">TRANSPOSE(Page1!G27:I27)</f>
        <v>0</v>
      </c>
      <c r="L22" s="112" t="e">
        <f t="array" ref="L22">TRANSPOSE(Page3!O28)</f>
        <v>#DIV/0!</v>
      </c>
      <c r="M22" s="115">
        <f>M3</f>
        <v>0</v>
      </c>
      <c r="N22" s="111">
        <f>Page5!D28</f>
        <v>0</v>
      </c>
      <c r="O22" s="115">
        <f t="shared" ref="O22" si="18">O3</f>
        <v>0</v>
      </c>
    </row>
    <row r="23" spans="1:15">
      <c r="A23" s="389"/>
      <c r="B23" s="108">
        <f t="array" ref="B23">TRANSPOSE(Page1!C28)</f>
        <v>0</v>
      </c>
      <c r="D23" s="110">
        <f t="array" ref="D23">TRANSPOSE(Page4!J29:K58)</f>
        <v>0</v>
      </c>
      <c r="E23" s="110">
        <f t="array" ref="E23">TRANSPOSE(Page1!D28:F28)</f>
        <v>0</v>
      </c>
      <c r="F23" s="111" t="e">
        <f t="array" ref="F23">TRANSPOSE(Page3!G29)</f>
        <v>#DIV/0!</v>
      </c>
      <c r="G23" s="111" t="e">
        <f t="array" ref="G23">TRANSPOSE(Page2!G29)</f>
        <v>#DIV/0!</v>
      </c>
      <c r="H23" s="112" t="e">
        <f t="array" ref="H23">TRANSPOSE(Page3!K29)</f>
        <v>#DIV/0!</v>
      </c>
      <c r="I23" s="112" t="e">
        <f t="array" ref="I23">TRANSPOSE(Page2!K29)</f>
        <v>#DIV/0!</v>
      </c>
      <c r="J23" s="112" t="e">
        <f t="array" ref="J23">TRANSPOSE(Page2!O29)</f>
        <v>#DIV/0!</v>
      </c>
      <c r="K23" s="113">
        <f t="array" ref="K23">TRANSPOSE(Page1!G28:I28)</f>
        <v>0</v>
      </c>
      <c r="L23" s="112" t="e">
        <f t="array" ref="L23">TRANSPOSE(Page3!O29)</f>
        <v>#DIV/0!</v>
      </c>
      <c r="M23" s="115">
        <f>M3</f>
        <v>0</v>
      </c>
      <c r="N23" s="111">
        <f>Page5!D29</f>
        <v>0</v>
      </c>
      <c r="O23" s="115">
        <f t="shared" ref="O23" si="19">O3</f>
        <v>0</v>
      </c>
    </row>
    <row r="24" spans="1:15">
      <c r="A24" s="389"/>
      <c r="B24" s="108">
        <f t="array" ref="B24">TRANSPOSE(Page1!C29)</f>
        <v>0</v>
      </c>
      <c r="D24" s="110">
        <f t="array" ref="D24">TRANSPOSE(Page4!J30:K59)</f>
        <v>0</v>
      </c>
      <c r="E24" s="110">
        <f t="array" ref="E24">TRANSPOSE(Page1!D29:F29)</f>
        <v>0</v>
      </c>
      <c r="F24" s="111" t="e">
        <f t="array" ref="F24">TRANSPOSE(Page3!G30)</f>
        <v>#DIV/0!</v>
      </c>
      <c r="G24" s="111" t="e">
        <f t="array" ref="G24">TRANSPOSE(Page2!G30)</f>
        <v>#DIV/0!</v>
      </c>
      <c r="H24" s="112" t="e">
        <f t="array" ref="H24">TRANSPOSE(Page3!K30)</f>
        <v>#DIV/0!</v>
      </c>
      <c r="I24" s="112" t="e">
        <f t="array" ref="I24">TRANSPOSE(Page2!K30)</f>
        <v>#DIV/0!</v>
      </c>
      <c r="J24" s="112" t="e">
        <f t="array" ref="J24">TRANSPOSE(Page2!O30)</f>
        <v>#DIV/0!</v>
      </c>
      <c r="K24" s="113">
        <f t="array" ref="K24">TRANSPOSE(Page1!G29:I29)</f>
        <v>0</v>
      </c>
      <c r="L24" s="112" t="e">
        <f t="array" ref="L24">TRANSPOSE(Page3!O30)</f>
        <v>#DIV/0!</v>
      </c>
      <c r="M24" s="115">
        <f>M3</f>
        <v>0</v>
      </c>
      <c r="N24" s="111">
        <f>Page5!D30</f>
        <v>0</v>
      </c>
      <c r="O24" s="115">
        <f t="shared" ref="O24" si="20">O3</f>
        <v>0</v>
      </c>
    </row>
    <row r="25" spans="1:15">
      <c r="A25" s="389"/>
      <c r="B25" s="108">
        <f t="array" ref="B25">TRANSPOSE(Page1!C30)</f>
        <v>0</v>
      </c>
      <c r="D25" s="110">
        <f t="array" ref="D25">TRANSPOSE(Page4!J31:K60)</f>
        <v>0</v>
      </c>
      <c r="E25" s="110">
        <f t="array" ref="E25">TRANSPOSE(Page1!D30:F30)</f>
        <v>0</v>
      </c>
      <c r="F25" s="111" t="e">
        <f t="array" ref="F25">TRANSPOSE(Page3!G31)</f>
        <v>#DIV/0!</v>
      </c>
      <c r="G25" s="111" t="e">
        <f t="array" ref="G25">TRANSPOSE(Page2!G31)</f>
        <v>#DIV/0!</v>
      </c>
      <c r="H25" s="112" t="e">
        <f t="array" ref="H25">TRANSPOSE(Page3!K31)</f>
        <v>#DIV/0!</v>
      </c>
      <c r="I25" s="112" t="e">
        <f t="array" ref="I25">TRANSPOSE(Page2!K31)</f>
        <v>#DIV/0!</v>
      </c>
      <c r="J25" s="112" t="e">
        <f t="array" ref="J25">TRANSPOSE(Page2!O31)</f>
        <v>#DIV/0!</v>
      </c>
      <c r="K25" s="113">
        <f t="array" ref="K25">TRANSPOSE(Page1!G30:I30)</f>
        <v>0</v>
      </c>
      <c r="L25" s="112" t="e">
        <f t="array" ref="L25">TRANSPOSE(Page3!O31)</f>
        <v>#DIV/0!</v>
      </c>
      <c r="M25" s="115">
        <f>M3</f>
        <v>0</v>
      </c>
      <c r="N25" s="111">
        <f>Page5!D31</f>
        <v>0</v>
      </c>
      <c r="O25" s="115">
        <f t="shared" ref="O25" si="21">O3</f>
        <v>0</v>
      </c>
    </row>
    <row r="26" spans="1:15">
      <c r="A26" s="389"/>
      <c r="B26" s="108">
        <f t="array" ref="B26">TRANSPOSE(Page1!C31)</f>
        <v>0</v>
      </c>
      <c r="D26" s="110">
        <f t="array" ref="D26">TRANSPOSE(Page4!J32:K61)</f>
        <v>0</v>
      </c>
      <c r="E26" s="110">
        <f t="array" ref="E26">TRANSPOSE(Page1!D31:F31)</f>
        <v>0</v>
      </c>
      <c r="F26" s="111" t="e">
        <f t="array" ref="F26">TRANSPOSE(Page3!G32)</f>
        <v>#DIV/0!</v>
      </c>
      <c r="G26" s="111" t="e">
        <f t="array" ref="G26">TRANSPOSE(Page2!G32)</f>
        <v>#DIV/0!</v>
      </c>
      <c r="H26" s="112" t="e">
        <f t="array" ref="H26">TRANSPOSE(Page3!K32)</f>
        <v>#DIV/0!</v>
      </c>
      <c r="I26" s="112" t="e">
        <f t="array" ref="I26">TRANSPOSE(Page2!K32)</f>
        <v>#DIV/0!</v>
      </c>
      <c r="J26" s="112" t="e">
        <f t="array" ref="J26">TRANSPOSE(Page2!O32)</f>
        <v>#DIV/0!</v>
      </c>
      <c r="K26" s="113">
        <f t="array" ref="K26">TRANSPOSE(Page1!G31:I31)</f>
        <v>0</v>
      </c>
      <c r="L26" s="112" t="e">
        <f t="array" ref="L26">TRANSPOSE(Page3!O32)</f>
        <v>#DIV/0!</v>
      </c>
      <c r="M26" s="115">
        <f>M3</f>
        <v>0</v>
      </c>
      <c r="N26" s="111">
        <f>Page5!D32</f>
        <v>0</v>
      </c>
      <c r="O26" s="115">
        <f t="shared" ref="O26" si="22">O3</f>
        <v>0</v>
      </c>
    </row>
    <row r="27" spans="1:15">
      <c r="A27" s="389"/>
      <c r="B27" s="108">
        <f t="array" ref="B27">TRANSPOSE(Page1!C32)</f>
        <v>0</v>
      </c>
      <c r="D27" s="110">
        <f t="array" ref="D27">TRANSPOSE(Page4!J33:K62)</f>
        <v>0</v>
      </c>
      <c r="E27" s="110">
        <f t="array" ref="E27">TRANSPOSE(Page1!D32:F32)</f>
        <v>0</v>
      </c>
      <c r="F27" s="111" t="e">
        <f t="array" ref="F27">TRANSPOSE(Page3!G33)</f>
        <v>#DIV/0!</v>
      </c>
      <c r="G27" s="111" t="e">
        <f t="array" ref="G27">TRANSPOSE(Page2!G33)</f>
        <v>#DIV/0!</v>
      </c>
      <c r="H27" s="112" t="e">
        <f t="array" ref="H27">TRANSPOSE(Page3!K33)</f>
        <v>#DIV/0!</v>
      </c>
      <c r="I27" s="112" t="e">
        <f t="array" ref="I27">TRANSPOSE(Page2!K33)</f>
        <v>#DIV/0!</v>
      </c>
      <c r="J27" s="112" t="e">
        <f t="array" ref="J27">TRANSPOSE(Page2!O33)</f>
        <v>#DIV/0!</v>
      </c>
      <c r="K27" s="113">
        <f t="array" ref="K27">TRANSPOSE(Page1!G32:I32)</f>
        <v>0</v>
      </c>
      <c r="L27" s="112" t="e">
        <f t="array" ref="L27">TRANSPOSE(Page3!O33)</f>
        <v>#DIV/0!</v>
      </c>
      <c r="M27" s="115">
        <f>M3</f>
        <v>0</v>
      </c>
      <c r="N27" s="111">
        <f>Page5!D33</f>
        <v>0</v>
      </c>
      <c r="O27" s="115">
        <f t="shared" ref="O27" si="23">O3</f>
        <v>0</v>
      </c>
    </row>
    <row r="28" spans="1:15">
      <c r="A28" s="389"/>
      <c r="B28" s="108">
        <f t="array" ref="B28">TRANSPOSE(Page1!C33)</f>
        <v>0</v>
      </c>
      <c r="D28" s="110">
        <f t="array" ref="D28">TRANSPOSE(Page4!J34:K63)</f>
        <v>0</v>
      </c>
      <c r="E28" s="110">
        <f t="array" ref="E28">TRANSPOSE(Page1!D33:F33)</f>
        <v>0</v>
      </c>
      <c r="F28" s="111" t="e">
        <f t="array" ref="F28">TRANSPOSE(Page3!G34)</f>
        <v>#DIV/0!</v>
      </c>
      <c r="G28" s="111" t="e">
        <f t="array" ref="G28">TRANSPOSE(Page2!G34)</f>
        <v>#DIV/0!</v>
      </c>
      <c r="H28" s="112" t="e">
        <f t="array" ref="H28">TRANSPOSE(Page3!K34)</f>
        <v>#DIV/0!</v>
      </c>
      <c r="I28" s="112" t="e">
        <f t="array" ref="I28">TRANSPOSE(Page2!K34)</f>
        <v>#DIV/0!</v>
      </c>
      <c r="J28" s="112" t="e">
        <f t="array" ref="J28">TRANSPOSE(Page2!O34)</f>
        <v>#DIV/0!</v>
      </c>
      <c r="K28" s="113">
        <f t="array" ref="K28">TRANSPOSE(Page1!G33:I33)</f>
        <v>0</v>
      </c>
      <c r="L28" s="112" t="e">
        <f t="array" ref="L28">TRANSPOSE(Page3!O34)</f>
        <v>#DIV/0!</v>
      </c>
      <c r="M28" s="115">
        <f>M3</f>
        <v>0</v>
      </c>
      <c r="N28" s="111">
        <f>Page5!D34</f>
        <v>0</v>
      </c>
      <c r="O28" s="115">
        <f t="shared" ref="O28" si="24">O3</f>
        <v>0</v>
      </c>
    </row>
    <row r="29" spans="1:15">
      <c r="A29" s="389"/>
      <c r="B29" s="108">
        <f t="array" ref="B29">TRANSPOSE(Page1!C34)</f>
        <v>0</v>
      </c>
      <c r="D29" s="110">
        <f t="array" ref="D29">TRANSPOSE(Page4!J35:K64)</f>
        <v>0</v>
      </c>
      <c r="E29" s="110">
        <f t="array" ref="E29">TRANSPOSE(Page1!D34:F34)</f>
        <v>0</v>
      </c>
      <c r="F29" s="111" t="e">
        <f t="array" ref="F29">TRANSPOSE(Page3!G35)</f>
        <v>#DIV/0!</v>
      </c>
      <c r="G29" s="111" t="e">
        <f t="array" ref="G29">TRANSPOSE(Page2!G35)</f>
        <v>#DIV/0!</v>
      </c>
      <c r="H29" s="112" t="e">
        <f t="array" ref="H29">TRANSPOSE(Page3!K35)</f>
        <v>#DIV/0!</v>
      </c>
      <c r="I29" s="112" t="e">
        <f t="array" ref="I29">TRANSPOSE(Page2!K35)</f>
        <v>#DIV/0!</v>
      </c>
      <c r="J29" s="112" t="e">
        <f t="array" ref="J29">TRANSPOSE(Page2!O35)</f>
        <v>#DIV/0!</v>
      </c>
      <c r="K29" s="113">
        <f t="array" ref="K29">TRANSPOSE(Page1!G34:I34)</f>
        <v>0</v>
      </c>
      <c r="L29" s="112" t="e">
        <f t="array" ref="L29">TRANSPOSE(Page3!O35)</f>
        <v>#DIV/0!</v>
      </c>
      <c r="M29" s="115">
        <f>M3</f>
        <v>0</v>
      </c>
      <c r="N29" s="111">
        <f>Page5!D35</f>
        <v>0</v>
      </c>
      <c r="O29" s="115">
        <f t="shared" ref="O29" si="25">O3</f>
        <v>0</v>
      </c>
    </row>
    <row r="30" spans="1:15">
      <c r="A30" s="389"/>
      <c r="B30" s="108">
        <f t="array" ref="B30">TRANSPOSE(Page1!C35)</f>
        <v>0</v>
      </c>
      <c r="D30" s="110">
        <f t="array" ref="D30">TRANSPOSE(Page4!J36:K65)</f>
        <v>0</v>
      </c>
      <c r="E30" s="110">
        <f t="array" ref="E30">TRANSPOSE(Page1!D35:F35)</f>
        <v>0</v>
      </c>
      <c r="F30" s="111" t="e">
        <f t="array" ref="F30">TRANSPOSE(Page3!G36)</f>
        <v>#DIV/0!</v>
      </c>
      <c r="G30" s="111" t="e">
        <f t="array" ref="G30">TRANSPOSE(Page2!G36)</f>
        <v>#DIV/0!</v>
      </c>
      <c r="H30" s="112" t="e">
        <f t="array" ref="H30">TRANSPOSE(Page3!K36)</f>
        <v>#DIV/0!</v>
      </c>
      <c r="I30" s="112" t="e">
        <f t="array" ref="I30">TRANSPOSE(Page2!K36)</f>
        <v>#DIV/0!</v>
      </c>
      <c r="J30" s="112" t="e">
        <f t="array" ref="J30">TRANSPOSE(Page2!O36)</f>
        <v>#DIV/0!</v>
      </c>
      <c r="K30" s="113">
        <f t="array" ref="K30">TRANSPOSE(Page1!G35:I35)</f>
        <v>0</v>
      </c>
      <c r="L30" s="112" t="e">
        <f t="array" ref="L30">TRANSPOSE(Page3!O36)</f>
        <v>#DIV/0!</v>
      </c>
      <c r="M30" s="115">
        <f>M3</f>
        <v>0</v>
      </c>
      <c r="N30" s="111">
        <f>Page5!D36</f>
        <v>0</v>
      </c>
      <c r="O30" s="115">
        <f t="shared" ref="O30" si="26">O3</f>
        <v>0</v>
      </c>
    </row>
    <row r="31" spans="1:15">
      <c r="A31" s="389"/>
      <c r="B31" s="108">
        <f t="array" ref="B31">TRANSPOSE(Page1!C36)</f>
        <v>0</v>
      </c>
      <c r="D31" s="110">
        <f t="array" ref="D31">TRANSPOSE(Page4!J37:K66)</f>
        <v>0</v>
      </c>
      <c r="E31" s="110">
        <f t="array" ref="E31">TRANSPOSE(Page1!D36:F36)</f>
        <v>0</v>
      </c>
      <c r="F31" s="111" t="e">
        <f t="array" ref="F31">TRANSPOSE(Page3!G37)</f>
        <v>#DIV/0!</v>
      </c>
      <c r="G31" s="111" t="e">
        <f t="array" ref="G31">TRANSPOSE(Page2!G37)</f>
        <v>#DIV/0!</v>
      </c>
      <c r="H31" s="112" t="e">
        <f t="array" ref="H31">TRANSPOSE(Page3!K37)</f>
        <v>#DIV/0!</v>
      </c>
      <c r="I31" s="112" t="e">
        <f t="array" ref="I31">TRANSPOSE(Page2!K37)</f>
        <v>#DIV/0!</v>
      </c>
      <c r="J31" s="112" t="e">
        <f t="array" ref="J31">TRANSPOSE(Page2!O37)</f>
        <v>#DIV/0!</v>
      </c>
      <c r="K31" s="113">
        <f t="array" ref="K31">TRANSPOSE(Page1!G36:I36)</f>
        <v>0</v>
      </c>
      <c r="L31" s="112" t="e">
        <f t="array" ref="L31">TRANSPOSE(Page3!O37)</f>
        <v>#DIV/0!</v>
      </c>
      <c r="M31" s="115">
        <f>M3</f>
        <v>0</v>
      </c>
      <c r="N31" s="111">
        <f>Page5!D37</f>
        <v>0</v>
      </c>
      <c r="O31" s="115">
        <f t="shared" ref="O31" si="27">O3</f>
        <v>0</v>
      </c>
    </row>
    <row r="32" spans="1:15">
      <c r="A32" s="107"/>
      <c r="B32" s="108">
        <f t="array" ref="B32">TRANSPOSE(Page1!C37)</f>
        <v>0</v>
      </c>
      <c r="D32" s="110">
        <f t="array" ref="D32">TRANSPOSE(Page4!J38:K67)</f>
        <v>0</v>
      </c>
      <c r="E32" s="110">
        <f t="array" ref="E32">TRANSPOSE(Page1!D37:F37)</f>
        <v>0</v>
      </c>
      <c r="F32" s="111" t="e">
        <f t="array" ref="F32">TRANSPOSE(Page3!G38)</f>
        <v>#DIV/0!</v>
      </c>
      <c r="G32" s="111" t="e">
        <f t="array" ref="G32">TRANSPOSE(Page2!G38)</f>
        <v>#DIV/0!</v>
      </c>
      <c r="H32" s="112" t="e">
        <f t="array" ref="H32">TRANSPOSE(Page3!K38)</f>
        <v>#DIV/0!</v>
      </c>
      <c r="I32" s="112" t="e">
        <f t="array" ref="I32">TRANSPOSE(Page2!K38)</f>
        <v>#DIV/0!</v>
      </c>
      <c r="J32" s="112" t="e">
        <f t="array" ref="J32">TRANSPOSE(Page2!O38)</f>
        <v>#DIV/0!</v>
      </c>
      <c r="K32" s="113">
        <f t="array" ref="K32">TRANSPOSE(Page1!G37:I37)</f>
        <v>0</v>
      </c>
      <c r="L32" s="112" t="e">
        <f t="array" ref="L32">TRANSPOSE(Page3!O38)</f>
        <v>#DIV/0!</v>
      </c>
      <c r="M32" s="115">
        <f>M3</f>
        <v>0</v>
      </c>
      <c r="N32" s="111">
        <f>Page5!D38</f>
        <v>0</v>
      </c>
      <c r="O32" s="115">
        <f t="shared" ref="O32" si="28">O3</f>
        <v>0</v>
      </c>
    </row>
    <row r="33" spans="4:4">
      <c r="D33" s="1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ED27F-A8CF-41CA-AAD6-B93B0FC85296}">
  <dimension ref="A1:AT125"/>
  <sheetViews>
    <sheetView zoomScaleNormal="100" workbookViewId="0">
      <selection activeCell="AJ31" sqref="AJ31"/>
    </sheetView>
  </sheetViews>
  <sheetFormatPr defaultRowHeight="11.25"/>
  <cols>
    <col min="1" max="1" width="5" style="84" customWidth="1"/>
    <col min="2" max="2" width="35.5703125" style="84" customWidth="1"/>
    <col min="3" max="4" width="17.140625" style="84" customWidth="1"/>
    <col min="5" max="10" width="7.7109375" style="84" customWidth="1"/>
    <col min="11" max="40" width="9.28515625" style="84" customWidth="1"/>
    <col min="41" max="42" width="9.28515625" style="91" customWidth="1"/>
    <col min="43" max="43" width="9.28515625" style="84" customWidth="1"/>
    <col min="44" max="45" width="9.28515625" style="91" customWidth="1"/>
    <col min="46" max="46" width="9.28515625" style="84" customWidth="1"/>
    <col min="47" max="16384" width="9.140625" style="84"/>
  </cols>
  <sheetData>
    <row r="1" spans="1:46" ht="15.75" customHeight="1">
      <c r="B1" s="85"/>
      <c r="C1" s="86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8"/>
      <c r="Y1" s="88"/>
      <c r="Z1" s="88"/>
      <c r="AA1" s="88"/>
      <c r="AB1" s="88"/>
      <c r="AC1" s="88"/>
      <c r="AD1" s="89"/>
      <c r="AE1" s="89"/>
      <c r="AF1" s="89"/>
      <c r="AG1" s="89"/>
      <c r="AH1" s="89"/>
      <c r="AI1" s="89"/>
      <c r="AJ1" s="88"/>
      <c r="AK1" s="89"/>
      <c r="AL1" s="90"/>
      <c r="AM1" s="88"/>
    </row>
    <row r="2" spans="1:46" s="119" customFormat="1" ht="24">
      <c r="A2" s="117" t="s">
        <v>51</v>
      </c>
      <c r="B2" s="117" t="s">
        <v>52</v>
      </c>
      <c r="C2" s="117" t="s">
        <v>53</v>
      </c>
      <c r="D2" s="117" t="s">
        <v>54</v>
      </c>
      <c r="E2" s="117" t="s">
        <v>55</v>
      </c>
      <c r="F2" s="117" t="s">
        <v>56</v>
      </c>
      <c r="G2" s="117" t="s">
        <v>57</v>
      </c>
      <c r="H2" s="117" t="s">
        <v>58</v>
      </c>
      <c r="I2" s="117" t="s">
        <v>59</v>
      </c>
      <c r="J2" s="117" t="s">
        <v>60</v>
      </c>
      <c r="K2" s="117">
        <v>1</v>
      </c>
      <c r="L2" s="117">
        <v>2</v>
      </c>
      <c r="M2" s="117">
        <v>3</v>
      </c>
      <c r="N2" s="117">
        <v>4</v>
      </c>
      <c r="O2" s="117">
        <v>5</v>
      </c>
      <c r="P2" s="117">
        <v>6</v>
      </c>
      <c r="Q2" s="117">
        <v>7</v>
      </c>
      <c r="R2" s="117">
        <v>8</v>
      </c>
      <c r="S2" s="117">
        <v>9</v>
      </c>
      <c r="T2" s="117">
        <v>10</v>
      </c>
      <c r="U2" s="117">
        <v>11</v>
      </c>
      <c r="V2" s="117">
        <v>12</v>
      </c>
      <c r="W2" s="117">
        <v>13</v>
      </c>
      <c r="X2" s="117">
        <v>14</v>
      </c>
      <c r="Y2" s="117">
        <v>15</v>
      </c>
      <c r="Z2" s="117">
        <v>16</v>
      </c>
      <c r="AA2" s="117">
        <v>17</v>
      </c>
      <c r="AB2" s="117">
        <v>18</v>
      </c>
      <c r="AC2" s="117">
        <v>19</v>
      </c>
      <c r="AD2" s="117">
        <v>20</v>
      </c>
      <c r="AE2" s="117">
        <v>21</v>
      </c>
      <c r="AF2" s="117">
        <v>22</v>
      </c>
      <c r="AG2" s="117">
        <v>23</v>
      </c>
      <c r="AH2" s="117">
        <v>24</v>
      </c>
      <c r="AI2" s="117">
        <v>25</v>
      </c>
      <c r="AJ2" s="117">
        <v>26</v>
      </c>
      <c r="AK2" s="117">
        <v>27</v>
      </c>
      <c r="AL2" s="117">
        <v>28</v>
      </c>
      <c r="AM2" s="117">
        <v>29</v>
      </c>
      <c r="AN2" s="117">
        <v>30</v>
      </c>
      <c r="AO2" s="118" t="s">
        <v>23</v>
      </c>
      <c r="AP2" s="118" t="s">
        <v>61</v>
      </c>
      <c r="AQ2" s="117" t="s">
        <v>62</v>
      </c>
      <c r="AR2" s="118" t="s">
        <v>63</v>
      </c>
      <c r="AS2" s="118" t="s">
        <v>64</v>
      </c>
      <c r="AT2" s="117" t="s">
        <v>65</v>
      </c>
    </row>
    <row r="3" spans="1:46" s="138" customFormat="1" ht="15" customHeight="1">
      <c r="A3" s="120">
        <v>1</v>
      </c>
      <c r="B3" s="135" t="s">
        <v>66</v>
      </c>
      <c r="C3" s="121" t="s">
        <v>67</v>
      </c>
      <c r="D3" s="134" t="s">
        <v>68</v>
      </c>
      <c r="E3" s="134" t="s">
        <v>69</v>
      </c>
      <c r="F3" s="134" t="s">
        <v>70</v>
      </c>
      <c r="G3" s="136" t="s">
        <v>71</v>
      </c>
      <c r="H3" s="136" t="s">
        <v>72</v>
      </c>
      <c r="I3" s="136" t="s">
        <v>73</v>
      </c>
      <c r="J3" s="136" t="s">
        <v>74</v>
      </c>
      <c r="K3" s="122" cm="1">
        <f t="array" ref="K3">INDEX(Page1!$D$8:$D$37, COLUMN(K4)-10)</f>
        <v>0</v>
      </c>
      <c r="L3" s="122" cm="1">
        <f t="array" ref="L3">INDEX(Page1!$D$8:$D$37, COLUMN(L4)-10)</f>
        <v>0</v>
      </c>
      <c r="M3" s="122" cm="1">
        <f t="array" ref="M3">INDEX(Page1!$D$8:$D$37, COLUMN(M4)-10)</f>
        <v>0</v>
      </c>
      <c r="N3" s="122" cm="1">
        <f t="array" ref="N3">INDEX(Page1!$D$8:$D$37, COLUMN(N4)-10)</f>
        <v>0</v>
      </c>
      <c r="O3" s="122" cm="1">
        <f t="array" ref="O3">INDEX(Page1!$D$8:$D$37, COLUMN(O4)-10)</f>
        <v>0</v>
      </c>
      <c r="P3" s="122" cm="1">
        <f t="array" ref="P3">INDEX(Page1!$D$8:$D$37, COLUMN(P4)-10)</f>
        <v>0</v>
      </c>
      <c r="Q3" s="122" cm="1">
        <f t="array" ref="Q3">INDEX(Page1!$D$8:$D$37, COLUMN(Q4)-10)</f>
        <v>0</v>
      </c>
      <c r="R3" s="122" cm="1">
        <f t="array" ref="R3">INDEX(Page1!$D$8:$D$37, COLUMN(R4)-10)</f>
        <v>0</v>
      </c>
      <c r="S3" s="122" cm="1">
        <f t="array" ref="S3">INDEX(Page1!$D$8:$D$37, COLUMN(S4)-10)</f>
        <v>0</v>
      </c>
      <c r="T3" s="122" cm="1">
        <f t="array" ref="T3">INDEX(Page1!$D$8:$D$37, COLUMN(T4)-10)</f>
        <v>0</v>
      </c>
      <c r="U3" s="122" cm="1">
        <f t="array" ref="U3">INDEX(Page1!$D$8:$D$37, COLUMN(U4)-10)</f>
        <v>0</v>
      </c>
      <c r="V3" s="122" cm="1">
        <f t="array" ref="V3">INDEX(Page1!$D$8:$D$37, COLUMN(V4)-10)</f>
        <v>0</v>
      </c>
      <c r="W3" s="122" cm="1">
        <f t="array" ref="W3">INDEX(Page1!$D$8:$D$37, COLUMN(W4)-10)</f>
        <v>0</v>
      </c>
      <c r="X3" s="122" cm="1">
        <f t="array" ref="X3">INDEX(Page1!$D$8:$D$37, COLUMN(X4)-10)</f>
        <v>0</v>
      </c>
      <c r="Y3" s="122" cm="1">
        <f t="array" ref="Y3">INDEX(Page1!$D$8:$D$37, COLUMN(Y4)-10)</f>
        <v>0</v>
      </c>
      <c r="Z3" s="122" cm="1">
        <f t="array" ref="Z3">INDEX(Page1!$D$8:$D$37, COLUMN(Z4)-10)</f>
        <v>0</v>
      </c>
      <c r="AA3" s="122" cm="1">
        <f t="array" ref="AA3">INDEX(Page1!$D$8:$D$37, COLUMN(AA4)-10)</f>
        <v>0</v>
      </c>
      <c r="AB3" s="122" cm="1">
        <f t="array" ref="AB3">INDEX(Page1!$D$8:$D$37, COLUMN(AB4)-10)</f>
        <v>0</v>
      </c>
      <c r="AC3" s="122" cm="1">
        <f t="array" ref="AC3">INDEX(Page1!$D$8:$D$37, COLUMN(AC4)-10)</f>
        <v>0</v>
      </c>
      <c r="AD3" s="122" cm="1">
        <f t="array" ref="AD3">INDEX(Page1!$D$8:$D$37, COLUMN(AD4)-10)</f>
        <v>0</v>
      </c>
      <c r="AE3" s="122" cm="1">
        <f t="array" ref="AE3">INDEX(Page1!$D$8:$D$37, COLUMN(AE4)-10)</f>
        <v>0</v>
      </c>
      <c r="AF3" s="122" cm="1">
        <f t="array" ref="AF3">INDEX(Page1!$D$8:$D$37, COLUMN(AF4)-10)</f>
        <v>0</v>
      </c>
      <c r="AG3" s="122" cm="1">
        <f t="array" ref="AG3">INDEX(Page1!$D$8:$D$37, COLUMN(AG4)-10)</f>
        <v>0</v>
      </c>
      <c r="AH3" s="122" cm="1">
        <f t="array" ref="AH3">INDEX(Page1!$D$8:$D$37, COLUMN(AH4)-10)</f>
        <v>0</v>
      </c>
      <c r="AI3" s="122" cm="1">
        <f t="array" ref="AI3">INDEX(Page1!$D$8:$D$37, COLUMN(AI4)-10)</f>
        <v>0</v>
      </c>
      <c r="AJ3" s="122" cm="1">
        <f t="array" ref="AJ3">INDEX(Page1!$D$8:$D$37, COLUMN(AJ4)-10)</f>
        <v>0</v>
      </c>
      <c r="AK3" s="122" cm="1">
        <f t="array" ref="AK3">INDEX(Page1!$D$8:$D$37, COLUMN(AK4)-10)</f>
        <v>0</v>
      </c>
      <c r="AL3" s="122" cm="1">
        <f t="array" ref="AL3">INDEX(Page1!$D$8:$D$37, COLUMN(AL4)-10)</f>
        <v>0</v>
      </c>
      <c r="AM3" s="122" cm="1">
        <f t="array" ref="AM3">INDEX(Page1!$D$8:$D$37, COLUMN(AM4)-10)</f>
        <v>0</v>
      </c>
      <c r="AN3" s="122" cm="1">
        <f t="array" ref="AN3">INDEX(Page1!$D$8:$D$37, COLUMN(AN4)-10)</f>
        <v>0</v>
      </c>
      <c r="AO3" s="123">
        <f t="shared" ref="AO3:AO16" si="0">AVERAGE(K3:AN3)</f>
        <v>0</v>
      </c>
      <c r="AP3" s="124">
        <f t="shared" ref="AP3:AP17" si="1">STDEV(K3:AN3)</f>
        <v>0</v>
      </c>
      <c r="AQ3" s="140" t="e">
        <f>MIN((AO3-H3)/(3*AP3), (I3-AO3)/(3*AP3))</f>
        <v>#DIV/0!</v>
      </c>
      <c r="AR3" s="124">
        <f t="shared" ref="AR3:AR17" si="2">MIN(K3:AN3)</f>
        <v>0</v>
      </c>
      <c r="AS3" s="124">
        <f t="shared" ref="AS3:AS13" si="3">MAX(K3:AN3)</f>
        <v>0</v>
      </c>
      <c r="AT3" s="137" t="e">
        <f t="shared" ref="AT3:AT17" si="4">IF(AQ3&gt;=1.33,"Pass","Fail")</f>
        <v>#DIV/0!</v>
      </c>
    </row>
    <row r="4" spans="1:46" s="138" customFormat="1" ht="15" customHeight="1">
      <c r="A4" s="120">
        <v>2</v>
      </c>
      <c r="B4" s="135" t="s">
        <v>75</v>
      </c>
      <c r="C4" s="121" t="s">
        <v>67</v>
      </c>
      <c r="D4" s="134" t="s">
        <v>76</v>
      </c>
      <c r="E4" s="134" t="s">
        <v>77</v>
      </c>
      <c r="F4" s="134" t="s">
        <v>78</v>
      </c>
      <c r="G4" s="136" t="s">
        <v>79</v>
      </c>
      <c r="H4" s="136" t="s">
        <v>80</v>
      </c>
      <c r="I4" s="136" t="s">
        <v>22</v>
      </c>
      <c r="J4" s="136" t="s">
        <v>74</v>
      </c>
      <c r="K4" s="125" t="e" cm="1">
        <f t="array" ref="K4">INDEX(Page2!$K$9:$K$38, COLUMN(K5)-10)</f>
        <v>#DIV/0!</v>
      </c>
      <c r="L4" s="125" t="e" cm="1">
        <f t="array" ref="L4">INDEX(Page2!$K$9:$K$38, COLUMN(L5)-10)</f>
        <v>#DIV/0!</v>
      </c>
      <c r="M4" s="125" t="e" cm="1">
        <f t="array" ref="M4">INDEX(Page2!$K$9:$K$38, COLUMN(M5)-10)</f>
        <v>#DIV/0!</v>
      </c>
      <c r="N4" s="125" t="e" cm="1">
        <f t="array" ref="N4">INDEX(Page2!$K$9:$K$38, COLUMN(N5)-10)</f>
        <v>#DIV/0!</v>
      </c>
      <c r="O4" s="125" t="e" cm="1">
        <f t="array" ref="O4">INDEX(Page2!$K$9:$K$38, COLUMN(O5)-10)</f>
        <v>#DIV/0!</v>
      </c>
      <c r="P4" s="125" t="e" cm="1">
        <f t="array" ref="P4">INDEX(Page2!$K$9:$K$38, COLUMN(P5)-10)</f>
        <v>#DIV/0!</v>
      </c>
      <c r="Q4" s="125" t="e" cm="1">
        <f t="array" ref="Q4">INDEX(Page2!$K$9:$K$38, COLUMN(Q5)-10)</f>
        <v>#DIV/0!</v>
      </c>
      <c r="R4" s="125" t="e" cm="1">
        <f t="array" ref="R4">INDEX(Page2!$K$9:$K$38, COLUMN(R5)-10)</f>
        <v>#DIV/0!</v>
      </c>
      <c r="S4" s="125" t="e" cm="1">
        <f t="array" ref="S4">INDEX(Page2!$K$9:$K$38, COLUMN(S5)-10)</f>
        <v>#DIV/0!</v>
      </c>
      <c r="T4" s="125" t="e" cm="1">
        <f t="array" ref="T4">INDEX(Page2!$K$9:$K$38, COLUMN(T5)-10)</f>
        <v>#DIV/0!</v>
      </c>
      <c r="U4" s="125" t="e" cm="1">
        <f t="array" ref="U4">INDEX(Page2!$K$9:$K$38, COLUMN(U5)-10)</f>
        <v>#DIV/0!</v>
      </c>
      <c r="V4" s="125" t="e" cm="1">
        <f t="array" ref="V4">INDEX(Page2!$K$9:$K$38, COLUMN(V5)-10)</f>
        <v>#DIV/0!</v>
      </c>
      <c r="W4" s="125" t="e" cm="1">
        <f t="array" ref="W4">INDEX(Page2!$K$9:$K$38, COLUMN(W5)-10)</f>
        <v>#DIV/0!</v>
      </c>
      <c r="X4" s="125" t="e" cm="1">
        <f t="array" ref="X4">INDEX(Page2!$K$9:$K$38, COLUMN(X5)-10)</f>
        <v>#DIV/0!</v>
      </c>
      <c r="Y4" s="125" t="e" cm="1">
        <f t="array" ref="Y4">INDEX(Page2!$K$9:$K$38, COLUMN(Y5)-10)</f>
        <v>#DIV/0!</v>
      </c>
      <c r="Z4" s="125" t="e" cm="1">
        <f t="array" ref="Z4">INDEX(Page2!$K$9:$K$38, COLUMN(Z5)-10)</f>
        <v>#DIV/0!</v>
      </c>
      <c r="AA4" s="125" t="e" cm="1">
        <f t="array" ref="AA4">INDEX(Page2!$K$9:$K$38, COLUMN(AA5)-10)</f>
        <v>#DIV/0!</v>
      </c>
      <c r="AB4" s="125" t="e" cm="1">
        <f t="array" ref="AB4">INDEX(Page2!$K$9:$K$38, COLUMN(AB5)-10)</f>
        <v>#DIV/0!</v>
      </c>
      <c r="AC4" s="125" t="e" cm="1">
        <f t="array" ref="AC4">INDEX(Page2!$K$9:$K$38, COLUMN(AC5)-10)</f>
        <v>#DIV/0!</v>
      </c>
      <c r="AD4" s="125" t="e" cm="1">
        <f t="array" ref="AD4">INDEX(Page2!$K$9:$K$38, COLUMN(AD5)-10)</f>
        <v>#DIV/0!</v>
      </c>
      <c r="AE4" s="125" t="e" cm="1">
        <f t="array" ref="AE4">INDEX(Page2!$K$9:$K$38, COLUMN(AE5)-10)</f>
        <v>#DIV/0!</v>
      </c>
      <c r="AF4" s="125" t="e" cm="1">
        <f t="array" ref="AF4">INDEX(Page2!$K$9:$K$38, COLUMN(AF5)-10)</f>
        <v>#DIV/0!</v>
      </c>
      <c r="AG4" s="125" t="e" cm="1">
        <f t="array" ref="AG4">INDEX(Page2!$K$9:$K$38, COLUMN(AG5)-10)</f>
        <v>#DIV/0!</v>
      </c>
      <c r="AH4" s="125" t="e" cm="1">
        <f t="array" ref="AH4">INDEX(Page2!$K$9:$K$38, COLUMN(AH5)-10)</f>
        <v>#DIV/0!</v>
      </c>
      <c r="AI4" s="125" t="e" cm="1">
        <f t="array" ref="AI4">INDEX(Page2!$K$9:$K$38, COLUMN(AI5)-10)</f>
        <v>#DIV/0!</v>
      </c>
      <c r="AJ4" s="125" t="e" cm="1">
        <f t="array" ref="AJ4">INDEX(Page2!$K$9:$K$38, COLUMN(AJ5)-10)</f>
        <v>#DIV/0!</v>
      </c>
      <c r="AK4" s="125" t="e" cm="1">
        <f t="array" ref="AK4">INDEX(Page2!$K$9:$K$38, COLUMN(AK5)-10)</f>
        <v>#DIV/0!</v>
      </c>
      <c r="AL4" s="125" t="e" cm="1">
        <f t="array" ref="AL4">INDEX(Page2!$K$9:$K$38, COLUMN(AL5)-10)</f>
        <v>#DIV/0!</v>
      </c>
      <c r="AM4" s="125" t="e" cm="1">
        <f t="array" ref="AM4">INDEX(Page2!$K$9:$K$38, COLUMN(AM5)-10)</f>
        <v>#DIV/0!</v>
      </c>
      <c r="AN4" s="125" t="e" cm="1">
        <f t="array" ref="AN4">INDEX(Page2!$K$9:$K$38, COLUMN(AN5)-10)</f>
        <v>#DIV/0!</v>
      </c>
      <c r="AO4" s="126" t="e">
        <f>AVERAGE(K4:AN4)</f>
        <v>#DIV/0!</v>
      </c>
      <c r="AP4" s="124" t="e">
        <f>STDEV(K4:AN4)</f>
        <v>#DIV/0!</v>
      </c>
      <c r="AQ4" s="140" t="e">
        <f>(AO4-H4)/(3*AP4)</f>
        <v>#DIV/0!</v>
      </c>
      <c r="AR4" s="127" t="e">
        <f>MIN(K4:AN4)</f>
        <v>#DIV/0!</v>
      </c>
      <c r="AS4" s="127" t="e">
        <f>MAX(K4:AN4)</f>
        <v>#DIV/0!</v>
      </c>
      <c r="AT4" s="137" t="e">
        <f>IF(AQ4&gt;=1.33,"Pass","Fail")</f>
        <v>#DIV/0!</v>
      </c>
    </row>
    <row r="5" spans="1:46" s="138" customFormat="1" ht="15" customHeight="1">
      <c r="A5" s="120">
        <v>3</v>
      </c>
      <c r="B5" s="135" t="s">
        <v>81</v>
      </c>
      <c r="C5" s="121" t="s">
        <v>67</v>
      </c>
      <c r="D5" s="134" t="s">
        <v>76</v>
      </c>
      <c r="E5" s="134" t="s">
        <v>77</v>
      </c>
      <c r="F5" s="134" t="s">
        <v>78</v>
      </c>
      <c r="G5" s="136" t="s">
        <v>80</v>
      </c>
      <c r="H5" s="136" t="s">
        <v>82</v>
      </c>
      <c r="I5" s="136" t="s">
        <v>22</v>
      </c>
      <c r="J5" s="136" t="s">
        <v>74</v>
      </c>
      <c r="K5" s="125" t="e" cm="1">
        <f t="array" ref="K5">INDEX(Page3!$K$9:$K$38, COLUMN(K6)-10)</f>
        <v>#DIV/0!</v>
      </c>
      <c r="L5" s="125" t="e" cm="1">
        <f t="array" ref="L5">INDEX(Page3!$K$9:$K$38, COLUMN(L6)-10)</f>
        <v>#DIV/0!</v>
      </c>
      <c r="M5" s="125" t="e" cm="1">
        <f t="array" ref="M5">INDEX(Page3!$K$9:$K$38, COLUMN(M6)-10)</f>
        <v>#DIV/0!</v>
      </c>
      <c r="N5" s="125" t="e" cm="1">
        <f t="array" ref="N5">INDEX(Page3!$K$9:$K$38, COLUMN(N6)-10)</f>
        <v>#DIV/0!</v>
      </c>
      <c r="O5" s="125" t="e" cm="1">
        <f t="array" ref="O5">INDEX(Page3!$K$9:$K$38, COLUMN(O6)-10)</f>
        <v>#DIV/0!</v>
      </c>
      <c r="P5" s="125" t="e" cm="1">
        <f t="array" ref="P5">INDEX(Page3!$K$9:$K$38, COLUMN(P6)-10)</f>
        <v>#DIV/0!</v>
      </c>
      <c r="Q5" s="125" t="e" cm="1">
        <f t="array" ref="Q5">INDEX(Page3!$K$9:$K$38, COLUMN(Q6)-10)</f>
        <v>#DIV/0!</v>
      </c>
      <c r="R5" s="125" t="e" cm="1">
        <f t="array" ref="R5">INDEX(Page3!$K$9:$K$38, COLUMN(R6)-10)</f>
        <v>#DIV/0!</v>
      </c>
      <c r="S5" s="125" t="e" cm="1">
        <f t="array" ref="S5">INDEX(Page3!$K$9:$K$38, COLUMN(S6)-10)</f>
        <v>#DIV/0!</v>
      </c>
      <c r="T5" s="125" t="e" cm="1">
        <f t="array" ref="T5">INDEX(Page3!$K$9:$K$38, COLUMN(T6)-10)</f>
        <v>#DIV/0!</v>
      </c>
      <c r="U5" s="125" t="e" cm="1">
        <f t="array" ref="U5">INDEX(Page3!$K$9:$K$38, COLUMN(U6)-10)</f>
        <v>#DIV/0!</v>
      </c>
      <c r="V5" s="125" t="e" cm="1">
        <f t="array" ref="V5">INDEX(Page3!$K$9:$K$38, COLUMN(V6)-10)</f>
        <v>#DIV/0!</v>
      </c>
      <c r="W5" s="125" t="e" cm="1">
        <f t="array" ref="W5">INDEX(Page3!$K$9:$K$38, COLUMN(W6)-10)</f>
        <v>#DIV/0!</v>
      </c>
      <c r="X5" s="125" t="e" cm="1">
        <f t="array" ref="X5">INDEX(Page3!$K$9:$K$38, COLUMN(X6)-10)</f>
        <v>#DIV/0!</v>
      </c>
      <c r="Y5" s="125" t="e" cm="1">
        <f t="array" ref="Y5">INDEX(Page3!$K$9:$K$38, COLUMN(Y6)-10)</f>
        <v>#DIV/0!</v>
      </c>
      <c r="Z5" s="125" t="e" cm="1">
        <f t="array" ref="Z5">INDEX(Page3!$K$9:$K$38, COLUMN(Z6)-10)</f>
        <v>#DIV/0!</v>
      </c>
      <c r="AA5" s="125" t="e" cm="1">
        <f t="array" ref="AA5">INDEX(Page3!$K$9:$K$38, COLUMN(AA6)-10)</f>
        <v>#DIV/0!</v>
      </c>
      <c r="AB5" s="125" t="e" cm="1">
        <f t="array" ref="AB5">INDEX(Page3!$K$9:$K$38, COLUMN(AB6)-10)</f>
        <v>#DIV/0!</v>
      </c>
      <c r="AC5" s="125" t="e" cm="1">
        <f t="array" ref="AC5">INDEX(Page3!$K$9:$K$38, COLUMN(AC6)-10)</f>
        <v>#DIV/0!</v>
      </c>
      <c r="AD5" s="125" t="e" cm="1">
        <f t="array" ref="AD5">INDEX(Page3!$K$9:$K$38, COLUMN(AD6)-10)</f>
        <v>#DIV/0!</v>
      </c>
      <c r="AE5" s="125" t="e" cm="1">
        <f t="array" ref="AE5">INDEX(Page3!$K$9:$K$38, COLUMN(AE6)-10)</f>
        <v>#DIV/0!</v>
      </c>
      <c r="AF5" s="125" t="e" cm="1">
        <f t="array" ref="AF5">INDEX(Page3!$K$9:$K$38, COLUMN(AF6)-10)</f>
        <v>#DIV/0!</v>
      </c>
      <c r="AG5" s="125" t="e" cm="1">
        <f t="array" ref="AG5">INDEX(Page3!$K$9:$K$38, COLUMN(AG6)-10)</f>
        <v>#DIV/0!</v>
      </c>
      <c r="AH5" s="125" t="e" cm="1">
        <f t="array" ref="AH5">INDEX(Page3!$K$9:$K$38, COLUMN(AH6)-10)</f>
        <v>#DIV/0!</v>
      </c>
      <c r="AI5" s="125" t="e" cm="1">
        <f t="array" ref="AI5">INDEX(Page3!$K$9:$K$38, COLUMN(AI6)-10)</f>
        <v>#DIV/0!</v>
      </c>
      <c r="AJ5" s="125" t="e" cm="1">
        <f t="array" ref="AJ5">INDEX(Page3!$K$9:$K$38, COLUMN(AJ6)-10)</f>
        <v>#DIV/0!</v>
      </c>
      <c r="AK5" s="125" t="e" cm="1">
        <f t="array" ref="AK5">INDEX(Page3!$K$9:$K$38, COLUMN(AK6)-10)</f>
        <v>#DIV/0!</v>
      </c>
      <c r="AL5" s="125" t="e" cm="1">
        <f t="array" ref="AL5">INDEX(Page3!$K$9:$K$38, COLUMN(AL6)-10)</f>
        <v>#DIV/0!</v>
      </c>
      <c r="AM5" s="125" t="e" cm="1">
        <f t="array" ref="AM5">INDEX(Page3!$K$9:$K$38, COLUMN(AM6)-10)</f>
        <v>#DIV/0!</v>
      </c>
      <c r="AN5" s="125" t="e" cm="1">
        <f t="array" ref="AN5">INDEX(Page3!$K$9:$K$38, COLUMN(AN6)-10)</f>
        <v>#DIV/0!</v>
      </c>
      <c r="AO5" s="126" t="e">
        <f>AVERAGE(K5:AN5)</f>
        <v>#DIV/0!</v>
      </c>
      <c r="AP5" s="124" t="e">
        <f>STDEV(K5:AN5)</f>
        <v>#DIV/0!</v>
      </c>
      <c r="AQ5" s="140" t="e">
        <f>(AO5-H5)/(3*AP5)</f>
        <v>#DIV/0!</v>
      </c>
      <c r="AR5" s="127" t="e">
        <f>MIN(K5:AN5)</f>
        <v>#DIV/0!</v>
      </c>
      <c r="AS5" s="127" t="e">
        <f>MAX(K5:AN5)</f>
        <v>#DIV/0!</v>
      </c>
      <c r="AT5" s="137" t="e">
        <f>IF(AQ5&gt;=1.33,"Pass","Fail")</f>
        <v>#DIV/0!</v>
      </c>
    </row>
    <row r="6" spans="1:46" s="138" customFormat="1" ht="15" customHeight="1">
      <c r="A6" s="120">
        <v>4</v>
      </c>
      <c r="B6" s="135" t="s">
        <v>83</v>
      </c>
      <c r="C6" s="121" t="s">
        <v>67</v>
      </c>
      <c r="D6" s="134" t="s">
        <v>76</v>
      </c>
      <c r="E6" s="134" t="s">
        <v>77</v>
      </c>
      <c r="F6" s="134" t="s">
        <v>78</v>
      </c>
      <c r="G6" s="136" t="s">
        <v>84</v>
      </c>
      <c r="H6" s="136" t="s">
        <v>85</v>
      </c>
      <c r="I6" s="136" t="s">
        <v>86</v>
      </c>
      <c r="J6" s="136" t="s">
        <v>74</v>
      </c>
      <c r="K6" s="125" t="e" cm="1">
        <f t="array" ref="K6">INDEX(Page2!$O$9:$O$38, COLUMN(K7)-10)</f>
        <v>#DIV/0!</v>
      </c>
      <c r="L6" s="125" t="e" cm="1">
        <f t="array" ref="L6">INDEX(Page2!$O$9:$O$38, COLUMN(L7)-10)</f>
        <v>#DIV/0!</v>
      </c>
      <c r="M6" s="125" t="e" cm="1">
        <f t="array" ref="M6">INDEX(Page2!$O$9:$O$38, COLUMN(M7)-10)</f>
        <v>#DIV/0!</v>
      </c>
      <c r="N6" s="125" t="e" cm="1">
        <f t="array" ref="N6">INDEX(Page2!$O$9:$O$38, COLUMN(N7)-10)</f>
        <v>#DIV/0!</v>
      </c>
      <c r="O6" s="125" t="e" cm="1">
        <f t="array" ref="O6">INDEX(Page2!$O$9:$O$38, COLUMN(O7)-10)</f>
        <v>#DIV/0!</v>
      </c>
      <c r="P6" s="125" t="e" cm="1">
        <f t="array" ref="P6">INDEX(Page2!$O$9:$O$38, COLUMN(P7)-10)</f>
        <v>#DIV/0!</v>
      </c>
      <c r="Q6" s="125" t="e" cm="1">
        <f t="array" ref="Q6">INDEX(Page2!$O$9:$O$38, COLUMN(Q7)-10)</f>
        <v>#DIV/0!</v>
      </c>
      <c r="R6" s="125" t="e" cm="1">
        <f t="array" ref="R6">INDEX(Page2!$O$9:$O$38, COLUMN(R7)-10)</f>
        <v>#DIV/0!</v>
      </c>
      <c r="S6" s="125" t="e" cm="1">
        <f t="array" ref="S6">INDEX(Page2!$O$9:$O$38, COLUMN(S7)-10)</f>
        <v>#DIV/0!</v>
      </c>
      <c r="T6" s="125" t="e" cm="1">
        <f t="array" ref="T6">INDEX(Page2!$O$9:$O$38, COLUMN(T7)-10)</f>
        <v>#DIV/0!</v>
      </c>
      <c r="U6" s="125" t="e" cm="1">
        <f t="array" ref="U6">INDEX(Page2!$O$9:$O$38, COLUMN(U7)-10)</f>
        <v>#DIV/0!</v>
      </c>
      <c r="V6" s="125" t="e" cm="1">
        <f t="array" ref="V6">INDEX(Page2!$O$9:$O$38, COLUMN(V7)-10)</f>
        <v>#DIV/0!</v>
      </c>
      <c r="W6" s="125" t="e" cm="1">
        <f t="array" ref="W6">INDEX(Page2!$O$9:$O$38, COLUMN(W7)-10)</f>
        <v>#DIV/0!</v>
      </c>
      <c r="X6" s="125" t="e" cm="1">
        <f t="array" ref="X6">INDEX(Page2!$O$9:$O$38, COLUMN(X7)-10)</f>
        <v>#DIV/0!</v>
      </c>
      <c r="Y6" s="125" t="e" cm="1">
        <f t="array" ref="Y6">INDEX(Page2!$O$9:$O$38, COLUMN(Y7)-10)</f>
        <v>#DIV/0!</v>
      </c>
      <c r="Z6" s="125" t="e" cm="1">
        <f t="array" ref="Z6">INDEX(Page2!$O$9:$O$38, COLUMN(Z7)-10)</f>
        <v>#DIV/0!</v>
      </c>
      <c r="AA6" s="125" t="e" cm="1">
        <f t="array" ref="AA6">INDEX(Page2!$O$9:$O$38, COLUMN(AA7)-10)</f>
        <v>#DIV/0!</v>
      </c>
      <c r="AB6" s="125" t="e" cm="1">
        <f t="array" ref="AB6">INDEX(Page2!$O$9:$O$38, COLUMN(AB7)-10)</f>
        <v>#DIV/0!</v>
      </c>
      <c r="AC6" s="125" t="e" cm="1">
        <f t="array" ref="AC6">INDEX(Page2!$O$9:$O$38, COLUMN(AC7)-10)</f>
        <v>#DIV/0!</v>
      </c>
      <c r="AD6" s="125" t="e" cm="1">
        <f t="array" ref="AD6">INDEX(Page2!$O$9:$O$38, COLUMN(AD7)-10)</f>
        <v>#DIV/0!</v>
      </c>
      <c r="AE6" s="125" t="e" cm="1">
        <f t="array" ref="AE6">INDEX(Page2!$O$9:$O$38, COLUMN(AE7)-10)</f>
        <v>#DIV/0!</v>
      </c>
      <c r="AF6" s="125" t="e" cm="1">
        <f t="array" ref="AF6">INDEX(Page2!$O$9:$O$38, COLUMN(AF7)-10)</f>
        <v>#DIV/0!</v>
      </c>
      <c r="AG6" s="125" t="e" cm="1">
        <f t="array" ref="AG6">INDEX(Page2!$O$9:$O$38, COLUMN(AG7)-10)</f>
        <v>#DIV/0!</v>
      </c>
      <c r="AH6" s="125" t="e" cm="1">
        <f t="array" ref="AH6">INDEX(Page2!$O$9:$O$38, COLUMN(AH7)-10)</f>
        <v>#DIV/0!</v>
      </c>
      <c r="AI6" s="125" t="e" cm="1">
        <f t="array" ref="AI6">INDEX(Page2!$O$9:$O$38, COLUMN(AI7)-10)</f>
        <v>#DIV/0!</v>
      </c>
      <c r="AJ6" s="125" t="e" cm="1">
        <f t="array" ref="AJ6">INDEX(Page2!$O$9:$O$38, COLUMN(AJ7)-10)</f>
        <v>#DIV/0!</v>
      </c>
      <c r="AK6" s="125" t="e" cm="1">
        <f t="array" ref="AK6">INDEX(Page2!$O$9:$O$38, COLUMN(AK7)-10)</f>
        <v>#DIV/0!</v>
      </c>
      <c r="AL6" s="125" t="e" cm="1">
        <f t="array" ref="AL6">INDEX(Page2!$O$9:$O$38, COLUMN(AL7)-10)</f>
        <v>#DIV/0!</v>
      </c>
      <c r="AM6" s="125" t="e" cm="1">
        <f t="array" ref="AM6">INDEX(Page2!$O$9:$O$38, COLUMN(AM7)-10)</f>
        <v>#DIV/0!</v>
      </c>
      <c r="AN6" s="125" t="e" cm="1">
        <f t="array" ref="AN6">INDEX(Page2!$O$9:$O$38, COLUMN(AN7)-10)</f>
        <v>#DIV/0!</v>
      </c>
      <c r="AO6" s="126" t="e">
        <f>AVERAGE(K6:AN6)</f>
        <v>#DIV/0!</v>
      </c>
      <c r="AP6" s="124" t="e">
        <f>STDEV(K6:AN6)</f>
        <v>#DIV/0!</v>
      </c>
      <c r="AQ6" s="140" t="e">
        <f>MIN((AO6-H6)/(3*AP6), (I6-AO6)/(3*AP6))</f>
        <v>#DIV/0!</v>
      </c>
      <c r="AR6" s="127" t="e">
        <f>MIN(K6:AN6)</f>
        <v>#DIV/0!</v>
      </c>
      <c r="AS6" s="127" t="e">
        <f>MAX(K6:AN6)</f>
        <v>#DIV/0!</v>
      </c>
      <c r="AT6" s="137" t="e">
        <f>IF(AQ6&gt;=1.33,"Pass","Fail")</f>
        <v>#DIV/0!</v>
      </c>
    </row>
    <row r="7" spans="1:46" s="138" customFormat="1" ht="15" customHeight="1">
      <c r="A7" s="120">
        <v>5</v>
      </c>
      <c r="B7" s="135" t="s">
        <v>87</v>
      </c>
      <c r="C7" s="121" t="s">
        <v>67</v>
      </c>
      <c r="D7" s="134" t="s">
        <v>88</v>
      </c>
      <c r="E7" s="134" t="s">
        <v>77</v>
      </c>
      <c r="F7" s="134" t="s">
        <v>69</v>
      </c>
      <c r="G7" s="136" t="s">
        <v>89</v>
      </c>
      <c r="H7" s="136" t="s">
        <v>90</v>
      </c>
      <c r="I7" s="136" t="s">
        <v>22</v>
      </c>
      <c r="J7" s="136" t="s">
        <v>74</v>
      </c>
      <c r="K7" s="128" t="e" cm="1">
        <f t="array" ref="K7">INDEX(Page2!$G$9:$G$38, COLUMN(K8)-10)</f>
        <v>#DIV/0!</v>
      </c>
      <c r="L7" s="128" t="e" cm="1">
        <f t="array" ref="L7">INDEX(Page2!$G$9:$G$38, COLUMN(L8)-10)</f>
        <v>#DIV/0!</v>
      </c>
      <c r="M7" s="128" t="e" cm="1">
        <f t="array" ref="M7">INDEX(Page2!$G$9:$G$38, COLUMN(M8)-10)</f>
        <v>#DIV/0!</v>
      </c>
      <c r="N7" s="128" t="e" cm="1">
        <f t="array" ref="N7">INDEX(Page2!$G$9:$G$38, COLUMN(N8)-10)</f>
        <v>#DIV/0!</v>
      </c>
      <c r="O7" s="128" t="e" cm="1">
        <f t="array" ref="O7">INDEX(Page2!$G$9:$G$38, COLUMN(O8)-10)</f>
        <v>#DIV/0!</v>
      </c>
      <c r="P7" s="128" t="e" cm="1">
        <f t="array" ref="P7">INDEX(Page2!$G$9:$G$38, COLUMN(P8)-10)</f>
        <v>#DIV/0!</v>
      </c>
      <c r="Q7" s="128" t="e" cm="1">
        <f t="array" ref="Q7">INDEX(Page2!$G$9:$G$38, COLUMN(Q8)-10)</f>
        <v>#DIV/0!</v>
      </c>
      <c r="R7" s="128" t="e" cm="1">
        <f t="array" ref="R7">INDEX(Page2!$G$9:$G$38, COLUMN(R8)-10)</f>
        <v>#DIV/0!</v>
      </c>
      <c r="S7" s="128" t="e" cm="1">
        <f t="array" ref="S7">INDEX(Page2!$G$9:$G$38, COLUMN(S8)-10)</f>
        <v>#DIV/0!</v>
      </c>
      <c r="T7" s="128" t="e" cm="1">
        <f t="array" ref="T7">INDEX(Page2!$G$9:$G$38, COLUMN(T8)-10)</f>
        <v>#DIV/0!</v>
      </c>
      <c r="U7" s="128" t="e" cm="1">
        <f t="array" ref="U7">INDEX(Page2!$G$9:$G$38, COLUMN(U8)-10)</f>
        <v>#DIV/0!</v>
      </c>
      <c r="V7" s="128" t="e" cm="1">
        <f t="array" ref="V7">INDEX(Page2!$G$9:$G$38, COLUMN(V8)-10)</f>
        <v>#DIV/0!</v>
      </c>
      <c r="W7" s="128" t="e" cm="1">
        <f t="array" ref="W7">INDEX(Page2!$G$9:$G$38, COLUMN(W8)-10)</f>
        <v>#DIV/0!</v>
      </c>
      <c r="X7" s="128" t="e" cm="1">
        <f t="array" ref="X7">INDEX(Page2!$G$9:$G$38, COLUMN(X8)-10)</f>
        <v>#DIV/0!</v>
      </c>
      <c r="Y7" s="128" t="e" cm="1">
        <f t="array" ref="Y7">INDEX(Page2!$G$9:$G$38, COLUMN(Y8)-10)</f>
        <v>#DIV/0!</v>
      </c>
      <c r="Z7" s="128" t="e" cm="1">
        <f t="array" ref="Z7">INDEX(Page2!$G$9:$G$38, COLUMN(Z8)-10)</f>
        <v>#DIV/0!</v>
      </c>
      <c r="AA7" s="128" t="e" cm="1">
        <f t="array" ref="AA7">INDEX(Page2!$G$9:$G$38, COLUMN(AA8)-10)</f>
        <v>#DIV/0!</v>
      </c>
      <c r="AB7" s="128" t="e" cm="1">
        <f t="array" ref="AB7">INDEX(Page2!$G$9:$G$38, COLUMN(AB8)-10)</f>
        <v>#DIV/0!</v>
      </c>
      <c r="AC7" s="128" t="e" cm="1">
        <f t="array" ref="AC7">INDEX(Page2!$G$9:$G$38, COLUMN(AC8)-10)</f>
        <v>#DIV/0!</v>
      </c>
      <c r="AD7" s="128" t="e" cm="1">
        <f t="array" ref="AD7">INDEX(Page2!$G$9:$G$38, COLUMN(AD8)-10)</f>
        <v>#DIV/0!</v>
      </c>
      <c r="AE7" s="128" t="e" cm="1">
        <f t="array" ref="AE7">INDEX(Page2!$G$9:$G$38, COLUMN(AE8)-10)</f>
        <v>#DIV/0!</v>
      </c>
      <c r="AF7" s="128" t="e" cm="1">
        <f t="array" ref="AF7">INDEX(Page2!$G$9:$G$38, COLUMN(AF8)-10)</f>
        <v>#DIV/0!</v>
      </c>
      <c r="AG7" s="128" t="e" cm="1">
        <f t="array" ref="AG7">INDEX(Page2!$G$9:$G$38, COLUMN(AG8)-10)</f>
        <v>#DIV/0!</v>
      </c>
      <c r="AH7" s="128" t="e" cm="1">
        <f t="array" ref="AH7">INDEX(Page2!$G$9:$G$38, COLUMN(AH8)-10)</f>
        <v>#DIV/0!</v>
      </c>
      <c r="AI7" s="128" t="e" cm="1">
        <f t="array" ref="AI7">INDEX(Page2!$G$9:$G$38, COLUMN(AI8)-10)</f>
        <v>#DIV/0!</v>
      </c>
      <c r="AJ7" s="128" t="e" cm="1">
        <f t="array" ref="AJ7">INDEX(Page2!$G$9:$G$38, COLUMN(AJ8)-10)</f>
        <v>#DIV/0!</v>
      </c>
      <c r="AK7" s="128" t="e" cm="1">
        <f t="array" ref="AK7">INDEX(Page2!$G$9:$G$38, COLUMN(AK8)-10)</f>
        <v>#DIV/0!</v>
      </c>
      <c r="AL7" s="128" t="e" cm="1">
        <f t="array" ref="AL7">INDEX(Page2!$G$9:$G$38, COLUMN(AL8)-10)</f>
        <v>#DIV/0!</v>
      </c>
      <c r="AM7" s="128" t="e" cm="1">
        <f t="array" ref="AM7">INDEX(Page2!$G$9:$G$38, COLUMN(AM8)-10)</f>
        <v>#DIV/0!</v>
      </c>
      <c r="AN7" s="128" t="e" cm="1">
        <f t="array" ref="AN7">INDEX(Page2!$G$9:$G$38, COLUMN(AN8)-10)</f>
        <v>#DIV/0!</v>
      </c>
      <c r="AO7" s="129" t="e">
        <f>AVERAGE(K7:AN7)</f>
        <v>#DIV/0!</v>
      </c>
      <c r="AP7" s="124" t="e">
        <f>STDEV(K7:AN7)</f>
        <v>#DIV/0!</v>
      </c>
      <c r="AQ7" s="140" t="e">
        <f>(AO7-H7)/(3*AP7)</f>
        <v>#DIV/0!</v>
      </c>
      <c r="AR7" s="130" t="e">
        <f>MIN(K7:AN7)</f>
        <v>#DIV/0!</v>
      </c>
      <c r="AS7" s="130" t="e">
        <f>MAX(K7:AN7)</f>
        <v>#DIV/0!</v>
      </c>
      <c r="AT7" s="137" t="e">
        <f>IF(AQ7&gt;=1.33,"Pass","Fail")</f>
        <v>#DIV/0!</v>
      </c>
    </row>
    <row r="8" spans="1:46" s="138" customFormat="1" ht="15" customHeight="1">
      <c r="A8" s="120">
        <v>6</v>
      </c>
      <c r="B8" s="135" t="s">
        <v>91</v>
      </c>
      <c r="C8" s="121" t="s">
        <v>67</v>
      </c>
      <c r="D8" s="134" t="s">
        <v>88</v>
      </c>
      <c r="E8" s="134" t="s">
        <v>77</v>
      </c>
      <c r="F8" s="134" t="s">
        <v>69</v>
      </c>
      <c r="G8" s="136" t="s">
        <v>92</v>
      </c>
      <c r="H8" s="136" t="s">
        <v>93</v>
      </c>
      <c r="I8" s="136" t="s">
        <v>22</v>
      </c>
      <c r="J8" s="136" t="s">
        <v>74</v>
      </c>
      <c r="K8" s="128" t="e" cm="1">
        <f t="array" ref="K8">INDEX(Page3!$G$9:$G$38, COLUMN(K9)-10)</f>
        <v>#DIV/0!</v>
      </c>
      <c r="L8" s="128" t="e" cm="1">
        <f t="array" ref="L8">INDEX(Page3!$G$9:$G$38, COLUMN(L9)-10)</f>
        <v>#DIV/0!</v>
      </c>
      <c r="M8" s="128" t="e" cm="1">
        <f t="array" ref="M8">INDEX(Page3!$G$9:$G$38, COLUMN(M9)-10)</f>
        <v>#DIV/0!</v>
      </c>
      <c r="N8" s="128" t="e" cm="1">
        <f t="array" ref="N8">INDEX(Page3!$G$9:$G$38, COLUMN(N9)-10)</f>
        <v>#DIV/0!</v>
      </c>
      <c r="O8" s="128" t="e" cm="1">
        <f t="array" ref="O8">INDEX(Page3!$G$9:$G$38, COLUMN(O9)-10)</f>
        <v>#DIV/0!</v>
      </c>
      <c r="P8" s="128" t="e" cm="1">
        <f t="array" ref="P8">INDEX(Page3!$G$9:$G$38, COLUMN(P9)-10)</f>
        <v>#DIV/0!</v>
      </c>
      <c r="Q8" s="128" t="e" cm="1">
        <f t="array" ref="Q8">INDEX(Page3!$G$9:$G$38, COLUMN(Q9)-10)</f>
        <v>#DIV/0!</v>
      </c>
      <c r="R8" s="128" t="e" cm="1">
        <f t="array" ref="R8">INDEX(Page3!$G$9:$G$38, COLUMN(R9)-10)</f>
        <v>#DIV/0!</v>
      </c>
      <c r="S8" s="128" t="e" cm="1">
        <f t="array" ref="S8">INDEX(Page3!$G$9:$G$38, COLUMN(S9)-10)</f>
        <v>#DIV/0!</v>
      </c>
      <c r="T8" s="128" t="e" cm="1">
        <f t="array" ref="T8">INDEX(Page3!$G$9:$G$38, COLUMN(T9)-10)</f>
        <v>#DIV/0!</v>
      </c>
      <c r="U8" s="128" t="e" cm="1">
        <f t="array" ref="U8">INDEX(Page3!$G$9:$G$38, COLUMN(U9)-10)</f>
        <v>#DIV/0!</v>
      </c>
      <c r="V8" s="128" t="e" cm="1">
        <f t="array" ref="V8">INDEX(Page3!$G$9:$G$38, COLUMN(V9)-10)</f>
        <v>#DIV/0!</v>
      </c>
      <c r="W8" s="128" t="e" cm="1">
        <f t="array" ref="W8">INDEX(Page3!$G$9:$G$38, COLUMN(W9)-10)</f>
        <v>#DIV/0!</v>
      </c>
      <c r="X8" s="128" t="e" cm="1">
        <f t="array" ref="X8">INDEX(Page3!$G$9:$G$38, COLUMN(X9)-10)</f>
        <v>#DIV/0!</v>
      </c>
      <c r="Y8" s="128" t="e" cm="1">
        <f t="array" ref="Y8">INDEX(Page3!$G$9:$G$38, COLUMN(Y9)-10)</f>
        <v>#DIV/0!</v>
      </c>
      <c r="Z8" s="128" t="e" cm="1">
        <f t="array" ref="Z8">INDEX(Page3!$G$9:$G$38, COLUMN(Z9)-10)</f>
        <v>#DIV/0!</v>
      </c>
      <c r="AA8" s="128" t="e" cm="1">
        <f t="array" ref="AA8">INDEX(Page3!$G$9:$G$38, COLUMN(AA9)-10)</f>
        <v>#DIV/0!</v>
      </c>
      <c r="AB8" s="128" t="e" cm="1">
        <f t="array" ref="AB8">INDEX(Page3!$G$9:$G$38, COLUMN(AB9)-10)</f>
        <v>#DIV/0!</v>
      </c>
      <c r="AC8" s="128" t="e" cm="1">
        <f t="array" ref="AC8">INDEX(Page3!$G$9:$G$38, COLUMN(AC9)-10)</f>
        <v>#DIV/0!</v>
      </c>
      <c r="AD8" s="128" t="e" cm="1">
        <f t="array" ref="AD8">INDEX(Page3!$G$9:$G$38, COLUMN(AD9)-10)</f>
        <v>#DIV/0!</v>
      </c>
      <c r="AE8" s="128" t="e" cm="1">
        <f t="array" ref="AE8">INDEX(Page3!$G$9:$G$38, COLUMN(AE9)-10)</f>
        <v>#DIV/0!</v>
      </c>
      <c r="AF8" s="128" t="e" cm="1">
        <f t="array" ref="AF8">INDEX(Page3!$G$9:$G$38, COLUMN(AF9)-10)</f>
        <v>#DIV/0!</v>
      </c>
      <c r="AG8" s="128" t="e" cm="1">
        <f t="array" ref="AG8">INDEX(Page3!$G$9:$G$38, COLUMN(AG9)-10)</f>
        <v>#DIV/0!</v>
      </c>
      <c r="AH8" s="128" t="e" cm="1">
        <f t="array" ref="AH8">INDEX(Page3!$G$9:$G$38, COLUMN(AH9)-10)</f>
        <v>#DIV/0!</v>
      </c>
      <c r="AI8" s="128" t="e" cm="1">
        <f t="array" ref="AI8">INDEX(Page3!$G$9:$G$38, COLUMN(AI9)-10)</f>
        <v>#DIV/0!</v>
      </c>
      <c r="AJ8" s="128" t="e" cm="1">
        <f t="array" ref="AJ8">INDEX(Page3!$G$9:$G$38, COLUMN(AJ9)-10)</f>
        <v>#DIV/0!</v>
      </c>
      <c r="AK8" s="128" t="e" cm="1">
        <f t="array" ref="AK8">INDEX(Page3!$G$9:$G$38, COLUMN(AK9)-10)</f>
        <v>#DIV/0!</v>
      </c>
      <c r="AL8" s="128" t="e" cm="1">
        <f t="array" ref="AL8">INDEX(Page3!$G$9:$G$38, COLUMN(AL9)-10)</f>
        <v>#DIV/0!</v>
      </c>
      <c r="AM8" s="128" t="e" cm="1">
        <f t="array" ref="AM8">INDEX(Page3!$G$9:$G$38, COLUMN(AM9)-10)</f>
        <v>#DIV/0!</v>
      </c>
      <c r="AN8" s="128" t="e" cm="1">
        <f t="array" ref="AN8">INDEX(Page3!$G$9:$G$38, COLUMN(AN9)-10)</f>
        <v>#DIV/0!</v>
      </c>
      <c r="AO8" s="129" t="e">
        <f>AVERAGE(K8:AN8)</f>
        <v>#DIV/0!</v>
      </c>
      <c r="AP8" s="124" t="e">
        <f>STDEV(K8:AN8)</f>
        <v>#DIV/0!</v>
      </c>
      <c r="AQ8" s="140" t="e">
        <f>(AO8-H8)/(3*AP8)</f>
        <v>#DIV/0!</v>
      </c>
      <c r="AR8" s="130" t="e">
        <f>MIN(K8:AN8)</f>
        <v>#DIV/0!</v>
      </c>
      <c r="AS8" s="130" t="e">
        <f>MAX(K8:AN8)</f>
        <v>#DIV/0!</v>
      </c>
      <c r="AT8" s="137" t="e">
        <f>IF(AQ8&gt;=1.33,"Pass","Fail")</f>
        <v>#DIV/0!</v>
      </c>
    </row>
    <row r="9" spans="1:46" s="138" customFormat="1" ht="15" customHeight="1">
      <c r="A9" s="120">
        <v>7</v>
      </c>
      <c r="B9" s="135" t="s">
        <v>94</v>
      </c>
      <c r="C9" s="121" t="s">
        <v>67</v>
      </c>
      <c r="D9" s="134" t="s">
        <v>95</v>
      </c>
      <c r="E9" s="134" t="s">
        <v>69</v>
      </c>
      <c r="F9" s="134" t="s">
        <v>96</v>
      </c>
      <c r="G9" s="136" t="s">
        <v>97</v>
      </c>
      <c r="H9" s="136" t="s">
        <v>98</v>
      </c>
      <c r="I9" s="136" t="s">
        <v>99</v>
      </c>
      <c r="J9" s="120" t="s">
        <v>100</v>
      </c>
      <c r="K9" s="131" cm="1">
        <f t="array" ref="K9">INDEX(Page1!$G$8:$G$37, COLUMN(K10)-10)</f>
        <v>0</v>
      </c>
      <c r="L9" s="131" cm="1">
        <f t="array" ref="L9">INDEX(Page1!$G$8:$G$37, COLUMN(L10)-10)</f>
        <v>0</v>
      </c>
      <c r="M9" s="131" cm="1">
        <f t="array" ref="M9">INDEX(Page1!$G$8:$G$37, COLUMN(M10)-10)</f>
        <v>0</v>
      </c>
      <c r="N9" s="131" cm="1">
        <f t="array" ref="N9">INDEX(Page1!$G$8:$G$37, COLUMN(N10)-10)</f>
        <v>0</v>
      </c>
      <c r="O9" s="131" cm="1">
        <f t="array" ref="O9">INDEX(Page1!$G$8:$G$37, COLUMN(O10)-10)</f>
        <v>0</v>
      </c>
      <c r="P9" s="131" cm="1">
        <f t="array" ref="P9">INDEX(Page1!$G$8:$G$37, COLUMN(P10)-10)</f>
        <v>0</v>
      </c>
      <c r="Q9" s="131" cm="1">
        <f t="array" ref="Q9">INDEX(Page1!$G$8:$G$37, COLUMN(Q10)-10)</f>
        <v>0</v>
      </c>
      <c r="R9" s="131" cm="1">
        <f t="array" ref="R9">INDEX(Page1!$G$8:$G$37, COLUMN(R10)-10)</f>
        <v>0</v>
      </c>
      <c r="S9" s="131" cm="1">
        <f t="array" ref="S9">INDEX(Page1!$G$8:$G$37, COLUMN(S10)-10)</f>
        <v>0</v>
      </c>
      <c r="T9" s="131" cm="1">
        <f t="array" ref="T9">INDEX(Page1!$G$8:$G$37, COLUMN(T10)-10)</f>
        <v>0</v>
      </c>
      <c r="U9" s="131" cm="1">
        <f t="array" ref="U9">INDEX(Page1!$G$8:$G$37, COLUMN(U10)-10)</f>
        <v>0</v>
      </c>
      <c r="V9" s="131" cm="1">
        <f t="array" ref="V9">INDEX(Page1!$G$8:$G$37, COLUMN(V10)-10)</f>
        <v>0</v>
      </c>
      <c r="W9" s="131" cm="1">
        <f t="array" ref="W9">INDEX(Page1!$G$8:$G$37, COLUMN(W10)-10)</f>
        <v>0</v>
      </c>
      <c r="X9" s="131" cm="1">
        <f t="array" ref="X9">INDEX(Page1!$G$8:$G$37, COLUMN(X10)-10)</f>
        <v>0</v>
      </c>
      <c r="Y9" s="131" cm="1">
        <f t="array" ref="Y9">INDEX(Page1!$G$8:$G$37, COLUMN(Y10)-10)</f>
        <v>0</v>
      </c>
      <c r="Z9" s="131" cm="1">
        <f t="array" ref="Z9">INDEX(Page1!$G$8:$G$37, COLUMN(Z10)-10)</f>
        <v>0</v>
      </c>
      <c r="AA9" s="131" cm="1">
        <f t="array" ref="AA9">INDEX(Page1!$G$8:$G$37, COLUMN(AA10)-10)</f>
        <v>0</v>
      </c>
      <c r="AB9" s="131" cm="1">
        <f t="array" ref="AB9">INDEX(Page1!$G$8:$G$37, COLUMN(AB10)-10)</f>
        <v>0</v>
      </c>
      <c r="AC9" s="131" cm="1">
        <f t="array" ref="AC9">INDEX(Page1!$G$8:$G$37, COLUMN(AC10)-10)</f>
        <v>0</v>
      </c>
      <c r="AD9" s="131" cm="1">
        <f t="array" ref="AD9">INDEX(Page1!$G$8:$G$37, COLUMN(AD10)-10)</f>
        <v>0</v>
      </c>
      <c r="AE9" s="131" cm="1">
        <f t="array" ref="AE9">INDEX(Page1!$G$8:$G$37, COLUMN(AE10)-10)</f>
        <v>0</v>
      </c>
      <c r="AF9" s="131" cm="1">
        <f t="array" ref="AF9">INDEX(Page1!$G$8:$G$37, COLUMN(AF10)-10)</f>
        <v>0</v>
      </c>
      <c r="AG9" s="131" cm="1">
        <f t="array" ref="AG9">INDEX(Page1!$G$8:$G$37, COLUMN(AG10)-10)</f>
        <v>0</v>
      </c>
      <c r="AH9" s="131" cm="1">
        <f t="array" ref="AH9">INDEX(Page1!$G$8:$G$37, COLUMN(AH10)-10)</f>
        <v>0</v>
      </c>
      <c r="AI9" s="131" cm="1">
        <f t="array" ref="AI9">INDEX(Page1!$G$8:$G$37, COLUMN(AI10)-10)</f>
        <v>0</v>
      </c>
      <c r="AJ9" s="131" cm="1">
        <f t="array" ref="AJ9">INDEX(Page1!$G$8:$G$37, COLUMN(AJ10)-10)</f>
        <v>0</v>
      </c>
      <c r="AK9" s="131" cm="1">
        <f t="array" ref="AK9">INDEX(Page1!$G$8:$G$37, COLUMN(AK10)-10)</f>
        <v>0</v>
      </c>
      <c r="AL9" s="131" cm="1">
        <f t="array" ref="AL9">INDEX(Page1!$G$8:$G$37, COLUMN(AL10)-10)</f>
        <v>0</v>
      </c>
      <c r="AM9" s="131" cm="1">
        <f t="array" ref="AM9">INDEX(Page1!$G$8:$G$37, COLUMN(AM10)-10)</f>
        <v>0</v>
      </c>
      <c r="AN9" s="131" cm="1">
        <f t="array" ref="AN9">INDEX(Page1!$G$8:$G$37, COLUMN(AN10)-10)</f>
        <v>0</v>
      </c>
      <c r="AO9" s="132">
        <f t="shared" si="0"/>
        <v>0</v>
      </c>
      <c r="AP9" s="124">
        <f t="shared" si="1"/>
        <v>0</v>
      </c>
      <c r="AQ9" s="140" t="e">
        <f>MIN((AO9-H9)/(3*AP9), (I9-AO9)/(3*AP9))</f>
        <v>#DIV/0!</v>
      </c>
      <c r="AR9" s="133">
        <f t="shared" si="2"/>
        <v>0</v>
      </c>
      <c r="AS9" s="133">
        <f t="shared" si="3"/>
        <v>0</v>
      </c>
      <c r="AT9" s="137" t="e">
        <f t="shared" si="4"/>
        <v>#DIV/0!</v>
      </c>
    </row>
    <row r="10" spans="1:46" s="138" customFormat="1" ht="15" customHeight="1">
      <c r="A10" s="120">
        <v>8</v>
      </c>
      <c r="B10" s="135" t="s">
        <v>101</v>
      </c>
      <c r="C10" s="121" t="s">
        <v>67</v>
      </c>
      <c r="D10" s="134" t="s">
        <v>102</v>
      </c>
      <c r="E10" s="134" t="s">
        <v>77</v>
      </c>
      <c r="F10" s="134" t="s">
        <v>78</v>
      </c>
      <c r="G10" s="139">
        <v>30</v>
      </c>
      <c r="H10" s="139">
        <v>20</v>
      </c>
      <c r="I10" s="139">
        <v>40</v>
      </c>
      <c r="J10" s="120" t="s">
        <v>100</v>
      </c>
      <c r="K10" s="125" t="e" cm="1">
        <f t="array" ref="K10">INDEX(Page3!$O$9:$O$38, COLUMN(K11)-10)</f>
        <v>#DIV/0!</v>
      </c>
      <c r="L10" s="125" t="e" cm="1">
        <f t="array" ref="L10">INDEX(Page3!$O$9:$O$38, COLUMN(L11)-10)</f>
        <v>#DIV/0!</v>
      </c>
      <c r="M10" s="125" t="e" cm="1">
        <f t="array" ref="M10">INDEX(Page3!$O$9:$O$38, COLUMN(M11)-10)</f>
        <v>#DIV/0!</v>
      </c>
      <c r="N10" s="125" t="e" cm="1">
        <f t="array" ref="N10">INDEX(Page3!$O$9:$O$38, COLUMN(N11)-10)</f>
        <v>#DIV/0!</v>
      </c>
      <c r="O10" s="125" t="e" cm="1">
        <f t="array" ref="O10">INDEX(Page3!$O$9:$O$38, COLUMN(O11)-10)</f>
        <v>#DIV/0!</v>
      </c>
      <c r="P10" s="125" t="e" cm="1">
        <f t="array" ref="P10">INDEX(Page3!$O$9:$O$38, COLUMN(P11)-10)</f>
        <v>#DIV/0!</v>
      </c>
      <c r="Q10" s="125" t="e" cm="1">
        <f t="array" ref="Q10">INDEX(Page3!$O$9:$O$38, COLUMN(Q11)-10)</f>
        <v>#DIV/0!</v>
      </c>
      <c r="R10" s="125" t="e" cm="1">
        <f t="array" ref="R10">INDEX(Page3!$O$9:$O$38, COLUMN(R11)-10)</f>
        <v>#DIV/0!</v>
      </c>
      <c r="S10" s="125" t="e" cm="1">
        <f t="array" ref="S10">INDEX(Page3!$O$9:$O$38, COLUMN(S11)-10)</f>
        <v>#DIV/0!</v>
      </c>
      <c r="T10" s="125" t="e" cm="1">
        <f t="array" ref="T10">INDEX(Page3!$O$9:$O$38, COLUMN(T11)-10)</f>
        <v>#DIV/0!</v>
      </c>
      <c r="U10" s="125" t="e" cm="1">
        <f t="array" ref="U10">INDEX(Page3!$O$9:$O$38, COLUMN(U11)-10)</f>
        <v>#DIV/0!</v>
      </c>
      <c r="V10" s="125" t="e" cm="1">
        <f t="array" ref="V10">INDEX(Page3!$O$9:$O$38, COLUMN(V11)-10)</f>
        <v>#DIV/0!</v>
      </c>
      <c r="W10" s="125" t="e" cm="1">
        <f t="array" ref="W10">INDEX(Page3!$O$9:$O$38, COLUMN(W11)-10)</f>
        <v>#DIV/0!</v>
      </c>
      <c r="X10" s="125" t="e" cm="1">
        <f t="array" ref="X10">INDEX(Page3!$O$9:$O$38, COLUMN(X11)-10)</f>
        <v>#DIV/0!</v>
      </c>
      <c r="Y10" s="125" t="e" cm="1">
        <f t="array" ref="Y10">INDEX(Page3!$O$9:$O$38, COLUMN(Y11)-10)</f>
        <v>#DIV/0!</v>
      </c>
      <c r="Z10" s="125" t="e" cm="1">
        <f t="array" ref="Z10">INDEX(Page3!$O$9:$O$38, COLUMN(Z11)-10)</f>
        <v>#DIV/0!</v>
      </c>
      <c r="AA10" s="125" t="e" cm="1">
        <f t="array" ref="AA10">INDEX(Page3!$O$9:$O$38, COLUMN(AA11)-10)</f>
        <v>#DIV/0!</v>
      </c>
      <c r="AB10" s="125" t="e" cm="1">
        <f t="array" ref="AB10">INDEX(Page3!$O$9:$O$38, COLUMN(AB11)-10)</f>
        <v>#DIV/0!</v>
      </c>
      <c r="AC10" s="125" t="e" cm="1">
        <f t="array" ref="AC10">INDEX(Page3!$O$9:$O$38, COLUMN(AC11)-10)</f>
        <v>#DIV/0!</v>
      </c>
      <c r="AD10" s="125" t="e" cm="1">
        <f t="array" ref="AD10">INDEX(Page3!$O$9:$O$38, COLUMN(AD11)-10)</f>
        <v>#DIV/0!</v>
      </c>
      <c r="AE10" s="125" t="e" cm="1">
        <f t="array" ref="AE10">INDEX(Page3!$O$9:$O$38, COLUMN(AE11)-10)</f>
        <v>#DIV/0!</v>
      </c>
      <c r="AF10" s="125" t="e" cm="1">
        <f t="array" ref="AF10">INDEX(Page3!$O$9:$O$38, COLUMN(AF11)-10)</f>
        <v>#DIV/0!</v>
      </c>
      <c r="AG10" s="125" t="e" cm="1">
        <f t="array" ref="AG10">INDEX(Page3!$O$9:$O$38, COLUMN(AG11)-10)</f>
        <v>#DIV/0!</v>
      </c>
      <c r="AH10" s="125" t="e" cm="1">
        <f t="array" ref="AH10">INDEX(Page3!$O$9:$O$38, COLUMN(AH11)-10)</f>
        <v>#DIV/0!</v>
      </c>
      <c r="AI10" s="125" t="e" cm="1">
        <f t="array" ref="AI10">INDEX(Page3!$O$9:$O$38, COLUMN(AI11)-10)</f>
        <v>#DIV/0!</v>
      </c>
      <c r="AJ10" s="125" t="e" cm="1">
        <f t="array" ref="AJ10">INDEX(Page3!$O$9:$O$38, COLUMN(AJ11)-10)</f>
        <v>#DIV/0!</v>
      </c>
      <c r="AK10" s="125" t="e" cm="1">
        <f t="array" ref="AK10">INDEX(Page3!$O$9:$O$38, COLUMN(AK11)-10)</f>
        <v>#DIV/0!</v>
      </c>
      <c r="AL10" s="125" t="e" cm="1">
        <f t="array" ref="AL10">INDEX(Page3!$O$9:$O$38, COLUMN(AL11)-10)</f>
        <v>#DIV/0!</v>
      </c>
      <c r="AM10" s="125" t="e" cm="1">
        <f t="array" ref="AM10">INDEX(Page3!$O$9:$O$38, COLUMN(AM11)-10)</f>
        <v>#DIV/0!</v>
      </c>
      <c r="AN10" s="125" t="e" cm="1">
        <f t="array" ref="AN10">INDEX(Page3!$O$9:$O$38, COLUMN(AN11)-10)</f>
        <v>#DIV/0!</v>
      </c>
      <c r="AO10" s="126" t="e">
        <f>AVERAGE(K10:AN10)</f>
        <v>#DIV/0!</v>
      </c>
      <c r="AP10" s="124" t="e">
        <f>STDEV(K10:AN10)</f>
        <v>#DIV/0!</v>
      </c>
      <c r="AQ10" s="140" t="e">
        <f>MIN((AO10-H10)/(3*AP10), (I10-AO10)/(3*AP10))</f>
        <v>#DIV/0!</v>
      </c>
      <c r="AR10" s="127" t="e">
        <f>MIN(K10:AN10)</f>
        <v>#DIV/0!</v>
      </c>
      <c r="AS10" s="127" t="e">
        <f>MAX(K10:AN10)</f>
        <v>#DIV/0!</v>
      </c>
      <c r="AT10" s="137" t="e">
        <f>IF(AQ10&gt;=1.33,"Pass","Fail")</f>
        <v>#DIV/0!</v>
      </c>
    </row>
    <row r="11" spans="1:46" s="138" customFormat="1" ht="15" customHeight="1">
      <c r="A11" s="120">
        <v>9</v>
      </c>
      <c r="B11" s="135" t="s">
        <v>103</v>
      </c>
      <c r="C11" s="121" t="s">
        <v>67</v>
      </c>
      <c r="D11" s="134" t="s">
        <v>104</v>
      </c>
      <c r="E11" s="134" t="s">
        <v>69</v>
      </c>
      <c r="F11" s="134" t="s">
        <v>70</v>
      </c>
      <c r="G11" s="136" t="s">
        <v>105</v>
      </c>
      <c r="H11" s="136"/>
      <c r="I11" s="136" t="s">
        <v>106</v>
      </c>
      <c r="J11" s="136" t="s">
        <v>100</v>
      </c>
      <c r="K11" s="122" cm="1">
        <f t="array" ref="K11">INDEX(Page4!$J$9:$J$38, COLUMN(K12)-10)</f>
        <v>0</v>
      </c>
      <c r="L11" s="122" cm="1">
        <f t="array" ref="L11">INDEX(Page4!$J$9:$J$38, COLUMN(L12)-10)</f>
        <v>0</v>
      </c>
      <c r="M11" s="122" cm="1">
        <f t="array" ref="M11">INDEX(Page4!$J$9:$J$38, COLUMN(M12)-10)</f>
        <v>0</v>
      </c>
      <c r="N11" s="122" cm="1">
        <f t="array" ref="N11">INDEX(Page4!$J$9:$J$38, COLUMN(N12)-10)</f>
        <v>0</v>
      </c>
      <c r="O11" s="122" cm="1">
        <f t="array" ref="O11">INDEX(Page4!$J$9:$J$38, COLUMN(O12)-10)</f>
        <v>0</v>
      </c>
      <c r="P11" s="122" cm="1">
        <f t="array" ref="P11">INDEX(Page4!$J$9:$J$38, COLUMN(P12)-10)</f>
        <v>0</v>
      </c>
      <c r="Q11" s="122" cm="1">
        <f t="array" ref="Q11">INDEX(Page4!$J$9:$J$38, COLUMN(Q12)-10)</f>
        <v>0</v>
      </c>
      <c r="R11" s="122" cm="1">
        <f t="array" ref="R11">INDEX(Page4!$J$9:$J$38, COLUMN(R12)-10)</f>
        <v>0</v>
      </c>
      <c r="S11" s="122" cm="1">
        <f t="array" ref="S11">INDEX(Page4!$J$9:$J$38, COLUMN(S12)-10)</f>
        <v>0</v>
      </c>
      <c r="T11" s="122" cm="1">
        <f t="array" ref="T11">INDEX(Page4!$J$9:$J$38, COLUMN(T12)-10)</f>
        <v>0</v>
      </c>
      <c r="U11" s="122" cm="1">
        <f t="array" ref="U11">INDEX(Page4!$J$9:$J$38, COLUMN(U12)-10)</f>
        <v>0</v>
      </c>
      <c r="V11" s="122" cm="1">
        <f t="array" ref="V11">INDEX(Page4!$J$9:$J$38, COLUMN(V12)-10)</f>
        <v>0</v>
      </c>
      <c r="W11" s="122" cm="1">
        <f t="array" ref="W11">INDEX(Page4!$J$9:$J$38, COLUMN(W12)-10)</f>
        <v>0</v>
      </c>
      <c r="X11" s="122" cm="1">
        <f t="array" ref="X11">INDEX(Page4!$J$9:$J$38, COLUMN(X12)-10)</f>
        <v>0</v>
      </c>
      <c r="Y11" s="122" cm="1">
        <f t="array" ref="Y11">INDEX(Page4!$J$9:$J$38, COLUMN(Y12)-10)</f>
        <v>0</v>
      </c>
      <c r="Z11" s="122" cm="1">
        <f t="array" ref="Z11">INDEX(Page4!$J$9:$J$38, COLUMN(Z12)-10)</f>
        <v>0</v>
      </c>
      <c r="AA11" s="122" cm="1">
        <f t="array" ref="AA11">INDEX(Page4!$J$9:$J$38, COLUMN(AA12)-10)</f>
        <v>0</v>
      </c>
      <c r="AB11" s="122" cm="1">
        <f t="array" ref="AB11">INDEX(Page4!$J$9:$J$38, COLUMN(AB12)-10)</f>
        <v>0</v>
      </c>
      <c r="AC11" s="122" cm="1">
        <f t="array" ref="AC11">INDEX(Page4!$J$9:$J$38, COLUMN(AC12)-10)</f>
        <v>0</v>
      </c>
      <c r="AD11" s="122" cm="1">
        <f t="array" ref="AD11">INDEX(Page4!$J$9:$J$38, COLUMN(AD12)-10)</f>
        <v>0</v>
      </c>
      <c r="AE11" s="122" cm="1">
        <f t="array" ref="AE11">INDEX(Page4!$J$9:$J$38, COLUMN(AE12)-10)</f>
        <v>0</v>
      </c>
      <c r="AF11" s="122" cm="1">
        <f t="array" ref="AF11">INDEX(Page4!$J$9:$J$38, COLUMN(AF12)-10)</f>
        <v>0</v>
      </c>
      <c r="AG11" s="122" cm="1">
        <f t="array" ref="AG11">INDEX(Page4!$J$9:$J$38, COLUMN(AG12)-10)</f>
        <v>0</v>
      </c>
      <c r="AH11" s="122" cm="1">
        <f t="array" ref="AH11">INDEX(Page4!$J$9:$J$38, COLUMN(AH12)-10)</f>
        <v>0</v>
      </c>
      <c r="AI11" s="122" cm="1">
        <f t="array" ref="AI11">INDEX(Page4!$J$9:$J$38, COLUMN(AI12)-10)</f>
        <v>0</v>
      </c>
      <c r="AJ11" s="122" cm="1">
        <f t="array" ref="AJ11">INDEX(Page4!$J$9:$J$38, COLUMN(AJ12)-10)</f>
        <v>0</v>
      </c>
      <c r="AK11" s="122" cm="1">
        <f t="array" ref="AK11">INDEX(Page4!$J$9:$J$38, COLUMN(AK12)-10)</f>
        <v>0</v>
      </c>
      <c r="AL11" s="122" cm="1">
        <f t="array" ref="AL11">INDEX(Page4!$J$9:$J$38, COLUMN(AL12)-10)</f>
        <v>0</v>
      </c>
      <c r="AM11" s="122" cm="1">
        <f t="array" ref="AM11">INDEX(Page4!$J$9:$J$38, COLUMN(AM12)-10)</f>
        <v>0</v>
      </c>
      <c r="AN11" s="122" cm="1">
        <f t="array" ref="AN11">INDEX(Page4!$J$9:$J$38, COLUMN(AN12)-10)</f>
        <v>0</v>
      </c>
      <c r="AO11" s="123">
        <f>AVERAGE(K11:AN11)</f>
        <v>0</v>
      </c>
      <c r="AP11" s="124">
        <f>STDEV(K11:AN11)</f>
        <v>0</v>
      </c>
      <c r="AQ11" s="140" t="e">
        <f>(I11-AO11)/(3*AP11)</f>
        <v>#DIV/0!</v>
      </c>
      <c r="AR11" s="124">
        <f>MIN(K11:AN11)</f>
        <v>0</v>
      </c>
      <c r="AS11" s="124">
        <f>MAX(K11:AN11)</f>
        <v>0</v>
      </c>
      <c r="AT11" s="137" t="e">
        <f>IF(AQ11&gt;=1.33,"Pass","Fail")</f>
        <v>#DIV/0!</v>
      </c>
    </row>
    <row r="12" spans="1:46" s="138" customFormat="1" ht="15" customHeight="1">
      <c r="A12" s="120">
        <v>10</v>
      </c>
      <c r="B12" s="135" t="s">
        <v>107</v>
      </c>
      <c r="C12" s="121" t="s">
        <v>67</v>
      </c>
      <c r="D12" s="134" t="s">
        <v>22</v>
      </c>
      <c r="E12" s="134" t="s">
        <v>69</v>
      </c>
      <c r="F12" s="134" t="s">
        <v>70</v>
      </c>
      <c r="G12" s="136" t="s">
        <v>108</v>
      </c>
      <c r="H12" s="136" t="s">
        <v>109</v>
      </c>
      <c r="I12" s="136" t="s">
        <v>110</v>
      </c>
      <c r="J12" s="136" t="s">
        <v>74</v>
      </c>
      <c r="K12" s="122" cm="1">
        <f t="array" ref="K12">INDEX(Page1!$M$8:$M$37, COLUMN(K13)-10)</f>
        <v>0</v>
      </c>
      <c r="L12" s="122" cm="1">
        <f t="array" ref="L12">INDEX(Page1!$M$8:$M$37, COLUMN(L13)-10)</f>
        <v>0</v>
      </c>
      <c r="M12" s="122" cm="1">
        <f t="array" ref="M12">INDEX(Page1!$M$8:$M$37, COLUMN(M13)-10)</f>
        <v>0</v>
      </c>
      <c r="N12" s="122" cm="1">
        <f t="array" ref="N12">INDEX(Page1!$M$8:$M$37, COLUMN(N13)-10)</f>
        <v>0</v>
      </c>
      <c r="O12" s="122" cm="1">
        <f t="array" ref="O12">INDEX(Page1!$M$8:$M$37, COLUMN(O13)-10)</f>
        <v>0</v>
      </c>
      <c r="P12" s="122" cm="1">
        <f t="array" ref="P12">INDEX(Page1!$M$8:$M$37, COLUMN(P13)-10)</f>
        <v>0</v>
      </c>
      <c r="Q12" s="122" cm="1">
        <f t="array" ref="Q12">INDEX(Page1!$M$8:$M$37, COLUMN(Q13)-10)</f>
        <v>0</v>
      </c>
      <c r="R12" s="122" cm="1">
        <f t="array" ref="R12">INDEX(Page1!$M$8:$M$37, COLUMN(R13)-10)</f>
        <v>0</v>
      </c>
      <c r="S12" s="122" cm="1">
        <f t="array" ref="S12">INDEX(Page1!$M$8:$M$37, COLUMN(S13)-10)</f>
        <v>0</v>
      </c>
      <c r="T12" s="122" cm="1">
        <f t="array" ref="T12">INDEX(Page1!$M$8:$M$37, COLUMN(T13)-10)</f>
        <v>0</v>
      </c>
      <c r="U12" s="122" cm="1">
        <f t="array" ref="U12">INDEX(Page1!$M$8:$M$37, COLUMN(U13)-10)</f>
        <v>0</v>
      </c>
      <c r="V12" s="122" cm="1">
        <f t="array" ref="V12">INDEX(Page1!$M$8:$M$37, COLUMN(V13)-10)</f>
        <v>0</v>
      </c>
      <c r="W12" s="122" cm="1">
        <f t="array" ref="W12">INDEX(Page1!$M$8:$M$37, COLUMN(W13)-10)</f>
        <v>0</v>
      </c>
      <c r="X12" s="122" cm="1">
        <f t="array" ref="X12">INDEX(Page1!$M$8:$M$37, COLUMN(X13)-10)</f>
        <v>0</v>
      </c>
      <c r="Y12" s="122" cm="1">
        <f t="array" ref="Y12">INDEX(Page1!$M$8:$M$37, COLUMN(Y13)-10)</f>
        <v>0</v>
      </c>
      <c r="Z12" s="122" cm="1">
        <f t="array" ref="Z12">INDEX(Page1!$M$8:$M$37, COLUMN(Z13)-10)</f>
        <v>0</v>
      </c>
      <c r="AA12" s="122" cm="1">
        <f t="array" ref="AA12">INDEX(Page1!$M$8:$M$37, COLUMN(AA13)-10)</f>
        <v>0</v>
      </c>
      <c r="AB12" s="122" cm="1">
        <f t="array" ref="AB12">INDEX(Page1!$M$8:$M$37, COLUMN(AB13)-10)</f>
        <v>0</v>
      </c>
      <c r="AC12" s="122" cm="1">
        <f t="array" ref="AC12">INDEX(Page1!$M$8:$M$37, COLUMN(AC13)-10)</f>
        <v>0</v>
      </c>
      <c r="AD12" s="122" cm="1">
        <f t="array" ref="AD12">INDEX(Page1!$M$8:$M$37, COLUMN(AD13)-10)</f>
        <v>0</v>
      </c>
      <c r="AE12" s="122" cm="1">
        <f t="array" ref="AE12">INDEX(Page1!$M$8:$M$37, COLUMN(AE13)-10)</f>
        <v>0</v>
      </c>
      <c r="AF12" s="122" cm="1">
        <f t="array" ref="AF12">INDEX(Page1!$M$8:$M$37, COLUMN(AF13)-10)</f>
        <v>0</v>
      </c>
      <c r="AG12" s="122" cm="1">
        <f t="array" ref="AG12">INDEX(Page1!$M$8:$M$37, COLUMN(AG13)-10)</f>
        <v>0</v>
      </c>
      <c r="AH12" s="122" cm="1">
        <f t="array" ref="AH12">INDEX(Page1!$M$8:$M$37, COLUMN(AH13)-10)</f>
        <v>0</v>
      </c>
      <c r="AI12" s="122" cm="1">
        <f t="array" ref="AI12">INDEX(Page1!$M$8:$M$37, COLUMN(AI13)-10)</f>
        <v>0</v>
      </c>
      <c r="AJ12" s="122" cm="1">
        <f t="array" ref="AJ12">INDEX(Page1!$M$8:$M$37, COLUMN(AJ13)-10)</f>
        <v>0</v>
      </c>
      <c r="AK12" s="122" cm="1">
        <f t="array" ref="AK12">INDEX(Page1!$M$8:$M$37, COLUMN(AK13)-10)</f>
        <v>0</v>
      </c>
      <c r="AL12" s="122" cm="1">
        <f t="array" ref="AL12">INDEX(Page1!$M$8:$M$37, COLUMN(AL13)-10)</f>
        <v>0</v>
      </c>
      <c r="AM12" s="122" cm="1">
        <f t="array" ref="AM12">INDEX(Page1!$M$8:$M$37, COLUMN(AM13)-10)</f>
        <v>0</v>
      </c>
      <c r="AN12" s="122" cm="1">
        <f t="array" ref="AN12">INDEX(Page1!$M$8:$M$37, COLUMN(AN13)-10)</f>
        <v>0</v>
      </c>
      <c r="AO12" s="123">
        <f>AVERAGE(K12:AN12)</f>
        <v>0</v>
      </c>
      <c r="AP12" s="124">
        <f>STDEV(K12:AN12)</f>
        <v>0</v>
      </c>
      <c r="AQ12" s="140" t="e">
        <f>MIN((AO12-H12)/(3*AP12), (I12-AO12)/(3*AP12))</f>
        <v>#DIV/0!</v>
      </c>
      <c r="AR12" s="124">
        <f>MIN(K12:AN12)</f>
        <v>0</v>
      </c>
      <c r="AS12" s="124">
        <f>MAX(K12:AN12)</f>
        <v>0</v>
      </c>
      <c r="AT12" s="137" t="e">
        <f>IF(AQ12&gt;=1.33,"Pass","Fail")</f>
        <v>#DIV/0!</v>
      </c>
    </row>
    <row r="13" spans="1:46" s="138" customFormat="1" ht="15" customHeight="1">
      <c r="A13" s="120">
        <v>11</v>
      </c>
      <c r="B13" s="135" t="s">
        <v>111</v>
      </c>
      <c r="C13" s="121" t="s">
        <v>67</v>
      </c>
      <c r="D13" s="134" t="s">
        <v>88</v>
      </c>
      <c r="E13" s="134" t="s">
        <v>69</v>
      </c>
      <c r="F13" s="134" t="s">
        <v>78</v>
      </c>
      <c r="G13" s="136" t="s">
        <v>112</v>
      </c>
      <c r="H13" s="136" t="s">
        <v>113</v>
      </c>
      <c r="I13" s="136" t="s">
        <v>114</v>
      </c>
      <c r="J13" s="136" t="s">
        <v>100</v>
      </c>
      <c r="K13" s="125" cm="1">
        <f t="array" ref="K13">INDEX(Page1!$J$8:$J$37, COLUMN(K14)-10)</f>
        <v>0</v>
      </c>
      <c r="L13" s="125" cm="1">
        <f t="array" ref="L13">INDEX(Page1!$J$8:$J$37, COLUMN(L14)-10)</f>
        <v>0</v>
      </c>
      <c r="M13" s="125" cm="1">
        <f t="array" ref="M13">INDEX(Page1!$J$8:$J$37, COLUMN(M14)-10)</f>
        <v>0</v>
      </c>
      <c r="N13" s="125" cm="1">
        <f t="array" ref="N13">INDEX(Page1!$J$8:$J$37, COLUMN(N14)-10)</f>
        <v>0</v>
      </c>
      <c r="O13" s="125" cm="1">
        <f t="array" ref="O13">INDEX(Page1!$J$8:$J$37, COLUMN(O14)-10)</f>
        <v>0</v>
      </c>
      <c r="P13" s="125" cm="1">
        <f t="array" ref="P13">INDEX(Page1!$J$8:$J$37, COLUMN(P14)-10)</f>
        <v>0</v>
      </c>
      <c r="Q13" s="125" cm="1">
        <f t="array" ref="Q13">INDEX(Page1!$J$8:$J$37, COLUMN(Q14)-10)</f>
        <v>0</v>
      </c>
      <c r="R13" s="125" cm="1">
        <f t="array" ref="R13">INDEX(Page1!$J$8:$J$37, COLUMN(R14)-10)</f>
        <v>0</v>
      </c>
      <c r="S13" s="125" cm="1">
        <f t="array" ref="S13">INDEX(Page1!$J$8:$J$37, COLUMN(S14)-10)</f>
        <v>0</v>
      </c>
      <c r="T13" s="125" cm="1">
        <f t="array" ref="T13">INDEX(Page1!$J$8:$J$37, COLUMN(T14)-10)</f>
        <v>0</v>
      </c>
      <c r="U13" s="125" cm="1">
        <f t="array" ref="U13">INDEX(Page1!$J$8:$J$37, COLUMN(U14)-10)</f>
        <v>0</v>
      </c>
      <c r="V13" s="125" cm="1">
        <f t="array" ref="V13">INDEX(Page1!$J$8:$J$37, COLUMN(V14)-10)</f>
        <v>0</v>
      </c>
      <c r="W13" s="125" cm="1">
        <f t="array" ref="W13">INDEX(Page1!$J$8:$J$37, COLUMN(W14)-10)</f>
        <v>0</v>
      </c>
      <c r="X13" s="125" cm="1">
        <f t="array" ref="X13">INDEX(Page1!$J$8:$J$37, COLUMN(X14)-10)</f>
        <v>0</v>
      </c>
      <c r="Y13" s="125" cm="1">
        <f t="array" ref="Y13">INDEX(Page1!$J$8:$J$37, COLUMN(Y14)-10)</f>
        <v>0</v>
      </c>
      <c r="Z13" s="125" cm="1">
        <f t="array" ref="Z13">INDEX(Page1!$J$8:$J$37, COLUMN(Z14)-10)</f>
        <v>0</v>
      </c>
      <c r="AA13" s="125" cm="1">
        <f t="array" ref="AA13">INDEX(Page1!$J$8:$J$37, COLUMN(AA14)-10)</f>
        <v>0</v>
      </c>
      <c r="AB13" s="125" cm="1">
        <f t="array" ref="AB13">INDEX(Page1!$J$8:$J$37, COLUMN(AB14)-10)</f>
        <v>0</v>
      </c>
      <c r="AC13" s="125" cm="1">
        <f t="array" ref="AC13">INDEX(Page1!$J$8:$J$37, COLUMN(AC14)-10)</f>
        <v>0</v>
      </c>
      <c r="AD13" s="125" cm="1">
        <f t="array" ref="AD13">INDEX(Page1!$J$8:$J$37, COLUMN(AD14)-10)</f>
        <v>0</v>
      </c>
      <c r="AE13" s="125" cm="1">
        <f t="array" ref="AE13">INDEX(Page1!$J$8:$J$37, COLUMN(AE14)-10)</f>
        <v>0</v>
      </c>
      <c r="AF13" s="125" cm="1">
        <f t="array" ref="AF13">INDEX(Page1!$J$8:$J$37, COLUMN(AF14)-10)</f>
        <v>0</v>
      </c>
      <c r="AG13" s="125" cm="1">
        <f t="array" ref="AG13">INDEX(Page1!$J$8:$J$37, COLUMN(AG14)-10)</f>
        <v>0</v>
      </c>
      <c r="AH13" s="125" cm="1">
        <f t="array" ref="AH13">INDEX(Page1!$J$8:$J$37, COLUMN(AH14)-10)</f>
        <v>0</v>
      </c>
      <c r="AI13" s="125" cm="1">
        <f t="array" ref="AI13">INDEX(Page1!$J$8:$J$37, COLUMN(AI14)-10)</f>
        <v>0</v>
      </c>
      <c r="AJ13" s="125" cm="1">
        <f t="array" ref="AJ13">INDEX(Page1!$J$8:$J$37, COLUMN(AJ14)-10)</f>
        <v>0</v>
      </c>
      <c r="AK13" s="125" cm="1">
        <f t="array" ref="AK13">INDEX(Page1!$J$8:$J$37, COLUMN(AK14)-10)</f>
        <v>0</v>
      </c>
      <c r="AL13" s="125" cm="1">
        <f t="array" ref="AL13">INDEX(Page1!$J$8:$J$37, COLUMN(AL14)-10)</f>
        <v>0</v>
      </c>
      <c r="AM13" s="125" cm="1">
        <f t="array" ref="AM13">INDEX(Page1!$J$8:$J$37, COLUMN(AM14)-10)</f>
        <v>0</v>
      </c>
      <c r="AN13" s="125" cm="1">
        <f t="array" ref="AN13">INDEX(Page1!$J$8:$J$37, COLUMN(AN14)-10)</f>
        <v>0</v>
      </c>
      <c r="AO13" s="126">
        <f t="shared" si="0"/>
        <v>0</v>
      </c>
      <c r="AP13" s="124">
        <f t="shared" si="1"/>
        <v>0</v>
      </c>
      <c r="AQ13" s="140" t="e">
        <f>MIN((AO13-H13)/(3*AP13), (I13-AO13)/(3*AP13))</f>
        <v>#DIV/0!</v>
      </c>
      <c r="AR13" s="127">
        <f t="shared" si="2"/>
        <v>0</v>
      </c>
      <c r="AS13" s="127">
        <f t="shared" si="3"/>
        <v>0</v>
      </c>
      <c r="AT13" s="137" t="e">
        <f t="shared" si="4"/>
        <v>#DIV/0!</v>
      </c>
    </row>
    <row r="14" spans="1:46" s="138" customFormat="1" ht="15" customHeight="1">
      <c r="A14" s="120">
        <v>12</v>
      </c>
      <c r="B14" s="135" t="s">
        <v>115</v>
      </c>
      <c r="C14" s="121" t="s">
        <v>67</v>
      </c>
      <c r="D14" s="134" t="s">
        <v>116</v>
      </c>
      <c r="E14" s="134" t="s">
        <v>69</v>
      </c>
      <c r="F14" s="134" t="s">
        <v>78</v>
      </c>
      <c r="G14" s="136" t="s">
        <v>117</v>
      </c>
      <c r="H14" s="136" t="s">
        <v>118</v>
      </c>
      <c r="I14" s="136" t="s">
        <v>119</v>
      </c>
      <c r="J14" s="136" t="s">
        <v>100</v>
      </c>
      <c r="K14" s="125" cm="1">
        <f t="array" ref="K14">INDEX(Page4!$D$9:$D$38, COLUMN(K15)-10)</f>
        <v>0</v>
      </c>
      <c r="L14" s="125" cm="1">
        <f t="array" ref="L14">INDEX(Page4!$D$9:$D$38, COLUMN(L15)-10)</f>
        <v>0</v>
      </c>
      <c r="M14" s="125" cm="1">
        <f t="array" ref="M14">INDEX(Page4!$D$9:$D$38, COLUMN(M15)-10)</f>
        <v>0</v>
      </c>
      <c r="N14" s="125" cm="1">
        <f t="array" ref="N14">INDEX(Page4!$D$9:$D$38, COLUMN(N15)-10)</f>
        <v>0</v>
      </c>
      <c r="O14" s="125" cm="1">
        <f t="array" ref="O14">INDEX(Page4!$D$9:$D$38, COLUMN(O15)-10)</f>
        <v>0</v>
      </c>
      <c r="P14" s="125" cm="1">
        <f t="array" ref="P14">INDEX(Page4!$D$9:$D$38, COLUMN(P15)-10)</f>
        <v>0</v>
      </c>
      <c r="Q14" s="125" cm="1">
        <f t="array" ref="Q14">INDEX(Page4!$D$9:$D$38, COLUMN(Q15)-10)</f>
        <v>0</v>
      </c>
      <c r="R14" s="125" cm="1">
        <f t="array" ref="R14">INDEX(Page4!$D$9:$D$38, COLUMN(R15)-10)</f>
        <v>0</v>
      </c>
      <c r="S14" s="125" cm="1">
        <f t="array" ref="S14">INDEX(Page4!$D$9:$D$38, COLUMN(S15)-10)</f>
        <v>0</v>
      </c>
      <c r="T14" s="125" cm="1">
        <f t="array" ref="T14">INDEX(Page4!$D$9:$D$38, COLUMN(T15)-10)</f>
        <v>0</v>
      </c>
      <c r="U14" s="125" cm="1">
        <f t="array" ref="U14">INDEX(Page4!$D$9:$D$38, COLUMN(U15)-10)</f>
        <v>0</v>
      </c>
      <c r="V14" s="125" cm="1">
        <f t="array" ref="V14">INDEX(Page4!$D$9:$D$38, COLUMN(V15)-10)</f>
        <v>0</v>
      </c>
      <c r="W14" s="125" cm="1">
        <f t="array" ref="W14">INDEX(Page4!$D$9:$D$38, COLUMN(W15)-10)</f>
        <v>0</v>
      </c>
      <c r="X14" s="125" cm="1">
        <f t="array" ref="X14">INDEX(Page4!$D$9:$D$38, COLUMN(X15)-10)</f>
        <v>0</v>
      </c>
      <c r="Y14" s="125" cm="1">
        <f t="array" ref="Y14">INDEX(Page4!$D$9:$D$38, COLUMN(Y15)-10)</f>
        <v>0</v>
      </c>
      <c r="Z14" s="125" cm="1">
        <f t="array" ref="Z14">INDEX(Page4!$D$9:$D$38, COLUMN(Z15)-10)</f>
        <v>0</v>
      </c>
      <c r="AA14" s="125" cm="1">
        <f t="array" ref="AA14">INDEX(Page4!$D$9:$D$38, COLUMN(AA15)-10)</f>
        <v>0</v>
      </c>
      <c r="AB14" s="125" cm="1">
        <f t="array" ref="AB14">INDEX(Page4!$D$9:$D$38, COLUMN(AB15)-10)</f>
        <v>0</v>
      </c>
      <c r="AC14" s="125" cm="1">
        <f t="array" ref="AC14">INDEX(Page4!$D$9:$D$38, COLUMN(AC15)-10)</f>
        <v>0</v>
      </c>
      <c r="AD14" s="125" cm="1">
        <f t="array" ref="AD14">INDEX(Page4!$D$9:$D$38, COLUMN(AD15)-10)</f>
        <v>0</v>
      </c>
      <c r="AE14" s="125" cm="1">
        <f t="array" ref="AE14">INDEX(Page4!$D$9:$D$38, COLUMN(AE15)-10)</f>
        <v>0</v>
      </c>
      <c r="AF14" s="125" cm="1">
        <f t="array" ref="AF14">INDEX(Page4!$D$9:$D$38, COLUMN(AF15)-10)</f>
        <v>0</v>
      </c>
      <c r="AG14" s="125" cm="1">
        <f t="array" ref="AG14">INDEX(Page4!$D$9:$D$38, COLUMN(AG15)-10)</f>
        <v>0</v>
      </c>
      <c r="AH14" s="125" cm="1">
        <f t="array" ref="AH14">INDEX(Page4!$D$9:$D$38, COLUMN(AH15)-10)</f>
        <v>0</v>
      </c>
      <c r="AI14" s="125" cm="1">
        <f t="array" ref="AI14">INDEX(Page4!$D$9:$D$38, COLUMN(AI15)-10)</f>
        <v>0</v>
      </c>
      <c r="AJ14" s="125" cm="1">
        <f t="array" ref="AJ14">INDEX(Page4!$D$9:$D$38, COLUMN(AJ15)-10)</f>
        <v>0</v>
      </c>
      <c r="AK14" s="125" cm="1">
        <f t="array" ref="AK14">INDEX(Page4!$D$9:$D$38, COLUMN(AK15)-10)</f>
        <v>0</v>
      </c>
      <c r="AL14" s="125" cm="1">
        <f t="array" ref="AL14">INDEX(Page4!$D$9:$D$38, COLUMN(AL15)-10)</f>
        <v>0</v>
      </c>
      <c r="AM14" s="125" cm="1">
        <f t="array" ref="AM14">INDEX(Page4!$D$9:$D$38, COLUMN(AM15)-10)</f>
        <v>0</v>
      </c>
      <c r="AN14" s="125" cm="1">
        <f t="array" ref="AN14">INDEX(Page4!$D$9:$D$38, COLUMN(AN15)-10)</f>
        <v>0</v>
      </c>
      <c r="AO14" s="126">
        <f t="shared" si="0"/>
        <v>0</v>
      </c>
      <c r="AP14" s="124">
        <f t="shared" si="1"/>
        <v>0</v>
      </c>
      <c r="AQ14" s="140" t="e">
        <f>MIN((AO14-H14)/(3*AP14),(I14-AO14)/(3*AP14))</f>
        <v>#DIV/0!</v>
      </c>
      <c r="AR14" s="127">
        <f t="shared" si="2"/>
        <v>0</v>
      </c>
      <c r="AS14" s="127">
        <f>MAX(K14:AN14)</f>
        <v>0</v>
      </c>
      <c r="AT14" s="137" t="e">
        <f t="shared" si="4"/>
        <v>#DIV/0!</v>
      </c>
    </row>
    <row r="15" spans="1:46" s="138" customFormat="1" ht="15" customHeight="1">
      <c r="A15" s="120">
        <v>13</v>
      </c>
      <c r="B15" s="135" t="s">
        <v>120</v>
      </c>
      <c r="C15" s="121" t="s">
        <v>67</v>
      </c>
      <c r="D15" s="134" t="s">
        <v>116</v>
      </c>
      <c r="E15" s="134" t="s">
        <v>69</v>
      </c>
      <c r="F15" s="134" t="s">
        <v>78</v>
      </c>
      <c r="G15" s="136" t="s">
        <v>121</v>
      </c>
      <c r="H15" s="136" t="s">
        <v>122</v>
      </c>
      <c r="I15" s="136" t="s">
        <v>123</v>
      </c>
      <c r="J15" s="136" t="s">
        <v>100</v>
      </c>
      <c r="K15" s="125" cm="1">
        <f t="array" ref="K15">INDEX(Page4!$F$9:$F$38, COLUMN(K16)-10)</f>
        <v>0</v>
      </c>
      <c r="L15" s="125" cm="1">
        <f t="array" ref="L15">INDEX(Page4!$F$9:$F$38, COLUMN(L16)-10)</f>
        <v>0</v>
      </c>
      <c r="M15" s="125" cm="1">
        <f t="array" ref="M15">INDEX(Page4!$F$9:$F$38, COLUMN(M16)-10)</f>
        <v>0</v>
      </c>
      <c r="N15" s="125" cm="1">
        <f t="array" ref="N15">INDEX(Page4!$F$9:$F$38, COLUMN(N16)-10)</f>
        <v>0</v>
      </c>
      <c r="O15" s="125" cm="1">
        <f t="array" ref="O15">INDEX(Page4!$F$9:$F$38, COLUMN(O16)-10)</f>
        <v>0</v>
      </c>
      <c r="P15" s="125" cm="1">
        <f t="array" ref="P15">INDEX(Page4!$F$9:$F$38, COLUMN(P16)-10)</f>
        <v>0</v>
      </c>
      <c r="Q15" s="125" cm="1">
        <f t="array" ref="Q15">INDEX(Page4!$F$9:$F$38, COLUMN(Q16)-10)</f>
        <v>0</v>
      </c>
      <c r="R15" s="125" cm="1">
        <f t="array" ref="R15">INDEX(Page4!$F$9:$F$38, COLUMN(R16)-10)</f>
        <v>0</v>
      </c>
      <c r="S15" s="125" cm="1">
        <f t="array" ref="S15">INDEX(Page4!$F$9:$F$38, COLUMN(S16)-10)</f>
        <v>0</v>
      </c>
      <c r="T15" s="125" cm="1">
        <f t="array" ref="T15">INDEX(Page4!$F$9:$F$38, COLUMN(T16)-10)</f>
        <v>0</v>
      </c>
      <c r="U15" s="125" cm="1">
        <f t="array" ref="U15">INDEX(Page4!$F$9:$F$38, COLUMN(U16)-10)</f>
        <v>0</v>
      </c>
      <c r="V15" s="125" cm="1">
        <f t="array" ref="V15">INDEX(Page4!$F$9:$F$38, COLUMN(V16)-10)</f>
        <v>0</v>
      </c>
      <c r="W15" s="125" cm="1">
        <f t="array" ref="W15">INDEX(Page4!$F$9:$F$38, COLUMN(W16)-10)</f>
        <v>0</v>
      </c>
      <c r="X15" s="125" cm="1">
        <f t="array" ref="X15">INDEX(Page4!$F$9:$F$38, COLUMN(X16)-10)</f>
        <v>0</v>
      </c>
      <c r="Y15" s="125" cm="1">
        <f t="array" ref="Y15">INDEX(Page4!$F$9:$F$38, COLUMN(Y16)-10)</f>
        <v>0</v>
      </c>
      <c r="Z15" s="125" cm="1">
        <f t="array" ref="Z15">INDEX(Page4!$F$9:$F$38, COLUMN(Z16)-10)</f>
        <v>0</v>
      </c>
      <c r="AA15" s="125" cm="1">
        <f t="array" ref="AA15">INDEX(Page4!$F$9:$F$38, COLUMN(AA16)-10)</f>
        <v>0</v>
      </c>
      <c r="AB15" s="125" cm="1">
        <f t="array" ref="AB15">INDEX(Page4!$F$9:$F$38, COLUMN(AB16)-10)</f>
        <v>0</v>
      </c>
      <c r="AC15" s="125" cm="1">
        <f t="array" ref="AC15">INDEX(Page4!$F$9:$F$38, COLUMN(AC16)-10)</f>
        <v>0</v>
      </c>
      <c r="AD15" s="125" cm="1">
        <f t="array" ref="AD15">INDEX(Page4!$F$9:$F$38, COLUMN(AD16)-10)</f>
        <v>0</v>
      </c>
      <c r="AE15" s="125" cm="1">
        <f t="array" ref="AE15">INDEX(Page4!$F$9:$F$38, COLUMN(AE16)-10)</f>
        <v>0</v>
      </c>
      <c r="AF15" s="125" cm="1">
        <f t="array" ref="AF15">INDEX(Page4!$F$9:$F$38, COLUMN(AF16)-10)</f>
        <v>0</v>
      </c>
      <c r="AG15" s="125" cm="1">
        <f t="array" ref="AG15">INDEX(Page4!$F$9:$F$38, COLUMN(AG16)-10)</f>
        <v>0</v>
      </c>
      <c r="AH15" s="125" cm="1">
        <f t="array" ref="AH15">INDEX(Page4!$F$9:$F$38, COLUMN(AH16)-10)</f>
        <v>0</v>
      </c>
      <c r="AI15" s="125" cm="1">
        <f t="array" ref="AI15">INDEX(Page4!$F$9:$F$38, COLUMN(AI16)-10)</f>
        <v>0</v>
      </c>
      <c r="AJ15" s="125" cm="1">
        <f t="array" ref="AJ15">INDEX(Page4!$F$9:$F$38, COLUMN(AJ16)-10)</f>
        <v>0</v>
      </c>
      <c r="AK15" s="125" cm="1">
        <f t="array" ref="AK15">INDEX(Page4!$F$9:$F$38, COLUMN(AK16)-10)</f>
        <v>0</v>
      </c>
      <c r="AL15" s="125" cm="1">
        <f t="array" ref="AL15">INDEX(Page4!$F$9:$F$38, COLUMN(AL16)-10)</f>
        <v>0</v>
      </c>
      <c r="AM15" s="125" cm="1">
        <f t="array" ref="AM15">INDEX(Page4!$F$9:$F$38, COLUMN(AM16)-10)</f>
        <v>0</v>
      </c>
      <c r="AN15" s="125" cm="1">
        <f t="array" ref="AN15">INDEX(Page4!$F$9:$F$38, COLUMN(AN16)-10)</f>
        <v>0</v>
      </c>
      <c r="AO15" s="126">
        <f t="shared" si="0"/>
        <v>0</v>
      </c>
      <c r="AP15" s="124">
        <f t="shared" si="1"/>
        <v>0</v>
      </c>
      <c r="AQ15" s="140" t="e">
        <f>MIN((AO15-H15)/(3*AP15),(I15-AO15)/(3*AP15))</f>
        <v>#DIV/0!</v>
      </c>
      <c r="AR15" s="127">
        <f>MIN(K15:AN15)</f>
        <v>0</v>
      </c>
      <c r="AS15" s="127">
        <f>MAX(K15:AN15)</f>
        <v>0</v>
      </c>
      <c r="AT15" s="137" t="e">
        <f t="shared" si="4"/>
        <v>#DIV/0!</v>
      </c>
    </row>
    <row r="16" spans="1:46" s="138" customFormat="1" ht="15" customHeight="1">
      <c r="A16" s="120">
        <v>14</v>
      </c>
      <c r="B16" s="135" t="s">
        <v>124</v>
      </c>
      <c r="C16" s="121" t="s">
        <v>67</v>
      </c>
      <c r="D16" s="134" t="s">
        <v>116</v>
      </c>
      <c r="E16" s="134" t="s">
        <v>69</v>
      </c>
      <c r="F16" s="134" t="s">
        <v>78</v>
      </c>
      <c r="G16" s="136" t="s">
        <v>125</v>
      </c>
      <c r="H16" s="136" t="s">
        <v>126</v>
      </c>
      <c r="I16" s="136" t="s">
        <v>127</v>
      </c>
      <c r="J16" s="136" t="s">
        <v>100</v>
      </c>
      <c r="K16" s="125" cm="1">
        <f t="array" ref="K16">INDEX(Page4!$H$9:$H$387, COLUMN(K17)-10)</f>
        <v>0</v>
      </c>
      <c r="L16" s="125" cm="1">
        <f t="array" ref="L16">INDEX(Page4!$H$9:$H$387, COLUMN(L17)-10)</f>
        <v>0</v>
      </c>
      <c r="M16" s="125" cm="1">
        <f t="array" ref="M16">INDEX(Page4!$H$9:$H$387, COLUMN(M17)-10)</f>
        <v>0</v>
      </c>
      <c r="N16" s="125" cm="1">
        <f t="array" ref="N16">INDEX(Page4!$H$9:$H$387, COLUMN(N17)-10)</f>
        <v>0</v>
      </c>
      <c r="O16" s="125" cm="1">
        <f t="array" ref="O16">INDEX(Page4!$H$9:$H$387, COLUMN(O17)-10)</f>
        <v>0</v>
      </c>
      <c r="P16" s="125" cm="1">
        <f t="array" ref="P16">INDEX(Page4!$H$9:$H$387, COLUMN(P17)-10)</f>
        <v>0</v>
      </c>
      <c r="Q16" s="125" cm="1">
        <f t="array" ref="Q16">INDEX(Page4!$H$9:$H$387, COLUMN(Q17)-10)</f>
        <v>0</v>
      </c>
      <c r="R16" s="125" cm="1">
        <f t="array" ref="R16">INDEX(Page4!$H$9:$H$387, COLUMN(R17)-10)</f>
        <v>0</v>
      </c>
      <c r="S16" s="125" cm="1">
        <f t="array" ref="S16">INDEX(Page4!$H$9:$H$387, COLUMN(S17)-10)</f>
        <v>0</v>
      </c>
      <c r="T16" s="125" cm="1">
        <f t="array" ref="T16">INDEX(Page4!$H$9:$H$387, COLUMN(T17)-10)</f>
        <v>0</v>
      </c>
      <c r="U16" s="125" cm="1">
        <f t="array" ref="U16">INDEX(Page4!$H$9:$H$387, COLUMN(U17)-10)</f>
        <v>0</v>
      </c>
      <c r="V16" s="125" cm="1">
        <f t="array" ref="V16">INDEX(Page4!$H$9:$H$387, COLUMN(V17)-10)</f>
        <v>0</v>
      </c>
      <c r="W16" s="125" cm="1">
        <f t="array" ref="W16">INDEX(Page4!$H$9:$H$387, COLUMN(W17)-10)</f>
        <v>0</v>
      </c>
      <c r="X16" s="125" cm="1">
        <f t="array" ref="X16">INDEX(Page4!$H$9:$H$387, COLUMN(X17)-10)</f>
        <v>0</v>
      </c>
      <c r="Y16" s="125" cm="1">
        <f t="array" ref="Y16">INDEX(Page4!$H$9:$H$387, COLUMN(Y17)-10)</f>
        <v>0</v>
      </c>
      <c r="Z16" s="125" cm="1">
        <f t="array" ref="Z16">INDEX(Page4!$H$9:$H$387, COLUMN(Z17)-10)</f>
        <v>0</v>
      </c>
      <c r="AA16" s="125" cm="1">
        <f t="array" ref="AA16">INDEX(Page4!$H$9:$H$387, COLUMN(AA17)-10)</f>
        <v>0</v>
      </c>
      <c r="AB16" s="125" cm="1">
        <f t="array" ref="AB16">INDEX(Page4!$H$9:$H$387, COLUMN(AB17)-10)</f>
        <v>0</v>
      </c>
      <c r="AC16" s="125" cm="1">
        <f t="array" ref="AC16">INDEX(Page4!$H$9:$H$387, COLUMN(AC17)-10)</f>
        <v>0</v>
      </c>
      <c r="AD16" s="125" cm="1">
        <f t="array" ref="AD16">INDEX(Page4!$H$9:$H$387, COLUMN(AD17)-10)</f>
        <v>0</v>
      </c>
      <c r="AE16" s="125" cm="1">
        <f t="array" ref="AE16">INDEX(Page4!$H$9:$H$387, COLUMN(AE17)-10)</f>
        <v>0</v>
      </c>
      <c r="AF16" s="125" cm="1">
        <f t="array" ref="AF16">INDEX(Page4!$H$9:$H$387, COLUMN(AF17)-10)</f>
        <v>0</v>
      </c>
      <c r="AG16" s="125" cm="1">
        <f t="array" ref="AG16">INDEX(Page4!$H$9:$H$387, COLUMN(AG17)-10)</f>
        <v>0</v>
      </c>
      <c r="AH16" s="125" cm="1">
        <f t="array" ref="AH16">INDEX(Page4!$H$9:$H$387, COLUMN(AH17)-10)</f>
        <v>0</v>
      </c>
      <c r="AI16" s="125" cm="1">
        <f t="array" ref="AI16">INDEX(Page4!$H$9:$H$387, COLUMN(AI17)-10)</f>
        <v>0</v>
      </c>
      <c r="AJ16" s="125" cm="1">
        <f t="array" ref="AJ16">INDEX(Page4!$H$9:$H$387, COLUMN(AJ17)-10)</f>
        <v>0</v>
      </c>
      <c r="AK16" s="125" cm="1">
        <f t="array" ref="AK16">INDEX(Page4!$H$9:$H$387, COLUMN(AK17)-10)</f>
        <v>0</v>
      </c>
      <c r="AL16" s="125" cm="1">
        <f t="array" ref="AL16">INDEX(Page4!$H$9:$H$387, COLUMN(AL17)-10)</f>
        <v>0</v>
      </c>
      <c r="AM16" s="125" cm="1">
        <f t="array" ref="AM16">INDEX(Page4!$H$9:$H$387, COLUMN(AM17)-10)</f>
        <v>0</v>
      </c>
      <c r="AN16" s="125" cm="1">
        <f t="array" ref="AN16">INDEX(Page4!$H$9:$H$387, COLUMN(AN17)-10)</f>
        <v>0</v>
      </c>
      <c r="AO16" s="126">
        <f t="shared" si="0"/>
        <v>0</v>
      </c>
      <c r="AP16" s="124">
        <f t="shared" si="1"/>
        <v>0</v>
      </c>
      <c r="AQ16" s="140" t="e">
        <f>MIN((AO16-H16)/(3*AP16),(I16-AO16)/(3*AP16))</f>
        <v>#DIV/0!</v>
      </c>
      <c r="AR16" s="127">
        <f t="shared" si="2"/>
        <v>0</v>
      </c>
      <c r="AS16" s="127">
        <f>MAX(K16:AN16)</f>
        <v>0</v>
      </c>
      <c r="AT16" s="137" t="e">
        <f t="shared" si="4"/>
        <v>#DIV/0!</v>
      </c>
    </row>
    <row r="17" spans="1:46" s="138" customFormat="1" ht="15" customHeight="1">
      <c r="A17" s="120">
        <v>15</v>
      </c>
      <c r="B17" s="135" t="s">
        <v>128</v>
      </c>
      <c r="C17" s="121" t="s">
        <v>67</v>
      </c>
      <c r="D17" s="134" t="s">
        <v>129</v>
      </c>
      <c r="E17" s="134" t="s">
        <v>77</v>
      </c>
      <c r="F17" s="134" t="s">
        <v>78</v>
      </c>
      <c r="G17" s="136" t="s">
        <v>80</v>
      </c>
      <c r="H17" s="136"/>
      <c r="I17" s="136" t="s">
        <v>130</v>
      </c>
      <c r="J17" s="136" t="s">
        <v>100</v>
      </c>
      <c r="K17" s="125" t="e" cm="1">
        <f t="array" ref="K17">INDEX(Page4!$O$9:$O$38, COLUMN(K18)-10)</f>
        <v>#DIV/0!</v>
      </c>
      <c r="L17" s="125" t="e" cm="1">
        <f t="array" ref="L17">INDEX(Page4!$O$9:$O$38, COLUMN(L18)-10)</f>
        <v>#DIV/0!</v>
      </c>
      <c r="M17" s="125" t="e" cm="1">
        <f t="array" ref="M17">INDEX(Page4!$O$9:$O$38, COLUMN(M18)-10)</f>
        <v>#DIV/0!</v>
      </c>
      <c r="N17" s="125" t="e" cm="1">
        <f t="array" ref="N17">INDEX(Page4!$O$9:$O$38, COLUMN(N18)-10)</f>
        <v>#DIV/0!</v>
      </c>
      <c r="O17" s="125" t="e" cm="1">
        <f t="array" ref="O17">INDEX(Page4!$O$9:$O$38, COLUMN(O18)-10)</f>
        <v>#DIV/0!</v>
      </c>
      <c r="P17" s="125" t="e" cm="1">
        <f t="array" ref="P17">INDEX(Page4!$O$9:$O$38, COLUMN(P18)-10)</f>
        <v>#DIV/0!</v>
      </c>
      <c r="Q17" s="125" t="e" cm="1">
        <f t="array" ref="Q17">INDEX(Page4!$O$9:$O$38, COLUMN(Q18)-10)</f>
        <v>#DIV/0!</v>
      </c>
      <c r="R17" s="125" t="e" cm="1">
        <f t="array" ref="R17">INDEX(Page4!$O$9:$O$38, COLUMN(R18)-10)</f>
        <v>#DIV/0!</v>
      </c>
      <c r="S17" s="125" t="e" cm="1">
        <f t="array" ref="S17">INDEX(Page4!$O$9:$O$38, COLUMN(S18)-10)</f>
        <v>#DIV/0!</v>
      </c>
      <c r="T17" s="125" t="e" cm="1">
        <f t="array" ref="T17">INDEX(Page4!$O$9:$O$38, COLUMN(T18)-10)</f>
        <v>#DIV/0!</v>
      </c>
      <c r="U17" s="125" t="e" cm="1">
        <f t="array" ref="U17">INDEX(Page4!$O$9:$O$38, COLUMN(U18)-10)</f>
        <v>#DIV/0!</v>
      </c>
      <c r="V17" s="125" t="e" cm="1">
        <f t="array" ref="V17">INDEX(Page4!$O$9:$O$38, COLUMN(V18)-10)</f>
        <v>#DIV/0!</v>
      </c>
      <c r="W17" s="125" t="e" cm="1">
        <f t="array" ref="W17">INDEX(Page4!$O$9:$O$38, COLUMN(W18)-10)</f>
        <v>#DIV/0!</v>
      </c>
      <c r="X17" s="125" t="e" cm="1">
        <f t="array" ref="X17">INDEX(Page4!$O$9:$O$38, COLUMN(X18)-10)</f>
        <v>#DIV/0!</v>
      </c>
      <c r="Y17" s="125" t="e" cm="1">
        <f t="array" ref="Y17">INDEX(Page4!$O$9:$O$38, COLUMN(Y18)-10)</f>
        <v>#DIV/0!</v>
      </c>
      <c r="Z17" s="125" t="e" cm="1">
        <f t="array" ref="Z17">INDEX(Page4!$O$9:$O$38, COLUMN(Z18)-10)</f>
        <v>#DIV/0!</v>
      </c>
      <c r="AA17" s="125" t="e" cm="1">
        <f t="array" ref="AA17">INDEX(Page4!$O$9:$O$38, COLUMN(AA18)-10)</f>
        <v>#DIV/0!</v>
      </c>
      <c r="AB17" s="125" t="e" cm="1">
        <f t="array" ref="AB17">INDEX(Page4!$O$9:$O$38, COLUMN(AB18)-10)</f>
        <v>#DIV/0!</v>
      </c>
      <c r="AC17" s="125" t="e" cm="1">
        <f t="array" ref="AC17">INDEX(Page4!$O$9:$O$38, COLUMN(AC18)-10)</f>
        <v>#DIV/0!</v>
      </c>
      <c r="AD17" s="125" t="e" cm="1">
        <f t="array" ref="AD17">INDEX(Page4!$O$9:$O$38, COLUMN(AD18)-10)</f>
        <v>#DIV/0!</v>
      </c>
      <c r="AE17" s="125" t="e" cm="1">
        <f t="array" ref="AE17">INDEX(Page4!$O$9:$O$38, COLUMN(AE18)-10)</f>
        <v>#DIV/0!</v>
      </c>
      <c r="AF17" s="125" t="e" cm="1">
        <f t="array" ref="AF17">INDEX(Page4!$O$9:$O$38, COLUMN(AF18)-10)</f>
        <v>#DIV/0!</v>
      </c>
      <c r="AG17" s="125" t="e" cm="1">
        <f t="array" ref="AG17">INDEX(Page4!$O$9:$O$38, COLUMN(AG18)-10)</f>
        <v>#DIV/0!</v>
      </c>
      <c r="AH17" s="125" t="e" cm="1">
        <f t="array" ref="AH17">INDEX(Page4!$O$9:$O$38, COLUMN(AH18)-10)</f>
        <v>#DIV/0!</v>
      </c>
      <c r="AI17" s="125" t="e" cm="1">
        <f t="array" ref="AI17">INDEX(Page4!$O$9:$O$38, COLUMN(AI18)-10)</f>
        <v>#DIV/0!</v>
      </c>
      <c r="AJ17" s="125" t="e" cm="1">
        <f t="array" ref="AJ17">INDEX(Page4!$O$9:$O$38, COLUMN(AJ18)-10)</f>
        <v>#DIV/0!</v>
      </c>
      <c r="AK17" s="125" t="e" cm="1">
        <f t="array" ref="AK17">INDEX(Page4!$O$9:$O$38, COLUMN(AK18)-10)</f>
        <v>#DIV/0!</v>
      </c>
      <c r="AL17" s="125" t="e" cm="1">
        <f t="array" ref="AL17">INDEX(Page4!$O$9:$O$38, COLUMN(AL18)-10)</f>
        <v>#DIV/0!</v>
      </c>
      <c r="AM17" s="125" t="e" cm="1">
        <f t="array" ref="AM17">INDEX(Page4!$O$9:$O$38, COLUMN(AM18)-10)</f>
        <v>#DIV/0!</v>
      </c>
      <c r="AN17" s="125" t="e" cm="1">
        <f t="array" ref="AN17">INDEX(Page4!$O$9:$O$38, COLUMN(AN18)-10)</f>
        <v>#DIV/0!</v>
      </c>
      <c r="AO17" s="126" t="e">
        <f>AVERAGE(K17:AN17)</f>
        <v>#DIV/0!</v>
      </c>
      <c r="AP17" s="124" t="e">
        <f t="shared" si="1"/>
        <v>#DIV/0!</v>
      </c>
      <c r="AQ17" s="140" t="e">
        <f>(I17-AO17)/(3*AP17)</f>
        <v>#DIV/0!</v>
      </c>
      <c r="AR17" s="127" t="e">
        <f t="shared" si="2"/>
        <v>#DIV/0!</v>
      </c>
      <c r="AS17" s="127" t="e">
        <f>MAX(K17:AN17)</f>
        <v>#DIV/0!</v>
      </c>
      <c r="AT17" s="137" t="e">
        <f t="shared" si="4"/>
        <v>#DIV/0!</v>
      </c>
    </row>
    <row r="19" spans="1:46">
      <c r="AL19" s="91"/>
      <c r="AM19" s="91"/>
      <c r="AQ19" s="92"/>
      <c r="AR19" s="84"/>
      <c r="AS19" s="84"/>
    </row>
    <row r="20" spans="1:46">
      <c r="AL20" s="91"/>
      <c r="AM20" s="91"/>
      <c r="AQ20" s="92"/>
      <c r="AR20" s="84"/>
      <c r="AS20" s="84"/>
    </row>
    <row r="21" spans="1:46">
      <c r="AL21" s="91"/>
      <c r="AM21" s="92"/>
      <c r="AN21" s="92"/>
      <c r="AO21" s="92"/>
      <c r="AP21" s="92"/>
      <c r="AQ21" s="92"/>
      <c r="AR21" s="84"/>
      <c r="AS21" s="84"/>
    </row>
    <row r="22" spans="1:46">
      <c r="AL22" s="91"/>
      <c r="AM22" s="92"/>
      <c r="AN22" s="92"/>
      <c r="AO22" s="92"/>
      <c r="AP22" s="92"/>
      <c r="AQ22" s="92"/>
      <c r="AR22" s="84"/>
      <c r="AS22" s="84"/>
    </row>
    <row r="23" spans="1:46">
      <c r="AL23" s="91"/>
      <c r="AM23" s="92"/>
      <c r="AN23" s="92"/>
      <c r="AO23" s="92"/>
      <c r="AP23" s="92"/>
      <c r="AQ23" s="92"/>
      <c r="AR23" s="84"/>
      <c r="AS23" s="84"/>
    </row>
    <row r="24" spans="1:46">
      <c r="AL24" s="91"/>
      <c r="AM24" s="92"/>
      <c r="AN24" s="92"/>
      <c r="AO24" s="92"/>
      <c r="AP24" s="92"/>
      <c r="AQ24" s="92"/>
      <c r="AR24" s="84"/>
      <c r="AS24" s="84"/>
    </row>
    <row r="25" spans="1:46">
      <c r="AL25" s="91"/>
      <c r="AM25" s="92"/>
      <c r="AN25" s="92"/>
      <c r="AO25" s="92"/>
      <c r="AP25" s="92"/>
      <c r="AQ25" s="92"/>
      <c r="AR25" s="84"/>
      <c r="AS25" s="84"/>
    </row>
    <row r="26" spans="1:46">
      <c r="AL26" s="91"/>
      <c r="AM26" s="92"/>
      <c r="AN26" s="92"/>
      <c r="AO26" s="92"/>
      <c r="AP26" s="92"/>
      <c r="AQ26" s="92"/>
      <c r="AR26" s="84"/>
      <c r="AS26" s="84"/>
    </row>
    <row r="27" spans="1:46">
      <c r="AL27" s="91"/>
      <c r="AM27" s="92"/>
      <c r="AN27" s="92"/>
      <c r="AO27" s="92"/>
      <c r="AP27" s="92"/>
      <c r="AQ27" s="92"/>
      <c r="AR27" s="84"/>
      <c r="AS27" s="84"/>
    </row>
    <row r="28" spans="1:46">
      <c r="AL28" s="91"/>
      <c r="AM28" s="92"/>
      <c r="AN28" s="92"/>
      <c r="AO28" s="92"/>
      <c r="AP28" s="92"/>
      <c r="AQ28" s="92"/>
      <c r="AR28" s="84"/>
      <c r="AS28" s="84"/>
    </row>
    <row r="29" spans="1:46">
      <c r="AL29" s="91"/>
      <c r="AM29" s="92"/>
      <c r="AN29" s="92"/>
      <c r="AO29" s="92"/>
      <c r="AP29" s="92"/>
      <c r="AQ29" s="92"/>
      <c r="AR29" s="84"/>
      <c r="AS29" s="84"/>
    </row>
    <row r="30" spans="1:46">
      <c r="AL30" s="91"/>
      <c r="AM30" s="92"/>
      <c r="AN30" s="92"/>
      <c r="AO30" s="92"/>
      <c r="AP30" s="92"/>
      <c r="AQ30" s="92"/>
      <c r="AR30" s="84"/>
      <c r="AS30" s="84"/>
    </row>
    <row r="31" spans="1:46">
      <c r="AL31" s="91"/>
      <c r="AM31" s="92"/>
      <c r="AN31" s="92"/>
      <c r="AO31" s="92"/>
      <c r="AP31" s="92"/>
      <c r="AQ31" s="92"/>
      <c r="AR31" s="84"/>
      <c r="AS31" s="84"/>
    </row>
    <row r="32" spans="1:46">
      <c r="AL32" s="91"/>
      <c r="AM32" s="92"/>
      <c r="AN32" s="92"/>
      <c r="AO32" s="92"/>
      <c r="AP32" s="92"/>
      <c r="AR32" s="84"/>
      <c r="AS32" s="84"/>
    </row>
    <row r="33" spans="38:45">
      <c r="AL33" s="91"/>
      <c r="AM33" s="92"/>
      <c r="AN33" s="92"/>
      <c r="AO33" s="92"/>
      <c r="AP33" s="92"/>
      <c r="AR33" s="84"/>
      <c r="AS33" s="84"/>
    </row>
    <row r="34" spans="38:45">
      <c r="AL34" s="91"/>
      <c r="AM34" s="92"/>
      <c r="AN34" s="92"/>
      <c r="AO34" s="92"/>
      <c r="AP34" s="92"/>
      <c r="AR34" s="84"/>
      <c r="AS34" s="84"/>
    </row>
    <row r="35" spans="38:45">
      <c r="AL35" s="91"/>
      <c r="AM35" s="92"/>
      <c r="AN35" s="92"/>
      <c r="AO35" s="92"/>
      <c r="AP35" s="92"/>
      <c r="AR35" s="84"/>
      <c r="AS35" s="84"/>
    </row>
    <row r="36" spans="38:45">
      <c r="AL36" s="91"/>
      <c r="AM36" s="92"/>
      <c r="AN36" s="92"/>
      <c r="AO36" s="92"/>
      <c r="AP36" s="92"/>
      <c r="AR36" s="84"/>
      <c r="AS36" s="84"/>
    </row>
    <row r="37" spans="38:45">
      <c r="AL37" s="91"/>
      <c r="AM37" s="92"/>
      <c r="AN37" s="92"/>
      <c r="AO37" s="92"/>
      <c r="AP37" s="92"/>
      <c r="AR37" s="84"/>
      <c r="AS37" s="84"/>
    </row>
    <row r="38" spans="38:45">
      <c r="AP38" s="92"/>
      <c r="AQ38" s="92"/>
      <c r="AR38" s="92"/>
      <c r="AS38" s="92"/>
    </row>
    <row r="39" spans="38:45">
      <c r="AP39" s="92"/>
      <c r="AQ39" s="92"/>
      <c r="AR39" s="92"/>
      <c r="AS39" s="92"/>
    </row>
    <row r="40" spans="38:45">
      <c r="AP40" s="92"/>
      <c r="AQ40" s="92"/>
      <c r="AR40" s="92"/>
      <c r="AS40" s="92"/>
    </row>
    <row r="41" spans="38:45">
      <c r="AP41" s="92"/>
      <c r="AQ41" s="92"/>
      <c r="AR41" s="92"/>
      <c r="AS41" s="92"/>
    </row>
    <row r="42" spans="38:45">
      <c r="AP42" s="92"/>
      <c r="AQ42" s="92"/>
      <c r="AR42" s="92"/>
      <c r="AS42" s="92"/>
    </row>
    <row r="43" spans="38:45">
      <c r="AP43" s="92"/>
      <c r="AQ43" s="92"/>
      <c r="AR43" s="92"/>
      <c r="AS43" s="92"/>
    </row>
    <row r="44" spans="38:45">
      <c r="AP44" s="92"/>
      <c r="AQ44" s="92"/>
      <c r="AR44" s="92"/>
      <c r="AS44" s="92"/>
    </row>
    <row r="45" spans="38:45">
      <c r="AP45" s="92"/>
      <c r="AQ45" s="92"/>
      <c r="AR45" s="92"/>
      <c r="AS45" s="92"/>
    </row>
    <row r="46" spans="38:45">
      <c r="AP46" s="92"/>
      <c r="AQ46" s="92"/>
      <c r="AR46" s="92"/>
      <c r="AS46" s="92"/>
    </row>
    <row r="47" spans="38:45">
      <c r="AP47" s="92"/>
      <c r="AQ47" s="92"/>
      <c r="AR47" s="92"/>
      <c r="AS47" s="92"/>
    </row>
    <row r="48" spans="38:45">
      <c r="AP48" s="92"/>
      <c r="AQ48" s="92"/>
      <c r="AR48" s="92"/>
      <c r="AS48" s="92"/>
    </row>
    <row r="49" spans="42:45">
      <c r="AP49" s="92"/>
      <c r="AQ49" s="92"/>
      <c r="AR49" s="92"/>
      <c r="AS49" s="92"/>
    </row>
    <row r="50" spans="42:45">
      <c r="AP50" s="92"/>
      <c r="AQ50" s="92"/>
      <c r="AR50" s="92"/>
      <c r="AS50" s="92"/>
    </row>
    <row r="51" spans="42:45">
      <c r="AP51" s="92"/>
      <c r="AQ51" s="92"/>
      <c r="AR51" s="92"/>
      <c r="AS51" s="92"/>
    </row>
    <row r="52" spans="42:45">
      <c r="AP52" s="92"/>
      <c r="AQ52" s="92"/>
      <c r="AR52" s="92"/>
      <c r="AS52" s="92"/>
    </row>
    <row r="53" spans="42:45">
      <c r="AP53" s="92"/>
      <c r="AQ53" s="92"/>
      <c r="AR53" s="92"/>
      <c r="AS53" s="92"/>
    </row>
    <row r="54" spans="42:45">
      <c r="AP54" s="92"/>
      <c r="AQ54" s="92"/>
      <c r="AR54" s="92"/>
      <c r="AS54" s="92"/>
    </row>
    <row r="55" spans="42:45">
      <c r="AP55" s="92"/>
      <c r="AQ55" s="92"/>
      <c r="AR55" s="92"/>
      <c r="AS55" s="92"/>
    </row>
    <row r="56" spans="42:45">
      <c r="AP56" s="92"/>
      <c r="AQ56" s="92"/>
      <c r="AR56" s="92"/>
      <c r="AS56" s="92"/>
    </row>
    <row r="57" spans="42:45">
      <c r="AP57" s="92"/>
      <c r="AQ57" s="92"/>
      <c r="AR57" s="92"/>
      <c r="AS57" s="92"/>
    </row>
    <row r="58" spans="42:45">
      <c r="AP58" s="92"/>
      <c r="AQ58" s="92"/>
      <c r="AR58" s="92"/>
      <c r="AS58" s="92"/>
    </row>
    <row r="59" spans="42:45">
      <c r="AP59" s="92"/>
      <c r="AQ59" s="92"/>
      <c r="AR59" s="92"/>
      <c r="AS59" s="92"/>
    </row>
    <row r="60" spans="42:45">
      <c r="AP60" s="92"/>
      <c r="AQ60" s="92"/>
      <c r="AR60" s="92"/>
      <c r="AS60" s="92"/>
    </row>
    <row r="61" spans="42:45">
      <c r="AP61" s="92"/>
      <c r="AQ61" s="92"/>
      <c r="AR61" s="92"/>
      <c r="AS61" s="92"/>
    </row>
    <row r="62" spans="42:45">
      <c r="AP62" s="92"/>
      <c r="AQ62" s="92"/>
      <c r="AR62" s="92"/>
      <c r="AS62" s="92"/>
    </row>
    <row r="63" spans="42:45">
      <c r="AP63" s="92"/>
      <c r="AQ63" s="92"/>
      <c r="AR63" s="92"/>
      <c r="AS63" s="92"/>
    </row>
    <row r="64" spans="42:45">
      <c r="AP64" s="92"/>
      <c r="AQ64" s="92"/>
      <c r="AR64" s="92"/>
      <c r="AS64" s="92"/>
    </row>
    <row r="65" spans="42:45">
      <c r="AP65" s="92"/>
      <c r="AQ65" s="92"/>
      <c r="AR65" s="92"/>
      <c r="AS65" s="92"/>
    </row>
    <row r="66" spans="42:45">
      <c r="AP66" s="92"/>
      <c r="AQ66" s="92"/>
      <c r="AR66" s="92"/>
      <c r="AS66" s="92"/>
    </row>
    <row r="67" spans="42:45">
      <c r="AP67" s="92"/>
      <c r="AQ67" s="92"/>
      <c r="AR67" s="92"/>
      <c r="AS67" s="92"/>
    </row>
    <row r="68" spans="42:45">
      <c r="AP68" s="92"/>
      <c r="AQ68" s="92"/>
      <c r="AR68" s="92"/>
      <c r="AS68" s="92"/>
    </row>
    <row r="69" spans="42:45">
      <c r="AP69" s="92"/>
      <c r="AQ69" s="92"/>
      <c r="AR69" s="92"/>
      <c r="AS69" s="92"/>
    </row>
    <row r="70" spans="42:45">
      <c r="AP70" s="92"/>
      <c r="AQ70" s="92"/>
      <c r="AR70" s="92"/>
      <c r="AS70" s="92"/>
    </row>
    <row r="71" spans="42:45">
      <c r="AP71" s="92"/>
      <c r="AQ71" s="92"/>
      <c r="AR71" s="92"/>
      <c r="AS71" s="92"/>
    </row>
    <row r="72" spans="42:45">
      <c r="AP72" s="92"/>
      <c r="AQ72" s="92"/>
      <c r="AR72" s="92"/>
      <c r="AS72" s="92"/>
    </row>
    <row r="73" spans="42:45">
      <c r="AP73" s="92"/>
      <c r="AQ73" s="92"/>
      <c r="AR73" s="92"/>
      <c r="AS73" s="92"/>
    </row>
    <row r="74" spans="42:45">
      <c r="AP74" s="92"/>
      <c r="AQ74" s="92"/>
      <c r="AR74" s="92"/>
      <c r="AS74" s="92"/>
    </row>
    <row r="75" spans="42:45">
      <c r="AP75" s="92"/>
      <c r="AQ75" s="92"/>
      <c r="AR75" s="92"/>
      <c r="AS75" s="92"/>
    </row>
    <row r="76" spans="42:45">
      <c r="AP76" s="92"/>
      <c r="AQ76" s="92"/>
      <c r="AR76" s="92"/>
      <c r="AS76" s="92"/>
    </row>
    <row r="77" spans="42:45">
      <c r="AP77" s="92"/>
      <c r="AQ77" s="92"/>
      <c r="AR77" s="92"/>
      <c r="AS77" s="92"/>
    </row>
    <row r="78" spans="42:45">
      <c r="AP78" s="92"/>
      <c r="AQ78" s="92"/>
      <c r="AR78" s="92"/>
      <c r="AS78" s="92"/>
    </row>
    <row r="79" spans="42:45">
      <c r="AP79" s="92"/>
      <c r="AQ79" s="92"/>
      <c r="AR79" s="92"/>
      <c r="AS79" s="92"/>
    </row>
    <row r="80" spans="42:45">
      <c r="AP80" s="92"/>
      <c r="AQ80" s="92"/>
      <c r="AR80" s="92"/>
      <c r="AS80" s="92"/>
    </row>
    <row r="81" spans="42:45">
      <c r="AP81" s="92"/>
      <c r="AQ81" s="92"/>
      <c r="AR81" s="92"/>
      <c r="AS81" s="92"/>
    </row>
    <row r="82" spans="42:45">
      <c r="AP82" s="92"/>
      <c r="AQ82" s="92"/>
      <c r="AR82" s="92"/>
      <c r="AS82" s="92"/>
    </row>
    <row r="83" spans="42:45">
      <c r="AP83" s="92"/>
      <c r="AQ83" s="92"/>
      <c r="AR83" s="92"/>
      <c r="AS83" s="92"/>
    </row>
    <row r="84" spans="42:45">
      <c r="AP84" s="92"/>
      <c r="AQ84" s="92"/>
      <c r="AR84" s="92"/>
      <c r="AS84" s="92"/>
    </row>
    <row r="85" spans="42:45">
      <c r="AP85" s="92"/>
      <c r="AQ85" s="92"/>
      <c r="AR85" s="92"/>
      <c r="AS85" s="92"/>
    </row>
    <row r="86" spans="42:45">
      <c r="AP86" s="92"/>
      <c r="AQ86" s="92"/>
      <c r="AR86" s="92"/>
      <c r="AS86" s="92"/>
    </row>
    <row r="87" spans="42:45">
      <c r="AP87" s="92"/>
      <c r="AQ87" s="92"/>
      <c r="AR87" s="92"/>
      <c r="AS87" s="92"/>
    </row>
    <row r="88" spans="42:45">
      <c r="AP88" s="92"/>
      <c r="AQ88" s="92"/>
      <c r="AR88" s="92"/>
      <c r="AS88" s="92"/>
    </row>
    <row r="89" spans="42:45">
      <c r="AP89" s="92"/>
      <c r="AQ89" s="92"/>
      <c r="AR89" s="92"/>
      <c r="AS89" s="92"/>
    </row>
    <row r="90" spans="42:45">
      <c r="AP90" s="92"/>
      <c r="AQ90" s="92"/>
      <c r="AR90" s="92"/>
      <c r="AS90" s="92"/>
    </row>
    <row r="91" spans="42:45">
      <c r="AP91" s="92"/>
      <c r="AQ91" s="92"/>
      <c r="AR91" s="92"/>
      <c r="AS91" s="92"/>
    </row>
    <row r="92" spans="42:45">
      <c r="AP92" s="92"/>
      <c r="AQ92" s="92"/>
      <c r="AR92" s="92"/>
      <c r="AS92" s="92"/>
    </row>
    <row r="93" spans="42:45">
      <c r="AP93" s="92"/>
      <c r="AQ93" s="92"/>
      <c r="AR93" s="92"/>
      <c r="AS93" s="92"/>
    </row>
    <row r="94" spans="42:45">
      <c r="AP94" s="92"/>
      <c r="AQ94" s="92"/>
      <c r="AR94" s="92"/>
      <c r="AS94" s="92"/>
    </row>
    <row r="95" spans="42:45">
      <c r="AP95" s="92"/>
      <c r="AQ95" s="92"/>
      <c r="AR95" s="92"/>
      <c r="AS95" s="92"/>
    </row>
    <row r="96" spans="42:45">
      <c r="AP96" s="92"/>
      <c r="AQ96" s="92"/>
      <c r="AR96" s="92"/>
      <c r="AS96" s="92"/>
    </row>
    <row r="97" spans="39:45">
      <c r="AP97" s="92"/>
      <c r="AQ97" s="92"/>
      <c r="AR97" s="92"/>
      <c r="AS97" s="92"/>
    </row>
    <row r="98" spans="39:45">
      <c r="AP98" s="92"/>
      <c r="AQ98" s="92"/>
      <c r="AR98" s="92"/>
      <c r="AS98" s="92"/>
    </row>
    <row r="99" spans="39:45">
      <c r="AP99" s="92"/>
      <c r="AQ99" s="92"/>
      <c r="AR99" s="92"/>
      <c r="AS99" s="92"/>
    </row>
    <row r="100" spans="39:45">
      <c r="AP100" s="92"/>
      <c r="AQ100" s="92"/>
      <c r="AR100" s="92"/>
      <c r="AS100" s="92"/>
    </row>
    <row r="101" spans="39:45">
      <c r="AP101" s="92"/>
      <c r="AQ101" s="92"/>
      <c r="AR101" s="92"/>
      <c r="AS101" s="92"/>
    </row>
    <row r="102" spans="39:45">
      <c r="AP102" s="92"/>
      <c r="AQ102" s="92"/>
      <c r="AR102" s="92"/>
      <c r="AS102" s="92"/>
    </row>
    <row r="103" spans="39:45">
      <c r="AP103" s="92"/>
      <c r="AQ103" s="92"/>
      <c r="AR103" s="92"/>
      <c r="AS103" s="92"/>
    </row>
    <row r="104" spans="39:45">
      <c r="AP104" s="92"/>
      <c r="AQ104" s="92"/>
      <c r="AR104" s="92"/>
      <c r="AS104" s="92"/>
    </row>
    <row r="105" spans="39:45">
      <c r="AP105" s="92"/>
      <c r="AQ105" s="92"/>
      <c r="AR105" s="92"/>
      <c r="AS105" s="92"/>
    </row>
    <row r="106" spans="39:45">
      <c r="AP106" s="92"/>
      <c r="AQ106" s="92"/>
      <c r="AR106" s="92"/>
      <c r="AS106" s="92"/>
    </row>
    <row r="107" spans="39:45">
      <c r="AP107" s="92"/>
      <c r="AQ107" s="92"/>
      <c r="AR107" s="92"/>
      <c r="AS107" s="92"/>
    </row>
    <row r="108" spans="39:45">
      <c r="AM108" s="91"/>
      <c r="AN108" s="92"/>
      <c r="AO108" s="92"/>
      <c r="AP108" s="92"/>
      <c r="AQ108" s="92"/>
      <c r="AR108" s="84"/>
      <c r="AS108" s="84"/>
    </row>
    <row r="109" spans="39:45">
      <c r="AM109" s="91"/>
      <c r="AN109" s="92"/>
      <c r="AO109" s="92"/>
      <c r="AP109" s="92"/>
      <c r="AQ109" s="92"/>
      <c r="AR109" s="84"/>
      <c r="AS109" s="84"/>
    </row>
    <row r="110" spans="39:45">
      <c r="AM110" s="91"/>
      <c r="AN110" s="92"/>
      <c r="AO110" s="92"/>
      <c r="AP110" s="92"/>
      <c r="AQ110" s="92"/>
      <c r="AR110" s="84"/>
      <c r="AS110" s="84"/>
    </row>
    <row r="111" spans="39:45">
      <c r="AM111" s="91"/>
      <c r="AN111" s="92"/>
      <c r="AO111" s="92"/>
      <c r="AP111" s="92"/>
      <c r="AQ111" s="92"/>
      <c r="AR111" s="84"/>
      <c r="AS111" s="84"/>
    </row>
    <row r="112" spans="39:45">
      <c r="AM112" s="91"/>
      <c r="AN112" s="92"/>
      <c r="AO112" s="92"/>
      <c r="AP112" s="92"/>
      <c r="AQ112" s="92"/>
      <c r="AR112" s="84"/>
      <c r="AS112" s="84"/>
    </row>
    <row r="113" spans="39:45">
      <c r="AM113" s="91"/>
      <c r="AN113" s="92"/>
      <c r="AO113" s="92"/>
      <c r="AP113" s="92"/>
      <c r="AQ113" s="92"/>
      <c r="AR113" s="84"/>
      <c r="AS113" s="84"/>
    </row>
    <row r="114" spans="39:45">
      <c r="AM114" s="91"/>
      <c r="AN114" s="92"/>
      <c r="AO114" s="92"/>
      <c r="AP114" s="92"/>
      <c r="AQ114" s="92"/>
      <c r="AR114" s="84"/>
      <c r="AS114" s="84"/>
    </row>
    <row r="115" spans="39:45">
      <c r="AM115" s="91"/>
      <c r="AN115" s="92"/>
      <c r="AO115" s="92"/>
      <c r="AP115" s="92"/>
      <c r="AQ115" s="92"/>
      <c r="AR115" s="84"/>
      <c r="AS115" s="84"/>
    </row>
    <row r="116" spans="39:45">
      <c r="AM116" s="91"/>
      <c r="AN116" s="92"/>
      <c r="AO116" s="92"/>
      <c r="AP116" s="92"/>
      <c r="AQ116" s="92"/>
      <c r="AR116" s="84"/>
      <c r="AS116" s="84"/>
    </row>
    <row r="117" spans="39:45">
      <c r="AM117" s="91"/>
      <c r="AN117" s="92"/>
      <c r="AO117" s="92"/>
      <c r="AP117" s="92"/>
      <c r="AQ117" s="92"/>
      <c r="AR117" s="84"/>
      <c r="AS117" s="84"/>
    </row>
    <row r="118" spans="39:45">
      <c r="AM118" s="91"/>
      <c r="AN118" s="92"/>
      <c r="AO118" s="92"/>
      <c r="AP118" s="92"/>
      <c r="AQ118" s="92"/>
      <c r="AR118" s="84"/>
      <c r="AS118" s="84"/>
    </row>
    <row r="119" spans="39:45">
      <c r="AM119" s="91"/>
      <c r="AN119" s="92"/>
      <c r="AO119" s="92"/>
      <c r="AP119" s="92"/>
      <c r="AQ119" s="92"/>
      <c r="AR119" s="84"/>
      <c r="AS119" s="84"/>
    </row>
    <row r="120" spans="39:45">
      <c r="AM120" s="91"/>
      <c r="AN120" s="92"/>
      <c r="AO120" s="92"/>
      <c r="AP120" s="92"/>
      <c r="AQ120" s="92"/>
      <c r="AR120" s="84"/>
      <c r="AS120" s="84"/>
    </row>
    <row r="121" spans="39:45">
      <c r="AP121" s="92"/>
      <c r="AQ121" s="92"/>
      <c r="AR121" s="92"/>
      <c r="AS121" s="92"/>
    </row>
    <row r="122" spans="39:45">
      <c r="AP122" s="92"/>
      <c r="AQ122" s="92"/>
      <c r="AR122" s="92"/>
      <c r="AS122" s="92"/>
    </row>
    <row r="123" spans="39:45">
      <c r="AP123" s="92"/>
      <c r="AQ123" s="92"/>
      <c r="AR123" s="92"/>
      <c r="AS123" s="92"/>
    </row>
    <row r="124" spans="39:45">
      <c r="AP124" s="92"/>
      <c r="AQ124" s="92"/>
      <c r="AR124" s="92"/>
      <c r="AS124" s="92"/>
    </row>
    <row r="125" spans="39:45">
      <c r="AP125" s="92"/>
      <c r="AQ125" s="92"/>
      <c r="AR125" s="92"/>
      <c r="AS125" s="92"/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21081576.001_01_COA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2025-09-20T06:48:30Z</cp:lastPrinted>
  <dcterms:created xsi:type="dcterms:W3CDTF">2013-06-14T09:36:38Z</dcterms:created>
  <dcterms:modified xsi:type="dcterms:W3CDTF">2025-12-21T19:20:09Z</dcterms:modified>
</cp:coreProperties>
</file>