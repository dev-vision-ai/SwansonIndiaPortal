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A23116C2-82C7-44C5-8C3C-B230AF151DCC}" xr6:coauthVersionLast="47" xr6:coauthVersionMax="47" xr10:uidLastSave="{00000000-0000-0000-0000-000000000000}"/>
  <bookViews>
    <workbookView xWindow="-120" yWindow="-120" windowWidth="29040" windowHeight="15720" tabRatio="637" xr2:uid="{00000000-000D-0000-FFFF-FFFF00000000}"/>
  </bookViews>
  <sheets>
    <sheet name="Page1" sheetId="1" r:id="rId1"/>
    <sheet name="Page2" sheetId="2" r:id="rId2"/>
    <sheet name="Page3" sheetId="7" r:id="rId3"/>
    <sheet name="Page4" sheetId="8" r:id="rId4"/>
    <sheet name="99396168.005_00_COA" sheetId="6" r:id="rId5"/>
    <sheet name="Cpk" sheetId="5" r:id="rId6"/>
  </sheets>
  <definedNames>
    <definedName name="_xlnm.Print_Area" localSheetId="0">Page1!$A$1:$O$44</definedName>
    <definedName name="_xlnm.Print_Area" localSheetId="1">Page2!$A$1:$O$45</definedName>
    <definedName name="_xlnm.Print_Area" localSheetId="2">Page3!$A$1:$O$45</definedName>
    <definedName name="_xlnm.Print_Area" localSheetId="3">Page4!$A$1:$O$45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6" l="1"/>
  <c r="N6" i="6"/>
  <c r="N7" i="6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4" i="6"/>
  <c r="M4" i="6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B4" i="6"/>
  <c r="D4" i="6"/>
  <c r="E4" i="6"/>
  <c r="G4" i="6"/>
  <c r="K4" i="6"/>
  <c r="B5" i="6"/>
  <c r="D5" i="6"/>
  <c r="E5" i="6"/>
  <c r="F5" i="6"/>
  <c r="H5" i="6"/>
  <c r="K5" i="6"/>
  <c r="B6" i="6"/>
  <c r="D6" i="6"/>
  <c r="E6" i="6"/>
  <c r="G6" i="6"/>
  <c r="K6" i="6"/>
  <c r="B7" i="6"/>
  <c r="D7" i="6"/>
  <c r="E7" i="6"/>
  <c r="G7" i="6"/>
  <c r="I7" i="6"/>
  <c r="K7" i="6"/>
  <c r="B8" i="6"/>
  <c r="D8" i="6"/>
  <c r="E8" i="6"/>
  <c r="F8" i="6"/>
  <c r="K8" i="6"/>
  <c r="B9" i="6"/>
  <c r="D9" i="6"/>
  <c r="E9" i="6"/>
  <c r="K9" i="6"/>
  <c r="B10" i="6"/>
  <c r="D10" i="6"/>
  <c r="E10" i="6"/>
  <c r="G10" i="6"/>
  <c r="K10" i="6"/>
  <c r="B11" i="6"/>
  <c r="D11" i="6"/>
  <c r="E11" i="6"/>
  <c r="K11" i="6"/>
  <c r="L11" i="6"/>
  <c r="B12" i="6"/>
  <c r="D12" i="6"/>
  <c r="E12" i="6"/>
  <c r="G12" i="6"/>
  <c r="K12" i="6"/>
  <c r="B13" i="6"/>
  <c r="D13" i="6"/>
  <c r="E13" i="6"/>
  <c r="G13" i="6"/>
  <c r="K13" i="6"/>
  <c r="L13" i="6"/>
  <c r="B14" i="6"/>
  <c r="D14" i="6"/>
  <c r="E14" i="6"/>
  <c r="K14" i="6"/>
  <c r="B15" i="6"/>
  <c r="D15" i="6"/>
  <c r="E15" i="6"/>
  <c r="K15" i="6"/>
  <c r="B16" i="6"/>
  <c r="D16" i="6"/>
  <c r="E16" i="6"/>
  <c r="G16" i="6"/>
  <c r="K16" i="6"/>
  <c r="B17" i="6"/>
  <c r="D17" i="6"/>
  <c r="E17" i="6"/>
  <c r="H17" i="6"/>
  <c r="I17" i="6"/>
  <c r="K17" i="6"/>
  <c r="L17" i="6"/>
  <c r="B18" i="6"/>
  <c r="D18" i="6"/>
  <c r="E18" i="6"/>
  <c r="G18" i="6"/>
  <c r="K18" i="6"/>
  <c r="B19" i="6"/>
  <c r="D19" i="6"/>
  <c r="E19" i="6"/>
  <c r="F19" i="6"/>
  <c r="G19" i="6"/>
  <c r="H19" i="6"/>
  <c r="K19" i="6"/>
  <c r="B20" i="6"/>
  <c r="D20" i="6"/>
  <c r="E20" i="6"/>
  <c r="K20" i="6"/>
  <c r="B21" i="6"/>
  <c r="D21" i="6"/>
  <c r="E21" i="6"/>
  <c r="H21" i="6"/>
  <c r="I21" i="6"/>
  <c r="K21" i="6"/>
  <c r="B22" i="6"/>
  <c r="D22" i="6"/>
  <c r="E22" i="6"/>
  <c r="G22" i="6"/>
  <c r="I22" i="6"/>
  <c r="K22" i="6"/>
  <c r="B23" i="6"/>
  <c r="D23" i="6"/>
  <c r="E23" i="6"/>
  <c r="K23" i="6"/>
  <c r="B24" i="6"/>
  <c r="D24" i="6"/>
  <c r="E24" i="6"/>
  <c r="G24" i="6"/>
  <c r="K24" i="6"/>
  <c r="B25" i="6"/>
  <c r="D25" i="6"/>
  <c r="E25" i="6"/>
  <c r="F25" i="6"/>
  <c r="G25" i="6"/>
  <c r="K25" i="6"/>
  <c r="B26" i="6"/>
  <c r="D26" i="6"/>
  <c r="E26" i="6"/>
  <c r="I26" i="6"/>
  <c r="K26" i="6"/>
  <c r="B27" i="6"/>
  <c r="D27" i="6"/>
  <c r="E27" i="6"/>
  <c r="K27" i="6"/>
  <c r="B28" i="6"/>
  <c r="D28" i="6"/>
  <c r="E28" i="6"/>
  <c r="G28" i="6"/>
  <c r="K28" i="6"/>
  <c r="B29" i="6"/>
  <c r="D29" i="6"/>
  <c r="E29" i="6"/>
  <c r="H29" i="6"/>
  <c r="K29" i="6"/>
  <c r="B30" i="6"/>
  <c r="D30" i="6"/>
  <c r="E30" i="6"/>
  <c r="F30" i="6"/>
  <c r="G30" i="6"/>
  <c r="K30" i="6"/>
  <c r="B31" i="6"/>
  <c r="D31" i="6"/>
  <c r="E31" i="6"/>
  <c r="G31" i="6"/>
  <c r="I31" i="6"/>
  <c r="K31" i="6"/>
  <c r="B32" i="6"/>
  <c r="D32" i="6"/>
  <c r="E32" i="6"/>
  <c r="K32" i="6"/>
  <c r="H3" i="6"/>
  <c r="G3" i="6"/>
  <c r="F3" i="6"/>
  <c r="D3" i="6"/>
  <c r="L15" i="5" a="1"/>
  <c r="L15" i="5" s="1"/>
  <c r="M15" i="5" a="1"/>
  <c r="M15" i="5"/>
  <c r="N15" i="5" a="1"/>
  <c r="N15" i="5" s="1"/>
  <c r="O15" i="5" a="1"/>
  <c r="O15" i="5" s="1"/>
  <c r="P15" i="5" a="1"/>
  <c r="P15" i="5" s="1"/>
  <c r="Q15" i="5" a="1"/>
  <c r="Q15" i="5"/>
  <c r="R15" i="5" a="1"/>
  <c r="R15" i="5" s="1"/>
  <c r="S15" i="5" a="1"/>
  <c r="S15" i="5" s="1"/>
  <c r="T15" i="5" a="1"/>
  <c r="T15" i="5" s="1"/>
  <c r="U15" i="5" a="1"/>
  <c r="U15" i="5" s="1"/>
  <c r="V15" i="5" a="1"/>
  <c r="V15" i="5" s="1"/>
  <c r="W15" i="5" a="1"/>
  <c r="W15" i="5" s="1"/>
  <c r="X15" i="5" a="1"/>
  <c r="X15" i="5" s="1"/>
  <c r="Y15" i="5" a="1"/>
  <c r="Y15" i="5" s="1"/>
  <c r="Z15" i="5" a="1"/>
  <c r="Z15" i="5" s="1"/>
  <c r="AA15" i="5" a="1"/>
  <c r="AA15" i="5" s="1"/>
  <c r="AB15" i="5" a="1"/>
  <c r="AB15" i="5" s="1"/>
  <c r="AC15" i="5" a="1"/>
  <c r="AC15" i="5"/>
  <c r="AD15" i="5" a="1"/>
  <c r="AD15" i="5" s="1"/>
  <c r="AE15" i="5" a="1"/>
  <c r="AE15" i="5"/>
  <c r="AF15" i="5" a="1"/>
  <c r="AF15" i="5" s="1"/>
  <c r="AG15" i="5" a="1"/>
  <c r="AG15" i="5" s="1"/>
  <c r="AH15" i="5" a="1"/>
  <c r="AH15" i="5" s="1"/>
  <c r="AI15" i="5" a="1"/>
  <c r="AI15" i="5"/>
  <c r="AJ15" i="5" a="1"/>
  <c r="AJ15" i="5" s="1"/>
  <c r="AK15" i="5" a="1"/>
  <c r="AK15" i="5" s="1"/>
  <c r="AL15" i="5" a="1"/>
  <c r="AL15" i="5" s="1"/>
  <c r="AM15" i="5" a="1"/>
  <c r="AM15" i="5" s="1"/>
  <c r="AN15" i="5" a="1"/>
  <c r="AN15" i="5" s="1"/>
  <c r="R16" i="5" a="1"/>
  <c r="R16" i="5" s="1"/>
  <c r="Y16" i="5" a="1"/>
  <c r="Y16" i="5" s="1"/>
  <c r="AH16" i="5" a="1"/>
  <c r="AH16" i="5" s="1"/>
  <c r="AJ16" i="5" a="1"/>
  <c r="AJ16" i="5" s="1"/>
  <c r="O17" i="5" a="1"/>
  <c r="O17" i="5" s="1"/>
  <c r="AA17" i="5" a="1"/>
  <c r="AA17" i="5" s="1"/>
  <c r="AG17" i="5" a="1"/>
  <c r="AG17" i="5" s="1"/>
  <c r="AJ17" i="5" a="1"/>
  <c r="AJ17" i="5" s="1"/>
  <c r="N18" i="5" a="1"/>
  <c r="N18" i="5" s="1"/>
  <c r="U18" i="5" a="1"/>
  <c r="U18" i="5" s="1"/>
  <c r="AC18" i="5" a="1"/>
  <c r="AC18" i="5" s="1"/>
  <c r="AM18" i="5" a="1"/>
  <c r="AM18" i="5" s="1"/>
  <c r="M19" i="5" a="1"/>
  <c r="M19" i="5" s="1"/>
  <c r="N19" i="5" a="1"/>
  <c r="N19" i="5" s="1"/>
  <c r="Q19" i="5" a="1"/>
  <c r="Q19" i="5"/>
  <c r="R19" i="5" a="1"/>
  <c r="R19" i="5" s="1"/>
  <c r="S19" i="5" a="1"/>
  <c r="S19" i="5" s="1"/>
  <c r="T19" i="5" a="1"/>
  <c r="T19" i="5" s="1"/>
  <c r="W19" i="5" a="1"/>
  <c r="W19" i="5" s="1"/>
  <c r="AA19" i="5" a="1"/>
  <c r="AA19" i="5"/>
  <c r="AB19" i="5" a="1"/>
  <c r="AB19" i="5" s="1"/>
  <c r="AC19" i="5" a="1"/>
  <c r="AC19" i="5" s="1"/>
  <c r="AE19" i="5" a="1"/>
  <c r="AE19" i="5" s="1"/>
  <c r="AF19" i="5" a="1"/>
  <c r="AF19" i="5" s="1"/>
  <c r="AI19" i="5" a="1"/>
  <c r="AI19" i="5"/>
  <c r="AJ19" i="5" a="1"/>
  <c r="AJ19" i="5" s="1"/>
  <c r="AK19" i="5" a="1"/>
  <c r="AK19" i="5" s="1"/>
  <c r="AL19" i="5" a="1"/>
  <c r="AL19" i="5" s="1"/>
  <c r="O20" i="5" a="1"/>
  <c r="O20" i="5" s="1"/>
  <c r="Y20" i="5" a="1"/>
  <c r="Y20" i="5" s="1"/>
  <c r="AG20" i="5" a="1"/>
  <c r="AG20" i="5" s="1"/>
  <c r="L21" i="5" a="1"/>
  <c r="L21" i="5" s="1"/>
  <c r="M21" i="5" a="1"/>
  <c r="M21" i="5" s="1"/>
  <c r="N21" i="5" a="1"/>
  <c r="N21" i="5" s="1"/>
  <c r="O21" i="5" a="1"/>
  <c r="O21" i="5" s="1"/>
  <c r="P21" i="5" a="1"/>
  <c r="P21" i="5" s="1"/>
  <c r="Q21" i="5" a="1"/>
  <c r="Q21" i="5"/>
  <c r="R21" i="5" a="1"/>
  <c r="R21" i="5" s="1"/>
  <c r="S21" i="5" a="1"/>
  <c r="S21" i="5"/>
  <c r="T21" i="5" a="1"/>
  <c r="T21" i="5" s="1"/>
  <c r="U21" i="5" a="1"/>
  <c r="U21" i="5" s="1"/>
  <c r="V21" i="5" a="1"/>
  <c r="V21" i="5" s="1"/>
  <c r="W21" i="5" a="1"/>
  <c r="W21" i="5" s="1"/>
  <c r="X21" i="5" a="1"/>
  <c r="X21" i="5" s="1"/>
  <c r="Y21" i="5" a="1"/>
  <c r="Y21" i="5" s="1"/>
  <c r="Z21" i="5" a="1"/>
  <c r="Z21" i="5" s="1"/>
  <c r="AA21" i="5" a="1"/>
  <c r="AA21" i="5" s="1"/>
  <c r="AB21" i="5" a="1"/>
  <c r="AB21" i="5" s="1"/>
  <c r="AC21" i="5" a="1"/>
  <c r="AC21" i="5" s="1"/>
  <c r="AD21" i="5" a="1"/>
  <c r="AD21" i="5" s="1"/>
  <c r="AE21" i="5" a="1"/>
  <c r="AE21" i="5" s="1"/>
  <c r="AF21" i="5" a="1"/>
  <c r="AF21" i="5" s="1"/>
  <c r="AG21" i="5" a="1"/>
  <c r="AG21" i="5" s="1"/>
  <c r="AH21" i="5" a="1"/>
  <c r="AH21" i="5" s="1"/>
  <c r="AI21" i="5" a="1"/>
  <c r="AI21" i="5" s="1"/>
  <c r="AJ21" i="5" a="1"/>
  <c r="AJ21" i="5" s="1"/>
  <c r="AK21" i="5" a="1"/>
  <c r="AK21" i="5"/>
  <c r="AL21" i="5" a="1"/>
  <c r="AL21" i="5" s="1"/>
  <c r="AM21" i="5" a="1"/>
  <c r="AM21" i="5" s="1"/>
  <c r="AN21" i="5" a="1"/>
  <c r="AN21" i="5" s="1"/>
  <c r="P22" i="5" a="1"/>
  <c r="P22" i="5" s="1"/>
  <c r="Y22" i="5" a="1"/>
  <c r="Y22" i="5" s="1"/>
  <c r="AG22" i="5" a="1"/>
  <c r="AG22" i="5" s="1"/>
  <c r="AH22" i="5" a="1"/>
  <c r="AH22" i="5" s="1"/>
  <c r="L23" i="5" a="1"/>
  <c r="L23" i="5" s="1"/>
  <c r="M23" i="5" a="1"/>
  <c r="M23" i="5" s="1"/>
  <c r="N23" i="5" a="1"/>
  <c r="N23" i="5" s="1"/>
  <c r="O23" i="5" a="1"/>
  <c r="O23" i="5"/>
  <c r="P23" i="5" a="1"/>
  <c r="P23" i="5" s="1"/>
  <c r="Q23" i="5" a="1"/>
  <c r="Q23" i="5" s="1"/>
  <c r="R23" i="5" a="1"/>
  <c r="R23" i="5" s="1"/>
  <c r="S23" i="5" a="1"/>
  <c r="S23" i="5" s="1"/>
  <c r="T23" i="5" a="1"/>
  <c r="T23" i="5" s="1"/>
  <c r="U23" i="5" a="1"/>
  <c r="U23" i="5"/>
  <c r="V23" i="5" a="1"/>
  <c r="V23" i="5" s="1"/>
  <c r="W23" i="5" a="1"/>
  <c r="W23" i="5" s="1"/>
  <c r="X23" i="5" a="1"/>
  <c r="X23" i="5" s="1"/>
  <c r="Y23" i="5" a="1"/>
  <c r="Y23" i="5" s="1"/>
  <c r="Z23" i="5" a="1"/>
  <c r="Z23" i="5" s="1"/>
  <c r="AA23" i="5" a="1"/>
  <c r="AA23" i="5"/>
  <c r="AB23" i="5" a="1"/>
  <c r="AB23" i="5" s="1"/>
  <c r="AC23" i="5" a="1"/>
  <c r="AC23" i="5" s="1"/>
  <c r="AD23" i="5" a="1"/>
  <c r="AD23" i="5" s="1"/>
  <c r="AE23" i="5" a="1"/>
  <c r="AE23" i="5" s="1"/>
  <c r="AF23" i="5" a="1"/>
  <c r="AF23" i="5" s="1"/>
  <c r="AG23" i="5" a="1"/>
  <c r="AG23" i="5"/>
  <c r="AH23" i="5" a="1"/>
  <c r="AH23" i="5" s="1"/>
  <c r="AI23" i="5" a="1"/>
  <c r="AI23" i="5" s="1"/>
  <c r="AJ23" i="5" a="1"/>
  <c r="AJ23" i="5" s="1"/>
  <c r="AK23" i="5" a="1"/>
  <c r="AK23" i="5" s="1"/>
  <c r="AL23" i="5" a="1"/>
  <c r="AL23" i="5" s="1"/>
  <c r="AM23" i="5" a="1"/>
  <c r="AM23" i="5" s="1"/>
  <c r="AN23" i="5" a="1"/>
  <c r="AN23" i="5" s="1"/>
  <c r="L24" i="5" a="1"/>
  <c r="L24" i="5" s="1"/>
  <c r="M24" i="5" a="1"/>
  <c r="M24" i="5" s="1"/>
  <c r="N24" i="5" a="1"/>
  <c r="N24" i="5"/>
  <c r="O24" i="5" a="1"/>
  <c r="O24" i="5" s="1"/>
  <c r="P24" i="5" a="1"/>
  <c r="P24" i="5" s="1"/>
  <c r="Q24" i="5" a="1"/>
  <c r="Q24" i="5" s="1"/>
  <c r="R24" i="5" a="1"/>
  <c r="R24" i="5" s="1"/>
  <c r="S24" i="5" a="1"/>
  <c r="S24" i="5" s="1"/>
  <c r="T24" i="5" a="1"/>
  <c r="T24" i="5" s="1"/>
  <c r="U24" i="5" a="1"/>
  <c r="U24" i="5" s="1"/>
  <c r="V24" i="5" a="1"/>
  <c r="V24" i="5" s="1"/>
  <c r="W24" i="5" a="1"/>
  <c r="W24" i="5" s="1"/>
  <c r="X24" i="5" a="1"/>
  <c r="X24" i="5" s="1"/>
  <c r="Y24" i="5" a="1"/>
  <c r="Y24" i="5" s="1"/>
  <c r="Z24" i="5" a="1"/>
  <c r="Z24" i="5"/>
  <c r="AA24" i="5" a="1"/>
  <c r="AA24" i="5" s="1"/>
  <c r="AB24" i="5" a="1"/>
  <c r="AB24" i="5" s="1"/>
  <c r="AC24" i="5" a="1"/>
  <c r="AC24" i="5" s="1"/>
  <c r="AD24" i="5" a="1"/>
  <c r="AD24" i="5" s="1"/>
  <c r="AE24" i="5" a="1"/>
  <c r="AE24" i="5" s="1"/>
  <c r="AF24" i="5" a="1"/>
  <c r="AF24" i="5"/>
  <c r="AG24" i="5" a="1"/>
  <c r="AG24" i="5" s="1"/>
  <c r="AH24" i="5" a="1"/>
  <c r="AH24" i="5" s="1"/>
  <c r="AI24" i="5" a="1"/>
  <c r="AI24" i="5" s="1"/>
  <c r="AJ24" i="5" a="1"/>
  <c r="AJ24" i="5" s="1"/>
  <c r="AK24" i="5" a="1"/>
  <c r="AK24" i="5" s="1"/>
  <c r="AL24" i="5" a="1"/>
  <c r="AL24" i="5" s="1"/>
  <c r="AM24" i="5" a="1"/>
  <c r="AM24" i="5" s="1"/>
  <c r="AN24" i="5" a="1"/>
  <c r="AN24" i="5" s="1"/>
  <c r="L25" i="5" a="1"/>
  <c r="L25" i="5" s="1"/>
  <c r="M25" i="5" a="1"/>
  <c r="M25" i="5" s="1"/>
  <c r="N25" i="5" a="1"/>
  <c r="N25" i="5" s="1"/>
  <c r="O25" i="5" a="1"/>
  <c r="O25" i="5"/>
  <c r="P25" i="5" a="1"/>
  <c r="P25" i="5" s="1"/>
  <c r="Q25" i="5" a="1"/>
  <c r="Q25" i="5" s="1"/>
  <c r="R25" i="5" a="1"/>
  <c r="R25" i="5" s="1"/>
  <c r="S25" i="5" a="1"/>
  <c r="S25" i="5" s="1"/>
  <c r="T25" i="5" a="1"/>
  <c r="T25" i="5" s="1"/>
  <c r="U25" i="5" a="1"/>
  <c r="U25" i="5"/>
  <c r="V25" i="5" a="1"/>
  <c r="V25" i="5" s="1"/>
  <c r="W25" i="5" a="1"/>
  <c r="W25" i="5" s="1"/>
  <c r="X25" i="5" a="1"/>
  <c r="X25" i="5" s="1"/>
  <c r="Y25" i="5" a="1"/>
  <c r="Y25" i="5" s="1"/>
  <c r="Z25" i="5" a="1"/>
  <c r="Z25" i="5" s="1"/>
  <c r="AA25" i="5" a="1"/>
  <c r="AA25" i="5" s="1"/>
  <c r="AB25" i="5" a="1"/>
  <c r="AB25" i="5" s="1"/>
  <c r="AC25" i="5" a="1"/>
  <c r="AC25" i="5" s="1"/>
  <c r="AD25" i="5" a="1"/>
  <c r="AD25" i="5" s="1"/>
  <c r="AE25" i="5" a="1"/>
  <c r="AE25" i="5" s="1"/>
  <c r="AF25" i="5" a="1"/>
  <c r="AF25" i="5" s="1"/>
  <c r="AG25" i="5" a="1"/>
  <c r="AG25" i="5" s="1"/>
  <c r="AH25" i="5" a="1"/>
  <c r="AH25" i="5" s="1"/>
  <c r="AI25" i="5" a="1"/>
  <c r="AI25" i="5" s="1"/>
  <c r="AJ25" i="5" a="1"/>
  <c r="AJ25" i="5" s="1"/>
  <c r="AK25" i="5" a="1"/>
  <c r="AK25" i="5" s="1"/>
  <c r="AL25" i="5" a="1"/>
  <c r="AL25" i="5" s="1"/>
  <c r="AM25" i="5" a="1"/>
  <c r="AM25" i="5" s="1"/>
  <c r="AN25" i="5" a="1"/>
  <c r="AN25" i="5" s="1"/>
  <c r="L26" i="5" a="1"/>
  <c r="L26" i="5" s="1"/>
  <c r="M26" i="5" a="1"/>
  <c r="M26" i="5" s="1"/>
  <c r="N26" i="5" a="1"/>
  <c r="N26" i="5" s="1"/>
  <c r="O26" i="5" a="1"/>
  <c r="O26" i="5" s="1"/>
  <c r="P26" i="5" a="1"/>
  <c r="P26" i="5" s="1"/>
  <c r="Q26" i="5" a="1"/>
  <c r="Q26" i="5" s="1"/>
  <c r="R26" i="5" a="1"/>
  <c r="R26" i="5" s="1"/>
  <c r="S26" i="5" a="1"/>
  <c r="S26" i="5" s="1"/>
  <c r="T26" i="5" a="1"/>
  <c r="T26" i="5" s="1"/>
  <c r="U26" i="5" a="1"/>
  <c r="U26" i="5" s="1"/>
  <c r="V26" i="5" a="1"/>
  <c r="V26" i="5" s="1"/>
  <c r="W26" i="5" a="1"/>
  <c r="W26" i="5" s="1"/>
  <c r="X26" i="5" a="1"/>
  <c r="X26" i="5" s="1"/>
  <c r="Y26" i="5" a="1"/>
  <c r="Y26" i="5" s="1"/>
  <c r="Z26" i="5" a="1"/>
  <c r="Z26" i="5" s="1"/>
  <c r="AA26" i="5" a="1"/>
  <c r="AA26" i="5" s="1"/>
  <c r="AB26" i="5" a="1"/>
  <c r="AB26" i="5" s="1"/>
  <c r="AC26" i="5" a="1"/>
  <c r="AC26" i="5" s="1"/>
  <c r="AD26" i="5" a="1"/>
  <c r="AD26" i="5" s="1"/>
  <c r="AE26" i="5" a="1"/>
  <c r="AE26" i="5" s="1"/>
  <c r="AF26" i="5" a="1"/>
  <c r="AF26" i="5" s="1"/>
  <c r="AG26" i="5" a="1"/>
  <c r="AG26" i="5" s="1"/>
  <c r="AH26" i="5" a="1"/>
  <c r="AH26" i="5" s="1"/>
  <c r="AI26" i="5" a="1"/>
  <c r="AI26" i="5" s="1"/>
  <c r="AJ26" i="5" a="1"/>
  <c r="AJ26" i="5" s="1"/>
  <c r="AK26" i="5" a="1"/>
  <c r="AK26" i="5" s="1"/>
  <c r="AL26" i="5" a="1"/>
  <c r="AL26" i="5" s="1"/>
  <c r="AM26" i="5" a="1"/>
  <c r="AM26" i="5" s="1"/>
  <c r="AN26" i="5" a="1"/>
  <c r="AN26" i="5"/>
  <c r="L27" i="5" a="1"/>
  <c r="L27" i="5" s="1"/>
  <c r="M27" i="5" a="1"/>
  <c r="M27" i="5" s="1"/>
  <c r="N27" i="5" a="1"/>
  <c r="N27" i="5" s="1"/>
  <c r="O27" i="5" a="1"/>
  <c r="O27" i="5" s="1"/>
  <c r="P27" i="5" a="1"/>
  <c r="P27" i="5" s="1"/>
  <c r="Q27" i="5" a="1"/>
  <c r="Q27" i="5" s="1"/>
  <c r="R27" i="5" a="1"/>
  <c r="R27" i="5" s="1"/>
  <c r="S27" i="5" a="1"/>
  <c r="S27" i="5" s="1"/>
  <c r="T27" i="5" a="1"/>
  <c r="T27" i="5" s="1"/>
  <c r="U27" i="5" a="1"/>
  <c r="U27" i="5" s="1"/>
  <c r="V27" i="5" a="1"/>
  <c r="V27" i="5" s="1"/>
  <c r="W27" i="5" a="1"/>
  <c r="W27" i="5"/>
  <c r="X27" i="5" a="1"/>
  <c r="X27" i="5" s="1"/>
  <c r="Y27" i="5" a="1"/>
  <c r="Y27" i="5" s="1"/>
  <c r="Z27" i="5" a="1"/>
  <c r="Z27" i="5" s="1"/>
  <c r="AA27" i="5" a="1"/>
  <c r="AA27" i="5" s="1"/>
  <c r="AB27" i="5" a="1"/>
  <c r="AB27" i="5" s="1"/>
  <c r="AC27" i="5" a="1"/>
  <c r="AC27" i="5" s="1"/>
  <c r="AD27" i="5" a="1"/>
  <c r="AD27" i="5" s="1"/>
  <c r="AE27" i="5" a="1"/>
  <c r="AE27" i="5" s="1"/>
  <c r="AF27" i="5" a="1"/>
  <c r="AF27" i="5" s="1"/>
  <c r="AG27" i="5" a="1"/>
  <c r="AG27" i="5" s="1"/>
  <c r="AH27" i="5" a="1"/>
  <c r="AH27" i="5" s="1"/>
  <c r="AI27" i="5" a="1"/>
  <c r="AI27" i="5"/>
  <c r="AJ27" i="5" a="1"/>
  <c r="AJ27" i="5" s="1"/>
  <c r="AK27" i="5" a="1"/>
  <c r="AK27" i="5" s="1"/>
  <c r="AL27" i="5" a="1"/>
  <c r="AL27" i="5" s="1"/>
  <c r="AM27" i="5" a="1"/>
  <c r="AM27" i="5" s="1"/>
  <c r="AN27" i="5" a="1"/>
  <c r="AN27" i="5" s="1"/>
  <c r="L28" i="5" a="1"/>
  <c r="L28" i="5" s="1"/>
  <c r="M28" i="5" a="1"/>
  <c r="M28" i="5" s="1"/>
  <c r="N28" i="5" a="1"/>
  <c r="N28" i="5" s="1"/>
  <c r="O28" i="5" a="1"/>
  <c r="O28" i="5" s="1"/>
  <c r="P28" i="5" a="1"/>
  <c r="P28" i="5" s="1"/>
  <c r="Q28" i="5" a="1"/>
  <c r="Q28" i="5" s="1"/>
  <c r="R28" i="5" a="1"/>
  <c r="R28" i="5"/>
  <c r="S28" i="5" a="1"/>
  <c r="S28" i="5" s="1"/>
  <c r="T28" i="5" a="1"/>
  <c r="T28" i="5" s="1"/>
  <c r="U28" i="5" a="1"/>
  <c r="U28" i="5" s="1"/>
  <c r="V28" i="5" a="1"/>
  <c r="V28" i="5" s="1"/>
  <c r="W28" i="5" a="1"/>
  <c r="W28" i="5" s="1"/>
  <c r="X28" i="5" a="1"/>
  <c r="X28" i="5" s="1"/>
  <c r="Y28" i="5" a="1"/>
  <c r="Y28" i="5" s="1"/>
  <c r="Z28" i="5" a="1"/>
  <c r="Z28" i="5" s="1"/>
  <c r="AA28" i="5" a="1"/>
  <c r="AA28" i="5" s="1"/>
  <c r="AB28" i="5" a="1"/>
  <c r="AB28" i="5" s="1"/>
  <c r="AC28" i="5" a="1"/>
  <c r="AC28" i="5" s="1"/>
  <c r="AD28" i="5" a="1"/>
  <c r="AD28" i="5" s="1"/>
  <c r="AE28" i="5" a="1"/>
  <c r="AE28" i="5" s="1"/>
  <c r="AF28" i="5" a="1"/>
  <c r="AF28" i="5" s="1"/>
  <c r="AG28" i="5" a="1"/>
  <c r="AG28" i="5" s="1"/>
  <c r="AH28" i="5" a="1"/>
  <c r="AH28" i="5" s="1"/>
  <c r="AI28" i="5" a="1"/>
  <c r="AI28" i="5" s="1"/>
  <c r="AJ28" i="5" a="1"/>
  <c r="AJ28" i="5" s="1"/>
  <c r="AK28" i="5" a="1"/>
  <c r="AK28" i="5" s="1"/>
  <c r="AL28" i="5" a="1"/>
  <c r="AL28" i="5" s="1"/>
  <c r="AM28" i="5" a="1"/>
  <c r="AM28" i="5" s="1"/>
  <c r="AN28" i="5" a="1"/>
  <c r="AN28" i="5" s="1"/>
  <c r="L29" i="5" a="1"/>
  <c r="L29" i="5" s="1"/>
  <c r="N29" i="5" a="1"/>
  <c r="N29" i="5" s="1"/>
  <c r="T29" i="5" a="1"/>
  <c r="T29" i="5" s="1"/>
  <c r="U29" i="5" a="1"/>
  <c r="U29" i="5" s="1"/>
  <c r="X29" i="5" a="1"/>
  <c r="X29" i="5" s="1"/>
  <c r="AD29" i="5" a="1"/>
  <c r="AD29" i="5" s="1"/>
  <c r="AF29" i="5" a="1"/>
  <c r="AF29" i="5" s="1"/>
  <c r="AH29" i="5" a="1"/>
  <c r="AH29" i="5" s="1"/>
  <c r="AI29" i="5" a="1"/>
  <c r="AI29" i="5" s="1"/>
  <c r="K29" i="5" a="1"/>
  <c r="K29" i="5" s="1"/>
  <c r="K28" i="5" a="1"/>
  <c r="K28" i="5" s="1"/>
  <c r="K27" i="5" a="1"/>
  <c r="K27" i="5" s="1"/>
  <c r="K26" i="5" a="1"/>
  <c r="K26" i="5" s="1"/>
  <c r="K25" i="5" a="1"/>
  <c r="K25" i="5" s="1"/>
  <c r="K24" i="5" a="1"/>
  <c r="K24" i="5" s="1"/>
  <c r="K23" i="5" a="1"/>
  <c r="K23" i="5" s="1"/>
  <c r="K21" i="5" a="1"/>
  <c r="K21" i="5" s="1"/>
  <c r="K19" i="5" a="1"/>
  <c r="K19" i="5" s="1"/>
  <c r="K16" i="5" a="1"/>
  <c r="K16" i="5" s="1"/>
  <c r="K15" i="5" a="1"/>
  <c r="K15" i="5" s="1"/>
  <c r="K3" i="6"/>
  <c r="E3" i="6"/>
  <c r="B3" i="6"/>
  <c r="J41" i="8"/>
  <c r="H41" i="8"/>
  <c r="F41" i="8"/>
  <c r="D41" i="8"/>
  <c r="J40" i="8"/>
  <c r="H40" i="8"/>
  <c r="F40" i="8"/>
  <c r="D40" i="8"/>
  <c r="J39" i="8"/>
  <c r="H39" i="8"/>
  <c r="F39" i="8"/>
  <c r="D39" i="8"/>
  <c r="O38" i="8"/>
  <c r="AN29" i="5" s="1" a="1"/>
  <c r="AN29" i="5" s="1"/>
  <c r="C38" i="8"/>
  <c r="B38" i="8"/>
  <c r="A38" i="8"/>
  <c r="O37" i="8"/>
  <c r="AM29" i="5" s="1" a="1"/>
  <c r="AM29" i="5" s="1"/>
  <c r="C37" i="8"/>
  <c r="B37" i="8"/>
  <c r="A37" i="8"/>
  <c r="O36" i="8"/>
  <c r="AL29" i="5" s="1" a="1"/>
  <c r="AL29" i="5" s="1"/>
  <c r="C36" i="8"/>
  <c r="B36" i="8"/>
  <c r="A36" i="8"/>
  <c r="O35" i="8"/>
  <c r="AK29" i="5" s="1" a="1"/>
  <c r="AK29" i="5" s="1"/>
  <c r="C35" i="8"/>
  <c r="B35" i="8"/>
  <c r="A35" i="8"/>
  <c r="O34" i="8"/>
  <c r="AJ29" i="5" s="1" a="1"/>
  <c r="AJ29" i="5" s="1"/>
  <c r="C34" i="8"/>
  <c r="B34" i="8"/>
  <c r="A34" i="8"/>
  <c r="O33" i="8"/>
  <c r="C33" i="8"/>
  <c r="B33" i="8"/>
  <c r="A33" i="8"/>
  <c r="O32" i="8"/>
  <c r="C32" i="8"/>
  <c r="B32" i="8"/>
  <c r="A32" i="8"/>
  <c r="O31" i="8"/>
  <c r="AG29" i="5" s="1" a="1"/>
  <c r="AG29" i="5" s="1"/>
  <c r="C31" i="8"/>
  <c r="B31" i="8"/>
  <c r="A31" i="8"/>
  <c r="O30" i="8"/>
  <c r="C30" i="8"/>
  <c r="B30" i="8"/>
  <c r="A30" i="8"/>
  <c r="O29" i="8"/>
  <c r="AE29" i="5" s="1" a="1"/>
  <c r="AE29" i="5" s="1"/>
  <c r="C29" i="8"/>
  <c r="B29" i="8"/>
  <c r="A29" i="8"/>
  <c r="O28" i="8"/>
  <c r="C28" i="8"/>
  <c r="B28" i="8"/>
  <c r="A28" i="8"/>
  <c r="O27" i="8"/>
  <c r="AC29" i="5" s="1" a="1"/>
  <c r="AC29" i="5" s="1"/>
  <c r="C27" i="8"/>
  <c r="B27" i="8"/>
  <c r="A27" i="8"/>
  <c r="O26" i="8"/>
  <c r="AB29" i="5" s="1" a="1"/>
  <c r="AB29" i="5" s="1"/>
  <c r="C26" i="8"/>
  <c r="B26" i="8"/>
  <c r="A26" i="8"/>
  <c r="O25" i="8"/>
  <c r="AA29" i="5" s="1" a="1"/>
  <c r="AA29" i="5" s="1"/>
  <c r="C25" i="8"/>
  <c r="B25" i="8"/>
  <c r="A25" i="8"/>
  <c r="O24" i="8"/>
  <c r="Z29" i="5" s="1" a="1"/>
  <c r="Z29" i="5" s="1"/>
  <c r="C24" i="8"/>
  <c r="B24" i="8"/>
  <c r="A24" i="8"/>
  <c r="O23" i="8"/>
  <c r="Y29" i="5" s="1" a="1"/>
  <c r="Y29" i="5" s="1"/>
  <c r="C23" i="8"/>
  <c r="B23" i="8"/>
  <c r="A23" i="8"/>
  <c r="O22" i="8"/>
  <c r="C22" i="8"/>
  <c r="B22" i="8"/>
  <c r="A22" i="8"/>
  <c r="O21" i="8"/>
  <c r="W29" i="5" s="1" a="1"/>
  <c r="W29" i="5" s="1"/>
  <c r="C21" i="8"/>
  <c r="B21" i="8"/>
  <c r="A21" i="8"/>
  <c r="O20" i="8"/>
  <c r="V29" i="5" s="1" a="1"/>
  <c r="V29" i="5" s="1"/>
  <c r="C20" i="8"/>
  <c r="B20" i="8"/>
  <c r="A20" i="8"/>
  <c r="O19" i="8"/>
  <c r="C19" i="8"/>
  <c r="B19" i="8"/>
  <c r="A19" i="8"/>
  <c r="O18" i="8"/>
  <c r="C18" i="8"/>
  <c r="B18" i="8"/>
  <c r="A18" i="8"/>
  <c r="O17" i="8"/>
  <c r="S29" i="5" s="1" a="1"/>
  <c r="S29" i="5" s="1"/>
  <c r="C17" i="8"/>
  <c r="B17" i="8"/>
  <c r="A17" i="8"/>
  <c r="O16" i="8"/>
  <c r="R29" i="5" s="1" a="1"/>
  <c r="R29" i="5" s="1"/>
  <c r="C16" i="8"/>
  <c r="B16" i="8"/>
  <c r="A16" i="8"/>
  <c r="O15" i="8"/>
  <c r="Q29" i="5" s="1" a="1"/>
  <c r="Q29" i="5" s="1"/>
  <c r="C15" i="8"/>
  <c r="B15" i="8"/>
  <c r="A15" i="8"/>
  <c r="O14" i="8"/>
  <c r="P29" i="5" s="1" a="1"/>
  <c r="P29" i="5" s="1"/>
  <c r="C14" i="8"/>
  <c r="B14" i="8"/>
  <c r="A14" i="8"/>
  <c r="O13" i="8"/>
  <c r="O29" i="5" s="1" a="1"/>
  <c r="O29" i="5" s="1"/>
  <c r="C13" i="8"/>
  <c r="B13" i="8"/>
  <c r="A13" i="8"/>
  <c r="O12" i="8"/>
  <c r="C12" i="8"/>
  <c r="B12" i="8"/>
  <c r="A12" i="8"/>
  <c r="O11" i="8"/>
  <c r="M29" i="5" s="1" a="1"/>
  <c r="M29" i="5" s="1"/>
  <c r="C11" i="8"/>
  <c r="B11" i="8"/>
  <c r="A11" i="8"/>
  <c r="O10" i="8"/>
  <c r="C10" i="8"/>
  <c r="B10" i="8"/>
  <c r="A10" i="8"/>
  <c r="O9" i="8"/>
  <c r="L40" i="8" s="1"/>
  <c r="C9" i="8"/>
  <c r="B9" i="8"/>
  <c r="A9" i="8"/>
  <c r="N5" i="8"/>
  <c r="J5" i="8"/>
  <c r="G5" i="8"/>
  <c r="B5" i="8"/>
  <c r="N4" i="8"/>
  <c r="J4" i="8"/>
  <c r="G4" i="8"/>
  <c r="B4" i="8"/>
  <c r="O38" i="7"/>
  <c r="L32" i="6" s="1"/>
  <c r="K38" i="7"/>
  <c r="H32" i="6" s="1"/>
  <c r="G38" i="7"/>
  <c r="F32" i="6" s="1"/>
  <c r="C38" i="7"/>
  <c r="B38" i="7"/>
  <c r="A38" i="7"/>
  <c r="O37" i="7"/>
  <c r="L31" i="6" s="1"/>
  <c r="K37" i="7"/>
  <c r="AM17" i="5" s="1" a="1"/>
  <c r="AM17" i="5" s="1"/>
  <c r="G37" i="7"/>
  <c r="AM20" i="5" s="1" a="1"/>
  <c r="AM20" i="5" s="1"/>
  <c r="C37" i="7"/>
  <c r="B37" i="7"/>
  <c r="A37" i="7"/>
  <c r="O36" i="7"/>
  <c r="AL22" i="5" s="1" a="1"/>
  <c r="AL22" i="5" s="1"/>
  <c r="K36" i="7"/>
  <c r="AL17" i="5" s="1" a="1"/>
  <c r="AL17" i="5" s="1"/>
  <c r="G36" i="7"/>
  <c r="AL20" i="5" s="1" a="1"/>
  <c r="AL20" i="5" s="1"/>
  <c r="C36" i="7"/>
  <c r="B36" i="7"/>
  <c r="A36" i="7"/>
  <c r="O35" i="7"/>
  <c r="L29" i="6" s="1"/>
  <c r="K35" i="7"/>
  <c r="AK17" i="5" s="1" a="1"/>
  <c r="AK17" i="5" s="1"/>
  <c r="G35" i="7"/>
  <c r="AK20" i="5" s="1" a="1"/>
  <c r="AK20" i="5" s="1"/>
  <c r="C35" i="7"/>
  <c r="B35" i="7"/>
  <c r="A35" i="7"/>
  <c r="O34" i="7"/>
  <c r="AJ22" i="5" s="1" a="1"/>
  <c r="AJ22" i="5" s="1"/>
  <c r="K34" i="7"/>
  <c r="H28" i="6" s="1"/>
  <c r="G34" i="7"/>
  <c r="AJ20" i="5" s="1" a="1"/>
  <c r="AJ20" i="5" s="1"/>
  <c r="C34" i="7"/>
  <c r="B34" i="7"/>
  <c r="A34" i="7"/>
  <c r="O33" i="7"/>
  <c r="L27" i="6" s="1"/>
  <c r="K33" i="7"/>
  <c r="H27" i="6" s="1"/>
  <c r="G33" i="7"/>
  <c r="AI20" i="5" s="1" a="1"/>
  <c r="AI20" i="5" s="1"/>
  <c r="C33" i="7"/>
  <c r="B33" i="7"/>
  <c r="A33" i="7"/>
  <c r="O32" i="7"/>
  <c r="L26" i="6" s="1"/>
  <c r="K32" i="7"/>
  <c r="AH17" i="5" s="1" a="1"/>
  <c r="AH17" i="5" s="1"/>
  <c r="G32" i="7"/>
  <c r="F26" i="6" s="1"/>
  <c r="C32" i="7"/>
  <c r="B32" i="7"/>
  <c r="A32" i="7"/>
  <c r="O31" i="7"/>
  <c r="L25" i="6" s="1"/>
  <c r="K31" i="7"/>
  <c r="H25" i="6" s="1"/>
  <c r="G31" i="7"/>
  <c r="C31" i="7"/>
  <c r="B31" i="7"/>
  <c r="A31" i="7"/>
  <c r="O30" i="7"/>
  <c r="L24" i="6" s="1"/>
  <c r="K30" i="7"/>
  <c r="AF17" i="5" s="1" a="1"/>
  <c r="AF17" i="5" s="1"/>
  <c r="G30" i="7"/>
  <c r="F24" i="6" s="1"/>
  <c r="C30" i="7"/>
  <c r="B30" i="7"/>
  <c r="A30" i="7"/>
  <c r="O29" i="7"/>
  <c r="L23" i="6" s="1"/>
  <c r="K29" i="7"/>
  <c r="H23" i="6" s="1"/>
  <c r="G29" i="7"/>
  <c r="F23" i="6" s="1"/>
  <c r="C29" i="7"/>
  <c r="B29" i="7"/>
  <c r="A29" i="7"/>
  <c r="O28" i="7"/>
  <c r="AD22" i="5" s="1" a="1"/>
  <c r="AD22" i="5" s="1"/>
  <c r="K28" i="7"/>
  <c r="AD17" i="5" s="1" a="1"/>
  <c r="AD17" i="5" s="1"/>
  <c r="G28" i="7"/>
  <c r="AD20" i="5" s="1" a="1"/>
  <c r="AD20" i="5" s="1"/>
  <c r="C28" i="7"/>
  <c r="B28" i="7"/>
  <c r="A28" i="7"/>
  <c r="O27" i="7"/>
  <c r="L21" i="6" s="1"/>
  <c r="K27" i="7"/>
  <c r="AC17" i="5" s="1" a="1"/>
  <c r="AC17" i="5" s="1"/>
  <c r="G27" i="7"/>
  <c r="F21" i="6" s="1"/>
  <c r="C27" i="7"/>
  <c r="B27" i="7"/>
  <c r="A27" i="7"/>
  <c r="O26" i="7"/>
  <c r="AB22" i="5" s="1" a="1"/>
  <c r="AB22" i="5" s="1"/>
  <c r="K26" i="7"/>
  <c r="AB17" i="5" s="1" a="1"/>
  <c r="AB17" i="5" s="1"/>
  <c r="G26" i="7"/>
  <c r="AB20" i="5" s="1" a="1"/>
  <c r="AB20" i="5" s="1"/>
  <c r="C26" i="7"/>
  <c r="B26" i="7"/>
  <c r="A26" i="7"/>
  <c r="O25" i="7"/>
  <c r="L19" i="6" s="1"/>
  <c r="K25" i="7"/>
  <c r="G25" i="7"/>
  <c r="AA20" i="5" s="1" a="1"/>
  <c r="AA20" i="5" s="1"/>
  <c r="C25" i="7"/>
  <c r="B25" i="7"/>
  <c r="A25" i="7"/>
  <c r="O24" i="7"/>
  <c r="Z22" i="5" s="1" a="1"/>
  <c r="Z22" i="5" s="1"/>
  <c r="K24" i="7"/>
  <c r="H18" i="6" s="1"/>
  <c r="G24" i="7"/>
  <c r="Z20" i="5" s="1" a="1"/>
  <c r="Z20" i="5" s="1"/>
  <c r="C24" i="7"/>
  <c r="B24" i="7"/>
  <c r="A24" i="7"/>
  <c r="O23" i="7"/>
  <c r="K23" i="7"/>
  <c r="Y17" i="5" s="1" a="1"/>
  <c r="Y17" i="5" s="1"/>
  <c r="G23" i="7"/>
  <c r="F17" i="6" s="1"/>
  <c r="C23" i="7"/>
  <c r="B23" i="7"/>
  <c r="A23" i="7"/>
  <c r="O22" i="7"/>
  <c r="L16" i="6" s="1"/>
  <c r="K22" i="7"/>
  <c r="H16" i="6" s="1"/>
  <c r="G22" i="7"/>
  <c r="X20" i="5" s="1" a="1"/>
  <c r="X20" i="5" s="1"/>
  <c r="C22" i="7"/>
  <c r="B22" i="7"/>
  <c r="A22" i="7"/>
  <c r="O21" i="7"/>
  <c r="W22" i="5" s="1" a="1"/>
  <c r="W22" i="5" s="1"/>
  <c r="K21" i="7"/>
  <c r="H15" i="6" s="1"/>
  <c r="G21" i="7"/>
  <c r="F15" i="6" s="1"/>
  <c r="C21" i="7"/>
  <c r="B21" i="7"/>
  <c r="A21" i="7"/>
  <c r="O20" i="7"/>
  <c r="L14" i="6" s="1"/>
  <c r="K20" i="7"/>
  <c r="H14" i="6" s="1"/>
  <c r="G20" i="7"/>
  <c r="V20" i="5" s="1" a="1"/>
  <c r="V20" i="5" s="1"/>
  <c r="C20" i="7"/>
  <c r="B20" i="7"/>
  <c r="A20" i="7"/>
  <c r="O19" i="7"/>
  <c r="U22" i="5" s="1" a="1"/>
  <c r="U22" i="5" s="1"/>
  <c r="K19" i="7"/>
  <c r="U17" i="5" s="1" a="1"/>
  <c r="U17" i="5" s="1"/>
  <c r="G19" i="7"/>
  <c r="F13" i="6" s="1"/>
  <c r="C19" i="7"/>
  <c r="B19" i="7"/>
  <c r="A19" i="7"/>
  <c r="O18" i="7"/>
  <c r="T22" i="5" s="1" a="1"/>
  <c r="T22" i="5" s="1"/>
  <c r="K18" i="7"/>
  <c r="T17" i="5" s="1" a="1"/>
  <c r="T17" i="5" s="1"/>
  <c r="G18" i="7"/>
  <c r="F12" i="6" s="1"/>
  <c r="C18" i="7"/>
  <c r="B18" i="7"/>
  <c r="A18" i="7"/>
  <c r="O17" i="7"/>
  <c r="S22" i="5" s="1" a="1"/>
  <c r="S22" i="5" s="1"/>
  <c r="K17" i="7"/>
  <c r="S17" i="5" s="1" a="1"/>
  <c r="S17" i="5" s="1"/>
  <c r="G17" i="7"/>
  <c r="S20" i="5" s="1" a="1"/>
  <c r="S20" i="5" s="1"/>
  <c r="C17" i="7"/>
  <c r="B17" i="7"/>
  <c r="A17" i="7"/>
  <c r="O16" i="7"/>
  <c r="R22" i="5" s="1" a="1"/>
  <c r="R22" i="5" s="1"/>
  <c r="K16" i="7"/>
  <c r="H10" i="6" s="1"/>
  <c r="G16" i="7"/>
  <c r="F10" i="6" s="1"/>
  <c r="C16" i="7"/>
  <c r="B16" i="7"/>
  <c r="A16" i="7"/>
  <c r="O15" i="7"/>
  <c r="L9" i="6" s="1"/>
  <c r="K15" i="7"/>
  <c r="H9" i="6" s="1"/>
  <c r="G15" i="7"/>
  <c r="Q20" i="5" s="1" a="1"/>
  <c r="Q20" i="5" s="1"/>
  <c r="C15" i="7"/>
  <c r="B15" i="7"/>
  <c r="A15" i="7"/>
  <c r="O14" i="7"/>
  <c r="L8" i="6" s="1"/>
  <c r="K14" i="7"/>
  <c r="H8" i="6" s="1"/>
  <c r="G14" i="7"/>
  <c r="P20" i="5" s="1" a="1"/>
  <c r="P20" i="5" s="1"/>
  <c r="C14" i="7"/>
  <c r="B14" i="7"/>
  <c r="A14" i="7"/>
  <c r="O13" i="7"/>
  <c r="L7" i="6" s="1"/>
  <c r="K13" i="7"/>
  <c r="H7" i="6" s="1"/>
  <c r="G13" i="7"/>
  <c r="F7" i="6" s="1"/>
  <c r="C13" i="7"/>
  <c r="B13" i="7"/>
  <c r="A13" i="7"/>
  <c r="O12" i="7"/>
  <c r="L6" i="6" s="1"/>
  <c r="K12" i="7"/>
  <c r="H6" i="6" s="1"/>
  <c r="G12" i="7"/>
  <c r="F6" i="6" s="1"/>
  <c r="C12" i="7"/>
  <c r="B12" i="7"/>
  <c r="A12" i="7"/>
  <c r="O11" i="7"/>
  <c r="L5" i="6" s="1"/>
  <c r="K11" i="7"/>
  <c r="M17" i="5" s="1" a="1"/>
  <c r="M17" i="5" s="1"/>
  <c r="G11" i="7"/>
  <c r="M20" i="5" s="1" a="1"/>
  <c r="M20" i="5" s="1"/>
  <c r="C11" i="7"/>
  <c r="B11" i="7"/>
  <c r="A11" i="7"/>
  <c r="O10" i="7"/>
  <c r="L4" i="6" s="1"/>
  <c r="K10" i="7"/>
  <c r="L17" i="5" s="1" a="1"/>
  <c r="L17" i="5" s="1"/>
  <c r="G10" i="7"/>
  <c r="F4" i="6" s="1"/>
  <c r="C10" i="7"/>
  <c r="B10" i="7"/>
  <c r="A10" i="7"/>
  <c r="O9" i="7"/>
  <c r="L40" i="7" s="1"/>
  <c r="K9" i="7"/>
  <c r="H40" i="7" s="1"/>
  <c r="G9" i="7"/>
  <c r="D39" i="7" s="1"/>
  <c r="C9" i="7"/>
  <c r="B9" i="7"/>
  <c r="A9" i="7"/>
  <c r="N5" i="7"/>
  <c r="J5" i="7"/>
  <c r="G5" i="7"/>
  <c r="B5" i="7"/>
  <c r="N4" i="7"/>
  <c r="J4" i="7"/>
  <c r="G4" i="7"/>
  <c r="B4" i="7"/>
  <c r="L41" i="2"/>
  <c r="O38" i="2"/>
  <c r="AN18" i="5" s="1" a="1"/>
  <c r="AN18" i="5" s="1"/>
  <c r="K38" i="2"/>
  <c r="AN16" i="5" s="1" a="1"/>
  <c r="AN16" i="5" s="1"/>
  <c r="G38" i="2"/>
  <c r="AN19" i="5" s="1" a="1"/>
  <c r="AN19" i="5" s="1"/>
  <c r="C38" i="2"/>
  <c r="B38" i="2"/>
  <c r="A38" i="2"/>
  <c r="O37" i="2"/>
  <c r="J31" i="6" s="1"/>
  <c r="K37" i="2"/>
  <c r="AM16" i="5" s="1" a="1"/>
  <c r="AM16" i="5" s="1"/>
  <c r="G37" i="2"/>
  <c r="AM19" i="5" s="1" a="1"/>
  <c r="AM19" i="5" s="1"/>
  <c r="C37" i="2"/>
  <c r="B37" i="2"/>
  <c r="A37" i="2"/>
  <c r="O36" i="2"/>
  <c r="J30" i="6" s="1"/>
  <c r="K36" i="2"/>
  <c r="I30" i="6" s="1"/>
  <c r="G36" i="2"/>
  <c r="C36" i="2"/>
  <c r="B36" i="2"/>
  <c r="A36" i="2"/>
  <c r="O35" i="2"/>
  <c r="J29" i="6" s="1"/>
  <c r="K35" i="2"/>
  <c r="AK16" i="5" s="1" a="1"/>
  <c r="AK16" i="5" s="1"/>
  <c r="G35" i="2"/>
  <c r="G29" i="6" s="1"/>
  <c r="C35" i="2"/>
  <c r="B35" i="2"/>
  <c r="A35" i="2"/>
  <c r="O34" i="2"/>
  <c r="J28" i="6" s="1"/>
  <c r="K34" i="2"/>
  <c r="I28" i="6" s="1"/>
  <c r="G34" i="2"/>
  <c r="C34" i="2"/>
  <c r="B34" i="2"/>
  <c r="A34" i="2"/>
  <c r="O33" i="2"/>
  <c r="J27" i="6" s="1"/>
  <c r="K33" i="2"/>
  <c r="I27" i="6" s="1"/>
  <c r="G33" i="2"/>
  <c r="G27" i="6" s="1"/>
  <c r="C33" i="2"/>
  <c r="B33" i="2"/>
  <c r="A33" i="2"/>
  <c r="O32" i="2"/>
  <c r="AH18" i="5" s="1" a="1"/>
  <c r="AH18" i="5" s="1"/>
  <c r="K32" i="2"/>
  <c r="G32" i="2"/>
  <c r="G26" i="6" s="1"/>
  <c r="C32" i="2"/>
  <c r="B32" i="2"/>
  <c r="A32" i="2"/>
  <c r="O31" i="2"/>
  <c r="AG18" i="5" s="1" a="1"/>
  <c r="AG18" i="5" s="1"/>
  <c r="K31" i="2"/>
  <c r="I25" i="6" s="1"/>
  <c r="G31" i="2"/>
  <c r="AG19" i="5" s="1" a="1"/>
  <c r="AG19" i="5" s="1"/>
  <c r="C31" i="2"/>
  <c r="B31" i="2"/>
  <c r="A31" i="2"/>
  <c r="O30" i="2"/>
  <c r="J24" i="6" s="1"/>
  <c r="K30" i="2"/>
  <c r="I24" i="6" s="1"/>
  <c r="G30" i="2"/>
  <c r="C30" i="2"/>
  <c r="B30" i="2"/>
  <c r="A30" i="2"/>
  <c r="O29" i="2"/>
  <c r="AE18" i="5" s="1" a="1"/>
  <c r="AE18" i="5" s="1"/>
  <c r="K29" i="2"/>
  <c r="AE16" i="5" s="1" a="1"/>
  <c r="AE16" i="5" s="1"/>
  <c r="G29" i="2"/>
  <c r="G23" i="6" s="1"/>
  <c r="C29" i="2"/>
  <c r="B29" i="2"/>
  <c r="A29" i="2"/>
  <c r="O28" i="2"/>
  <c r="J22" i="6" s="1"/>
  <c r="K28" i="2"/>
  <c r="AD16" i="5" s="1" a="1"/>
  <c r="AD16" i="5" s="1"/>
  <c r="G28" i="2"/>
  <c r="AD19" i="5" s="1" a="1"/>
  <c r="AD19" i="5" s="1"/>
  <c r="C28" i="2"/>
  <c r="B28" i="2"/>
  <c r="A28" i="2"/>
  <c r="O27" i="2"/>
  <c r="J21" i="6" s="1"/>
  <c r="K27" i="2"/>
  <c r="AC16" i="5" s="1" a="1"/>
  <c r="AC16" i="5" s="1"/>
  <c r="G27" i="2"/>
  <c r="G21" i="6" s="1"/>
  <c r="C27" i="2"/>
  <c r="B27" i="2"/>
  <c r="A27" i="2"/>
  <c r="O26" i="2"/>
  <c r="J20" i="6" s="1"/>
  <c r="K26" i="2"/>
  <c r="AB16" i="5" s="1" a="1"/>
  <c r="AB16" i="5" s="1"/>
  <c r="G26" i="2"/>
  <c r="G20" i="6" s="1"/>
  <c r="C26" i="2"/>
  <c r="B26" i="2"/>
  <c r="A26" i="2"/>
  <c r="O25" i="2"/>
  <c r="J19" i="6" s="1"/>
  <c r="K25" i="2"/>
  <c r="AA16" i="5" s="1" a="1"/>
  <c r="AA16" i="5" s="1"/>
  <c r="G25" i="2"/>
  <c r="C25" i="2"/>
  <c r="B25" i="2"/>
  <c r="A25" i="2"/>
  <c r="O24" i="2"/>
  <c r="Z18" i="5" s="1" a="1"/>
  <c r="Z18" i="5" s="1"/>
  <c r="K24" i="2"/>
  <c r="I18" i="6" s="1"/>
  <c r="G24" i="2"/>
  <c r="Z19" i="5" s="1" a="1"/>
  <c r="Z19" i="5" s="1"/>
  <c r="C24" i="2"/>
  <c r="B24" i="2"/>
  <c r="A24" i="2"/>
  <c r="O23" i="2"/>
  <c r="Y18" i="5" s="1" a="1"/>
  <c r="Y18" i="5" s="1"/>
  <c r="K23" i="2"/>
  <c r="G23" i="2"/>
  <c r="G17" i="6" s="1"/>
  <c r="C23" i="2"/>
  <c r="B23" i="2"/>
  <c r="A23" i="2"/>
  <c r="O22" i="2"/>
  <c r="J16" i="6" s="1"/>
  <c r="K22" i="2"/>
  <c r="I16" i="6" s="1"/>
  <c r="G22" i="2"/>
  <c r="X19" i="5" s="1" a="1"/>
  <c r="X19" i="5" s="1"/>
  <c r="C22" i="2"/>
  <c r="B22" i="2"/>
  <c r="A22" i="2"/>
  <c r="O21" i="2"/>
  <c r="W18" i="5" s="1" a="1"/>
  <c r="W18" i="5" s="1"/>
  <c r="K21" i="2"/>
  <c r="I15" i="6" s="1"/>
  <c r="G21" i="2"/>
  <c r="G15" i="6" s="1"/>
  <c r="C21" i="2"/>
  <c r="B21" i="2"/>
  <c r="A21" i="2"/>
  <c r="O20" i="2"/>
  <c r="V18" i="5" s="1" a="1"/>
  <c r="V18" i="5" s="1"/>
  <c r="K20" i="2"/>
  <c r="I14" i="6" s="1"/>
  <c r="G20" i="2"/>
  <c r="V19" i="5" s="1" a="1"/>
  <c r="V19" i="5" s="1"/>
  <c r="C20" i="2"/>
  <c r="B20" i="2"/>
  <c r="A20" i="2"/>
  <c r="O19" i="2"/>
  <c r="J13" i="6" s="1"/>
  <c r="K19" i="2"/>
  <c r="U16" i="5" s="1" a="1"/>
  <c r="U16" i="5" s="1"/>
  <c r="G19" i="2"/>
  <c r="U19" i="5" s="1" a="1"/>
  <c r="U19" i="5" s="1"/>
  <c r="C19" i="2"/>
  <c r="B19" i="2"/>
  <c r="A19" i="2"/>
  <c r="O18" i="2"/>
  <c r="J12" i="6" s="1"/>
  <c r="K18" i="2"/>
  <c r="T16" i="5" s="1" a="1"/>
  <c r="T16" i="5" s="1"/>
  <c r="G18" i="2"/>
  <c r="C18" i="2"/>
  <c r="B18" i="2"/>
  <c r="A18" i="2"/>
  <c r="O17" i="2"/>
  <c r="J11" i="6" s="1"/>
  <c r="K17" i="2"/>
  <c r="I11" i="6" s="1"/>
  <c r="G17" i="2"/>
  <c r="G11" i="6" s="1"/>
  <c r="C17" i="2"/>
  <c r="B17" i="2"/>
  <c r="A17" i="2"/>
  <c r="O16" i="2"/>
  <c r="J10" i="6" s="1"/>
  <c r="K16" i="2"/>
  <c r="I10" i="6" s="1"/>
  <c r="G16" i="2"/>
  <c r="C16" i="2"/>
  <c r="B16" i="2"/>
  <c r="A16" i="2"/>
  <c r="O15" i="2"/>
  <c r="J9" i="6" s="1"/>
  <c r="K15" i="2"/>
  <c r="I9" i="6" s="1"/>
  <c r="G15" i="2"/>
  <c r="G9" i="6" s="1"/>
  <c r="C15" i="2"/>
  <c r="B15" i="2"/>
  <c r="A15" i="2"/>
  <c r="O14" i="2"/>
  <c r="P18" i="5" s="1" a="1"/>
  <c r="P18" i="5" s="1"/>
  <c r="K14" i="2"/>
  <c r="P16" i="5" s="1" a="1"/>
  <c r="P16" i="5" s="1"/>
  <c r="G14" i="2"/>
  <c r="G8" i="6" s="1"/>
  <c r="C14" i="2"/>
  <c r="B14" i="2"/>
  <c r="A14" i="2"/>
  <c r="O13" i="2"/>
  <c r="O18" i="5" s="1" a="1"/>
  <c r="O18" i="5" s="1"/>
  <c r="K13" i="2"/>
  <c r="O16" i="5" s="1" a="1"/>
  <c r="O16" i="5" s="1"/>
  <c r="G13" i="2"/>
  <c r="O19" i="5" s="1" a="1"/>
  <c r="O19" i="5" s="1"/>
  <c r="C13" i="2"/>
  <c r="B13" i="2"/>
  <c r="A13" i="2"/>
  <c r="O12" i="2"/>
  <c r="J6" i="6" s="1"/>
  <c r="K12" i="2"/>
  <c r="I6" i="6" s="1"/>
  <c r="G12" i="2"/>
  <c r="C12" i="2"/>
  <c r="B12" i="2"/>
  <c r="A12" i="2"/>
  <c r="O11" i="2"/>
  <c r="M18" i="5" s="1" a="1"/>
  <c r="M18" i="5" s="1"/>
  <c r="K11" i="2"/>
  <c r="I5" i="6" s="1"/>
  <c r="G11" i="2"/>
  <c r="G5" i="6" s="1"/>
  <c r="C11" i="2"/>
  <c r="B11" i="2"/>
  <c r="A11" i="2"/>
  <c r="O10" i="2"/>
  <c r="J4" i="6" s="1"/>
  <c r="K10" i="2"/>
  <c r="L16" i="5" s="1" a="1"/>
  <c r="L16" i="5" s="1"/>
  <c r="G10" i="2"/>
  <c r="L19" i="5" s="1" a="1"/>
  <c r="L19" i="5" s="1"/>
  <c r="C10" i="2"/>
  <c r="B10" i="2"/>
  <c r="A10" i="2"/>
  <c r="O9" i="2"/>
  <c r="L40" i="2" s="1"/>
  <c r="K9" i="2"/>
  <c r="I3" i="6" s="1"/>
  <c r="G9" i="2"/>
  <c r="D40" i="2" s="1"/>
  <c r="C9" i="2"/>
  <c r="B9" i="2"/>
  <c r="A9" i="2"/>
  <c r="N5" i="2"/>
  <c r="J5" i="2"/>
  <c r="G5" i="2"/>
  <c r="B5" i="2"/>
  <c r="N4" i="2"/>
  <c r="J4" i="2"/>
  <c r="G4" i="2"/>
  <c r="B4" i="2"/>
  <c r="M40" i="1"/>
  <c r="J40" i="1"/>
  <c r="G40" i="1"/>
  <c r="D40" i="1"/>
  <c r="M39" i="1"/>
  <c r="J39" i="1"/>
  <c r="G39" i="1"/>
  <c r="D39" i="1"/>
  <c r="M38" i="1"/>
  <c r="J38" i="1"/>
  <c r="G38" i="1"/>
  <c r="D38" i="1"/>
  <c r="O22" i="5" l="1" a="1"/>
  <c r="O22" i="5" s="1"/>
  <c r="X22" i="5" a="1"/>
  <c r="X22" i="5" s="1"/>
  <c r="L15" i="6"/>
  <c r="AF22" i="5" a="1"/>
  <c r="AF22" i="5" s="1"/>
  <c r="N22" i="5" a="1"/>
  <c r="N22" i="5" s="1"/>
  <c r="L3" i="6"/>
  <c r="AN22" i="5" a="1"/>
  <c r="AN22" i="5" s="1"/>
  <c r="AE22" i="5" a="1"/>
  <c r="AE22" i="5" s="1"/>
  <c r="V22" i="5" a="1"/>
  <c r="V22" i="5" s="1"/>
  <c r="M22" i="5" a="1"/>
  <c r="M22" i="5" s="1"/>
  <c r="L30" i="6"/>
  <c r="L22" i="6"/>
  <c r="AM22" i="5" a="1"/>
  <c r="AM22" i="5" s="1"/>
  <c r="L28" i="6"/>
  <c r="L10" i="6"/>
  <c r="L22" i="5" a="1"/>
  <c r="L22" i="5" s="1"/>
  <c r="L20" i="6"/>
  <c r="L12" i="6"/>
  <c r="AC22" i="5" a="1"/>
  <c r="AC22" i="5" s="1"/>
  <c r="L18" i="6"/>
  <c r="AK22" i="5" a="1"/>
  <c r="AK22" i="5" s="1"/>
  <c r="K22" i="5" a="1"/>
  <c r="K22" i="5" s="1"/>
  <c r="AR22" i="5" s="1"/>
  <c r="AA22" i="5" a="1"/>
  <c r="AA22" i="5" s="1"/>
  <c r="AI22" i="5" a="1"/>
  <c r="AI22" i="5" s="1"/>
  <c r="Q22" i="5" a="1"/>
  <c r="Q22" i="5" s="1"/>
  <c r="R17" i="5" a="1"/>
  <c r="R17" i="5" s="1"/>
  <c r="H26" i="6"/>
  <c r="H12" i="6"/>
  <c r="AI17" i="5" a="1"/>
  <c r="AI17" i="5" s="1"/>
  <c r="Z17" i="5" a="1"/>
  <c r="Z17" i="5" s="1"/>
  <c r="Q17" i="5" a="1"/>
  <c r="Q17" i="5" s="1"/>
  <c r="H31" i="6"/>
  <c r="P17" i="5" a="1"/>
  <c r="P17" i="5" s="1"/>
  <c r="H24" i="6"/>
  <c r="X17" i="5" a="1"/>
  <c r="X17" i="5" s="1"/>
  <c r="W17" i="5" a="1"/>
  <c r="W17" i="5" s="1"/>
  <c r="N17" i="5" a="1"/>
  <c r="N17" i="5" s="1"/>
  <c r="H13" i="6"/>
  <c r="AN17" i="5" a="1"/>
  <c r="AN17" i="5" s="1"/>
  <c r="V17" i="5" a="1"/>
  <c r="V17" i="5" s="1"/>
  <c r="H20" i="6"/>
  <c r="K17" i="5" a="1"/>
  <c r="K17" i="5" s="1"/>
  <c r="AE17" i="5" a="1"/>
  <c r="AE17" i="5" s="1"/>
  <c r="H11" i="6"/>
  <c r="H4" i="6"/>
  <c r="H22" i="6"/>
  <c r="H30" i="6"/>
  <c r="F22" i="6"/>
  <c r="F11" i="6"/>
  <c r="AF20" i="5" a="1"/>
  <c r="AF20" i="5" s="1"/>
  <c r="W20" i="5" a="1"/>
  <c r="W20" i="5" s="1"/>
  <c r="N20" i="5" a="1"/>
  <c r="N20" i="5" s="1"/>
  <c r="F28" i="6"/>
  <c r="F14" i="6"/>
  <c r="AH20" i="5" a="1"/>
  <c r="AH20" i="5" s="1"/>
  <c r="F16" i="6"/>
  <c r="D40" i="7"/>
  <c r="AE20" i="5" a="1"/>
  <c r="AE20" i="5" s="1"/>
  <c r="F31" i="6"/>
  <c r="AN20" i="5" a="1"/>
  <c r="AN20" i="5" s="1"/>
  <c r="F20" i="6"/>
  <c r="F9" i="6"/>
  <c r="U20" i="5" a="1"/>
  <c r="U20" i="5" s="1"/>
  <c r="L20" i="5" a="1"/>
  <c r="L20" i="5" s="1"/>
  <c r="AC20" i="5" a="1"/>
  <c r="AC20" i="5" s="1"/>
  <c r="T20" i="5" a="1"/>
  <c r="T20" i="5" s="1"/>
  <c r="F29" i="6"/>
  <c r="K20" i="5" a="1"/>
  <c r="K20" i="5" s="1"/>
  <c r="AR20" i="5" s="1"/>
  <c r="F18" i="6"/>
  <c r="R20" i="5" a="1"/>
  <c r="R20" i="5" s="1"/>
  <c r="F27" i="6"/>
  <c r="AD18" i="5" a="1"/>
  <c r="AD18" i="5" s="1"/>
  <c r="K18" i="5" a="1"/>
  <c r="K18" i="5" s="1"/>
  <c r="AL18" i="5" a="1"/>
  <c r="AL18" i="5" s="1"/>
  <c r="T18" i="5" a="1"/>
  <c r="T18" i="5" s="1"/>
  <c r="J25" i="6"/>
  <c r="J7" i="6"/>
  <c r="J17" i="6"/>
  <c r="AK18" i="5" a="1"/>
  <c r="AK18" i="5" s="1"/>
  <c r="AB18" i="5" a="1"/>
  <c r="AB18" i="5" s="1"/>
  <c r="S18" i="5" a="1"/>
  <c r="S18" i="5" s="1"/>
  <c r="J14" i="6"/>
  <c r="J32" i="6"/>
  <c r="AJ18" i="5" a="1"/>
  <c r="AJ18" i="5" s="1"/>
  <c r="AA18" i="5" a="1"/>
  <c r="AA18" i="5" s="1"/>
  <c r="R18" i="5" a="1"/>
  <c r="R18" i="5" s="1"/>
  <c r="J18" i="6"/>
  <c r="L18" i="5" a="1"/>
  <c r="L18" i="5" s="1"/>
  <c r="AI18" i="5" a="1"/>
  <c r="AI18" i="5" s="1"/>
  <c r="Q18" i="5" a="1"/>
  <c r="Q18" i="5" s="1"/>
  <c r="J26" i="6"/>
  <c r="J8" i="6"/>
  <c r="J15" i="6"/>
  <c r="X18" i="5" a="1"/>
  <c r="X18" i="5" s="1"/>
  <c r="J23" i="6"/>
  <c r="J3" i="6"/>
  <c r="J5" i="6"/>
  <c r="AF18" i="5" a="1"/>
  <c r="AF18" i="5" s="1"/>
  <c r="AI16" i="5" a="1"/>
  <c r="AI16" i="5" s="1"/>
  <c r="Z16" i="5" a="1"/>
  <c r="Z16" i="5" s="1"/>
  <c r="Q16" i="5" a="1"/>
  <c r="Q16" i="5" s="1"/>
  <c r="I12" i="6"/>
  <c r="AG16" i="5" a="1"/>
  <c r="AG16" i="5" s="1"/>
  <c r="I32" i="6"/>
  <c r="I13" i="6"/>
  <c r="I8" i="6"/>
  <c r="X16" i="5" a="1"/>
  <c r="X16" i="5" s="1"/>
  <c r="AF16" i="5" a="1"/>
  <c r="AF16" i="5" s="1"/>
  <c r="W16" i="5" a="1"/>
  <c r="W16" i="5" s="1"/>
  <c r="N16" i="5" a="1"/>
  <c r="N16" i="5" s="1"/>
  <c r="I23" i="6"/>
  <c r="I4" i="6"/>
  <c r="V16" i="5" a="1"/>
  <c r="V16" i="5" s="1"/>
  <c r="M16" i="5" a="1"/>
  <c r="M16" i="5" s="1"/>
  <c r="I19" i="6"/>
  <c r="I29" i="6"/>
  <c r="AL16" i="5" a="1"/>
  <c r="AL16" i="5" s="1"/>
  <c r="I20" i="6"/>
  <c r="S16" i="5" a="1"/>
  <c r="S16" i="5" s="1"/>
  <c r="G14" i="6"/>
  <c r="AH19" i="5" a="1"/>
  <c r="AH19" i="5" s="1"/>
  <c r="Y19" i="5" a="1"/>
  <c r="Y19" i="5" s="1"/>
  <c r="P19" i="5" a="1"/>
  <c r="P19" i="5" s="1"/>
  <c r="G32" i="6"/>
  <c r="AS24" i="5"/>
  <c r="AR23" i="5"/>
  <c r="AS21" i="5"/>
  <c r="AS25" i="5"/>
  <c r="AS29" i="5"/>
  <c r="AR29" i="5"/>
  <c r="AR28" i="5"/>
  <c r="AS28" i="5"/>
  <c r="AR27" i="5"/>
  <c r="AS27" i="5"/>
  <c r="AS26" i="5"/>
  <c r="AR26" i="5"/>
  <c r="AR25" i="5"/>
  <c r="AR24" i="5"/>
  <c r="AS23" i="5"/>
  <c r="AR21" i="5"/>
  <c r="AS20" i="5"/>
  <c r="AR17" i="5"/>
  <c r="AS17" i="5"/>
  <c r="AS15" i="5"/>
  <c r="AR15" i="5"/>
  <c r="D41" i="7"/>
  <c r="D39" i="2"/>
  <c r="H41" i="7"/>
  <c r="L41" i="8"/>
  <c r="H39" i="2"/>
  <c r="L41" i="7"/>
  <c r="L39" i="2"/>
  <c r="L39" i="8"/>
  <c r="H40" i="2"/>
  <c r="AO15" i="5"/>
  <c r="AO17" i="5"/>
  <c r="AO21" i="5"/>
  <c r="AO23" i="5"/>
  <c r="AQ23" i="5" s="1"/>
  <c r="AT23" i="5" s="1"/>
  <c r="AO24" i="5"/>
  <c r="AO25" i="5"/>
  <c r="AO26" i="5"/>
  <c r="AO27" i="5"/>
  <c r="AO28" i="5"/>
  <c r="AO29" i="5"/>
  <c r="D41" i="2"/>
  <c r="H39" i="7"/>
  <c r="AP15" i="5"/>
  <c r="AP17" i="5"/>
  <c r="AP20" i="5"/>
  <c r="AP21" i="5"/>
  <c r="AP23" i="5"/>
  <c r="AP24" i="5"/>
  <c r="AP25" i="5"/>
  <c r="AP26" i="5"/>
  <c r="AP27" i="5"/>
  <c r="AP28" i="5"/>
  <c r="AP29" i="5"/>
  <c r="H41" i="2"/>
  <c r="L39" i="7"/>
  <c r="AQ26" i="5" l="1"/>
  <c r="AT26" i="5" s="1"/>
  <c r="AP22" i="5"/>
  <c r="AS22" i="5"/>
  <c r="AO22" i="5"/>
  <c r="AO20" i="5"/>
  <c r="AQ27" i="5"/>
  <c r="AT27" i="5" s="1"/>
  <c r="AQ29" i="5"/>
  <c r="AT29" i="5" s="1"/>
  <c r="AQ28" i="5"/>
  <c r="AT28" i="5" s="1"/>
  <c r="AS19" i="5"/>
  <c r="AP19" i="5"/>
  <c r="AO19" i="5"/>
  <c r="AR19" i="5"/>
  <c r="AQ25" i="5"/>
  <c r="AT25" i="5" s="1"/>
  <c r="AQ17" i="5"/>
  <c r="AT17" i="5" s="1"/>
  <c r="AQ15" i="5"/>
  <c r="AT15" i="5" s="1"/>
  <c r="AQ24" i="5"/>
  <c r="AT24" i="5" s="1"/>
  <c r="AQ22" i="5"/>
  <c r="AT22" i="5" s="1"/>
  <c r="AS18" i="5"/>
  <c r="AR18" i="5"/>
  <c r="AP18" i="5"/>
  <c r="AO18" i="5"/>
  <c r="AQ21" i="5"/>
  <c r="AT21" i="5" s="1"/>
  <c r="AQ20" i="5"/>
  <c r="AT20" i="5" s="1"/>
  <c r="AS16" i="5"/>
  <c r="AR16" i="5"/>
  <c r="AP16" i="5"/>
  <c r="AO16" i="5"/>
  <c r="AQ19" i="5" l="1"/>
  <c r="AT19" i="5" s="1"/>
  <c r="AQ16" i="5"/>
  <c r="AT16" i="5" s="1"/>
  <c r="AQ18" i="5"/>
  <c r="AT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<sst xmlns="http://schemas.openxmlformats.org/spreadsheetml/2006/main" count="267" uniqueCount="145">
  <si>
    <t>Sample No.</t>
  </si>
  <si>
    <t>Product Code:</t>
  </si>
  <si>
    <t>Specification:</t>
  </si>
  <si>
    <t>Prod. Order</t>
  </si>
  <si>
    <t>PO</t>
  </si>
  <si>
    <t>Machine</t>
  </si>
  <si>
    <t>Quantity</t>
  </si>
  <si>
    <t>Production Date</t>
  </si>
  <si>
    <t>Inspection Date</t>
  </si>
  <si>
    <t>COF Kinetic (L-0.20 T-0.40 U-0.60)</t>
  </si>
  <si>
    <t>SWANSON PLASTICS (INDIA) PVT. LTD.</t>
  </si>
  <si>
    <t>Film Inspection Form</t>
  </si>
  <si>
    <t>Inspected by:</t>
  </si>
  <si>
    <t>Distribution: Department Concerned</t>
  </si>
  <si>
    <t>(QC Inspector)</t>
  </si>
  <si>
    <t>Verified by:</t>
  </si>
  <si>
    <t>(QC HOD)</t>
  </si>
  <si>
    <t>Elongation@ Break(%)MD (L-350 T-450)</t>
  </si>
  <si>
    <t>Elongation@ Break(%)CD (L-400 T-500)</t>
  </si>
  <si>
    <t xml:space="preserve">Ref: </t>
  </si>
  <si>
    <t>Ref:</t>
  </si>
  <si>
    <t>Retention Period: 5 years</t>
  </si>
  <si>
    <t xml:space="preserve"> </t>
  </si>
  <si>
    <t>Average</t>
  </si>
  <si>
    <t>Minimum</t>
  </si>
  <si>
    <t>Maximum</t>
  </si>
  <si>
    <t>FQP-QC02-04</t>
  </si>
  <si>
    <t>Eff. Date: 01/08/2017</t>
  </si>
  <si>
    <t>Color L (Color units-H)
 (L-90.6 T-94.6 U-98.6)</t>
  </si>
  <si>
    <t>Testing Equipment Identification Number</t>
  </si>
  <si>
    <t>Thickness (L-0.040 T-0.050 U-0.065)
mm</t>
  </si>
  <si>
    <t>Opacity (L-45.0 T-50.0 U-55.0)
%</t>
  </si>
  <si>
    <t>Basic Weight (L-16.00 T-18.00 U-20.00)
GSM</t>
  </si>
  <si>
    <t>Avg</t>
  </si>
  <si>
    <t>Color B (Color units-H) 
(L-(-3.6) T-0.4 U-4.4)</t>
  </si>
  <si>
    <t xml:space="preserve">Gloss Level (Gloss unit)
(T-7.0  U-11.0) </t>
  </si>
  <si>
    <t>Force Tensile Strength@Break(N)MD(L-9.5 T-13.0)</t>
  </si>
  <si>
    <t>Force-Tensile Strength@Break (N) CD (L-6.5 T-9.5)</t>
  </si>
  <si>
    <t>Modulus Web MD Fresh@2% (L-15.0 T-25.0 U-35.0) N/cm</t>
  </si>
  <si>
    <t>Force Elongation 5% (N) MD (L-2.0 T-3.5 U-5.0)</t>
  </si>
  <si>
    <t>Basis weight:</t>
  </si>
  <si>
    <t xml:space="preserve">Option: </t>
  </si>
  <si>
    <t>Trial No.</t>
  </si>
  <si>
    <t>M/C#:</t>
  </si>
  <si>
    <t>Embosser#</t>
  </si>
  <si>
    <t>Line Speed</t>
  </si>
  <si>
    <t>Nip Pressure</t>
  </si>
  <si>
    <t>Roll Winding direction</t>
  </si>
  <si>
    <t xml:space="preserve">Date &amp; time of Production: </t>
  </si>
  <si>
    <t>Date &amp; time of Testing:</t>
  </si>
  <si>
    <t>Shippable/ Non-shippable:</t>
  </si>
  <si>
    <t>Sr. No.</t>
  </si>
  <si>
    <t>Requirement</t>
  </si>
  <si>
    <t>Test Method</t>
  </si>
  <si>
    <t>Units</t>
  </si>
  <si>
    <t>Sub group</t>
  </si>
  <si>
    <t>Report To</t>
  </si>
  <si>
    <t>Target</t>
  </si>
  <si>
    <t>LSL</t>
  </si>
  <si>
    <t>USL</t>
  </si>
  <si>
    <t>RC</t>
  </si>
  <si>
    <t>STDEV</t>
  </si>
  <si>
    <t>cpk</t>
  </si>
  <si>
    <t>Min</t>
  </si>
  <si>
    <t>Max</t>
  </si>
  <si>
    <t>Pass/Fail</t>
  </si>
  <si>
    <t>Basis weight</t>
  </si>
  <si>
    <t>As per RMS</t>
  </si>
  <si>
    <t>GSM</t>
  </si>
  <si>
    <t>18.00</t>
  </si>
  <si>
    <t>16.00</t>
  </si>
  <si>
    <t>20.00</t>
  </si>
  <si>
    <t>Tensile strength-MD (Load @Break)</t>
  </si>
  <si>
    <t>N</t>
  </si>
  <si>
    <t>13.0</t>
  </si>
  <si>
    <t>Tensile strength-CD (Load @Break)</t>
  </si>
  <si>
    <t>Tensile strength-MD (5% Elongation)</t>
  </si>
  <si>
    <t>Elongation~MD @ break</t>
  </si>
  <si>
    <t>%</t>
  </si>
  <si>
    <t>Elongation~CD @ break</t>
    <phoneticPr fontId="0" type="noConversion"/>
  </si>
  <si>
    <t>Thickness</t>
    <phoneticPr fontId="0" type="noConversion"/>
  </si>
  <si>
    <t>mm</t>
  </si>
  <si>
    <t>OBS 0</t>
  </si>
  <si>
    <t>Modulus-MD @2% Strain fresh</t>
  </si>
  <si>
    <t>N / cm</t>
  </si>
  <si>
    <t>COF fresh A-side to A side</t>
  </si>
  <si>
    <t>0.40</t>
  </si>
  <si>
    <t>0.20</t>
  </si>
  <si>
    <t>0.60</t>
  </si>
  <si>
    <t>Opacity</t>
    <phoneticPr fontId="0" type="noConversion"/>
  </si>
  <si>
    <t>50.0</t>
  </si>
  <si>
    <t>45.0</t>
  </si>
  <si>
    <t>55.0</t>
  </si>
  <si>
    <t>Color -  L</t>
  </si>
  <si>
    <t>Color units - H</t>
  </si>
  <si>
    <t>Color - a</t>
    <phoneticPr fontId="0" type="noConversion"/>
  </si>
  <si>
    <t xml:space="preserve"> -1.1</t>
  </si>
  <si>
    <t>Color - b</t>
    <phoneticPr fontId="0" type="noConversion"/>
  </si>
  <si>
    <t>Delta E</t>
  </si>
  <si>
    <t>Color units - Delta E</t>
  </si>
  <si>
    <t>0.00</t>
  </si>
  <si>
    <t>5.00</t>
  </si>
  <si>
    <t>Gloss level</t>
  </si>
  <si>
    <t>Gloss unit</t>
  </si>
  <si>
    <t>11.0</t>
  </si>
  <si>
    <t>2.0</t>
  </si>
  <si>
    <t>5.0</t>
  </si>
  <si>
    <t>0.050</t>
  </si>
  <si>
    <t>0.040</t>
  </si>
  <si>
    <t>7.0</t>
  </si>
  <si>
    <t>Color lab-Delta E
(Color units-Delta E) 
( T-0.00  U-5.00)</t>
  </si>
  <si>
    <t>Page No 1 of 4</t>
  </si>
  <si>
    <t>Page No 2 of 4</t>
  </si>
  <si>
    <t>Page No 3 of 4</t>
  </si>
  <si>
    <t>Page No 4 of 4</t>
  </si>
  <si>
    <t>Color A (Color units-H)
 (L-(-5.1) T-(-1.1) U-2.9)</t>
  </si>
  <si>
    <t>Reference:</t>
  </si>
  <si>
    <t>Test Name - (O) - Optional, (RRG#) - Reference Part Report Group #, (MRG#) - Master Part Report Group #:</t>
  </si>
  <si>
    <t>Appearance ~ Color~~Delta E</t>
  </si>
  <si>
    <t>Basis Weight~~.</t>
  </si>
  <si>
    <t>Elongation~~CD ~ Break</t>
  </si>
  <si>
    <t>Elongation~~MD ~ Break</t>
  </si>
  <si>
    <t>Force ~ Tensile Strength~~CD ~ Break</t>
  </si>
  <si>
    <t>Force ~ Tensile Strength~~MD ~ Break</t>
  </si>
  <si>
    <t>Force ~ Elongation~~MD</t>
  </si>
  <si>
    <t>Dimension ~ Thickness~~.</t>
  </si>
  <si>
    <t>Modulus~~Web ~ MD at 2 Percent</t>
  </si>
  <si>
    <t>Record Review~~Laboratory Review</t>
  </si>
  <si>
    <t>Assay ~ Organotin~~.</t>
  </si>
  <si>
    <t>Date</t>
  </si>
  <si>
    <t>Time</t>
  </si>
  <si>
    <t>Ref</t>
  </si>
  <si>
    <t>99396168.005.10</t>
  </si>
  <si>
    <t>99368714.005.1</t>
  </si>
  <si>
    <t>99368714.005.2</t>
  </si>
  <si>
    <t>99368714.005.3</t>
  </si>
  <si>
    <t>99368714.005.4</t>
  </si>
  <si>
    <t>99368714.005.5</t>
  </si>
  <si>
    <t>99368714.005.6</t>
  </si>
  <si>
    <t>99368714.005.7</t>
  </si>
  <si>
    <t>99368714.005.9</t>
  </si>
  <si>
    <t>99368714.005.33</t>
  </si>
  <si>
    <t>99368714.005.34</t>
  </si>
  <si>
    <t>MRMP: 99368714.005 GCAS:99396168.005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</si>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</sst>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_ "/>
    <numFmt numFmtId="167" formatCode="0.00_);[Red]\(0.00\)"/>
    <numFmt numFmtId="168" formatCode="[$-14009]dd\-mm\-yyyy;@"/>
  </numFmts>
  <fonts count="1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Book Antiqua"/>
      <family val="1"/>
    </font>
    <font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1"/>
      <charset val="136"/>
      <scheme val="minor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>
      <alignment vertical="center"/>
    </xf>
  </cellStyleXfs>
  <cellXfs count="302">
    <xf numFmtId="0" fontId="0" fillId="0" borderId="0" xfId="0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2" fontId="8" fillId="0" borderId="0" xfId="0" applyNumberFormat="1" applyFont="1" applyAlignment="1">
      <alignment wrapText="1"/>
    </xf>
    <xf numFmtId="0" fontId="9" fillId="0" borderId="0" xfId="0" applyFont="1" applyAlignment="1">
      <alignment vertical="center"/>
    </xf>
    <xf numFmtId="0" fontId="10" fillId="3" borderId="28" xfId="0" applyFont="1" applyFill="1" applyBorder="1" applyAlignment="1">
      <alignment vertical="center"/>
    </xf>
    <xf numFmtId="0" fontId="10" fillId="3" borderId="27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3" borderId="26" xfId="0" applyFont="1" applyFill="1" applyBorder="1" applyAlignment="1">
      <alignment vertical="center"/>
    </xf>
    <xf numFmtId="0" fontId="10" fillId="3" borderId="34" xfId="0" applyFont="1" applyFill="1" applyBorder="1" applyAlignment="1">
      <alignment vertical="center"/>
    </xf>
    <xf numFmtId="0" fontId="10" fillId="3" borderId="34" xfId="0" applyFont="1" applyFill="1" applyBorder="1" applyAlignment="1">
      <alignment horizontal="left" vertical="center"/>
    </xf>
    <xf numFmtId="166" fontId="9" fillId="0" borderId="0" xfId="0" applyNumberFormat="1" applyFont="1" applyAlignment="1">
      <alignment vertical="center"/>
    </xf>
    <xf numFmtId="0" fontId="10" fillId="3" borderId="34" xfId="0" applyFont="1" applyFill="1" applyBorder="1" applyAlignment="1">
      <alignment vertical="center" wrapText="1"/>
    </xf>
    <xf numFmtId="49" fontId="10" fillId="3" borderId="34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0" fillId="3" borderId="31" xfId="0" applyFont="1" applyFill="1" applyBorder="1" applyAlignment="1">
      <alignment vertical="center"/>
    </xf>
    <xf numFmtId="14" fontId="10" fillId="3" borderId="24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center" wrapText="1"/>
    </xf>
    <xf numFmtId="164" fontId="8" fillId="0" borderId="0" xfId="0" applyNumberFormat="1" applyFont="1" applyAlignment="1">
      <alignment wrapText="1"/>
    </xf>
    <xf numFmtId="0" fontId="3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1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2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49" fontId="1" fillId="2" borderId="26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8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8" xfId="0" applyNumberFormat="1" applyFont="1" applyFill="1" applyBorder="1" applyAlignment="1">
      <alignment horizontal="center" vertical="center" wrapText="1"/>
    </xf>
    <xf numFmtId="164" fontId="1" fillId="2" borderId="30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 applyProtection="1">
      <alignment vertical="center" wrapText="1"/>
      <protection locked="0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4" xfId="0" quotePrefix="1" applyNumberFormat="1" applyFont="1" applyFill="1" applyBorder="1" applyAlignment="1">
      <alignment horizontal="center" vertical="center" wrapText="1"/>
    </xf>
    <xf numFmtId="49" fontId="1" fillId="2" borderId="5" xfId="0" quotePrefix="1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quotePrefix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9" fontId="1" fillId="2" borderId="12" xfId="0" applyNumberFormat="1" applyFont="1" applyFill="1" applyBorder="1" applyAlignment="1">
      <alignment vertical="center" wrapText="1"/>
    </xf>
    <xf numFmtId="49" fontId="1" fillId="2" borderId="2" xfId="0" quotePrefix="1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vertical="center" wrapText="1"/>
    </xf>
    <xf numFmtId="49" fontId="1" fillId="2" borderId="15" xfId="0" quotePrefix="1" applyNumberFormat="1" applyFont="1" applyFill="1" applyBorder="1" applyAlignment="1">
      <alignment horizontal="center" vertical="center" wrapText="1"/>
    </xf>
    <xf numFmtId="49" fontId="1" fillId="2" borderId="16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4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1" fillId="2" borderId="0" xfId="0" applyFont="1" applyFill="1" applyAlignment="1" applyProtection="1">
      <alignment vertical="center" wrapText="1"/>
      <protection locked="0"/>
    </xf>
    <xf numFmtId="0" fontId="14" fillId="2" borderId="0" xfId="0" applyFont="1" applyFill="1" applyAlignment="1">
      <alignment vertical="center" wrapText="1"/>
    </xf>
    <xf numFmtId="0" fontId="1" fillId="2" borderId="0" xfId="0" applyFont="1" applyFill="1" applyAlignment="1" applyProtection="1">
      <alignment wrapText="1"/>
      <protection locked="0"/>
    </xf>
    <xf numFmtId="0" fontId="1" fillId="2" borderId="15" xfId="0" applyFont="1" applyFill="1" applyBorder="1" applyAlignment="1">
      <alignment horizontal="righ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49" fontId="1" fillId="2" borderId="23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26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2" xfId="0" quotePrefix="1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quotePrefix="1" applyFont="1" applyFill="1" applyAlignment="1" applyProtection="1">
      <alignment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1" fillId="2" borderId="49" xfId="0" applyFont="1" applyFill="1" applyBorder="1" applyAlignment="1" applyProtection="1">
      <alignment vertical="center" wrapText="1"/>
      <protection locked="0"/>
    </xf>
    <xf numFmtId="0" fontId="7" fillId="2" borderId="1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164" fontId="1" fillId="2" borderId="4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2" fontId="16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16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16" fillId="5" borderId="1" xfId="0" applyNumberFormat="1" applyFont="1" applyFill="1" applyBorder="1" applyAlignment="1" applyProtection="1">
      <alignment horizontal="center" vertical="center" wrapText="1"/>
      <protection locked="0"/>
    </xf>
    <xf numFmtId="1" fontId="1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5" borderId="1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 applyProtection="1">
      <alignment horizontal="left" vertical="center"/>
      <protection locked="0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49" fontId="16" fillId="2" borderId="1" xfId="0" applyNumberFormat="1" applyFont="1" applyFill="1" applyBorder="1" applyAlignment="1" applyProtection="1">
      <alignment horizontal="center" vertical="center"/>
      <protection locked="0"/>
    </xf>
    <xf numFmtId="2" fontId="16" fillId="6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167" fontId="17" fillId="6" borderId="1" xfId="1" applyNumberFormat="1" applyFont="1" applyFill="1" applyBorder="1" applyAlignment="1">
      <alignment horizontal="center" vertical="center" shrinkToFit="1"/>
    </xf>
    <xf numFmtId="49" fontId="16" fillId="0" borderId="0" xfId="0" applyNumberFormat="1" applyFont="1" applyAlignment="1" applyProtection="1">
      <alignment horizontal="left" vertical="center"/>
      <protection locked="0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64" fontId="16" fillId="6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" fontId="16" fillId="6" borderId="1" xfId="0" applyNumberFormat="1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 applyProtection="1">
      <alignment horizontal="center" vertical="center" wrapText="1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4" fillId="2" borderId="0" xfId="0" quotePrefix="1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65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3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4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165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18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8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0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8" xfId="0" applyNumberFormat="1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165" fontId="1" fillId="2" borderId="9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2" fontId="1" fillId="2" borderId="8" xfId="0" applyNumberFormat="1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 wrapText="1"/>
    </xf>
    <xf numFmtId="49" fontId="14" fillId="2" borderId="46" xfId="0" quotePrefix="1" applyNumberFormat="1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left" vertical="center" wrapText="1"/>
    </xf>
    <xf numFmtId="0" fontId="1" fillId="2" borderId="46" xfId="0" applyFont="1" applyFill="1" applyBorder="1" applyAlignment="1">
      <alignment horizontal="right" vertical="center" wrapText="1"/>
    </xf>
    <xf numFmtId="0" fontId="14" fillId="2" borderId="46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7" xfId="0" applyNumberFormat="1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center" vertical="center" wrapText="1"/>
    </xf>
    <xf numFmtId="165" fontId="1" fillId="2" borderId="16" xfId="0" applyNumberFormat="1" applyFont="1" applyFill="1" applyBorder="1" applyAlignment="1">
      <alignment horizontal="center" vertical="center" wrapText="1"/>
    </xf>
    <xf numFmtId="165" fontId="1" fillId="2" borderId="18" xfId="0" applyNumberFormat="1" applyFont="1" applyFill="1" applyBorder="1" applyAlignment="1">
      <alignment horizontal="center" vertical="center" wrapText="1"/>
    </xf>
    <xf numFmtId="164" fontId="1" fillId="2" borderId="19" xfId="0" applyNumberFormat="1" applyFont="1" applyFill="1" applyBorder="1" applyAlignment="1">
      <alignment horizontal="center" vertical="center" wrapText="1"/>
    </xf>
    <xf numFmtId="2" fontId="1" fillId="2" borderId="20" xfId="0" applyNumberFormat="1" applyFont="1" applyFill="1" applyBorder="1" applyAlignment="1">
      <alignment horizontal="center" vertical="center" wrapText="1"/>
    </xf>
    <xf numFmtId="2" fontId="1" fillId="2" borderId="13" xfId="0" applyNumberFormat="1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2" fontId="1" fillId="2" borderId="9" xfId="0" applyNumberFormat="1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 applyProtection="1">
      <alignment horizontal="left"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1" fontId="1" fillId="2" borderId="8" xfId="0" applyNumberFormat="1" applyFont="1" applyFill="1" applyBorder="1" applyAlignment="1">
      <alignment horizontal="right" vertical="center" wrapText="1"/>
    </xf>
    <xf numFmtId="1" fontId="1" fillId="2" borderId="7" xfId="0" applyNumberFormat="1" applyFont="1" applyFill="1" applyBorder="1" applyAlignment="1">
      <alignment horizontal="right" vertical="center" wrapText="1"/>
    </xf>
    <xf numFmtId="1" fontId="1" fillId="2" borderId="9" xfId="0" applyNumberFormat="1" applyFont="1" applyFill="1" applyBorder="1" applyAlignment="1">
      <alignment horizontal="right" vertical="center" wrapText="1"/>
    </xf>
    <xf numFmtId="1" fontId="1" fillId="2" borderId="3" xfId="0" applyNumberFormat="1" applyFont="1" applyFill="1" applyBorder="1" applyAlignment="1">
      <alignment horizontal="right" vertical="center" wrapText="1"/>
    </xf>
    <xf numFmtId="1" fontId="1" fillId="2" borderId="4" xfId="0" applyNumberFormat="1" applyFont="1" applyFill="1" applyBorder="1" applyAlignment="1">
      <alignment horizontal="right" vertical="center" wrapText="1"/>
    </xf>
    <xf numFmtId="1" fontId="1" fillId="2" borderId="5" xfId="0" applyNumberFormat="1" applyFont="1" applyFill="1" applyBorder="1" applyAlignment="1">
      <alignment horizontal="right" vertical="center" wrapText="1"/>
    </xf>
    <xf numFmtId="1" fontId="1" fillId="2" borderId="17" xfId="0" applyNumberFormat="1" applyFont="1" applyFill="1" applyBorder="1" applyAlignment="1">
      <alignment horizontal="right" vertical="center" wrapText="1"/>
    </xf>
    <xf numFmtId="1" fontId="1" fillId="2" borderId="16" xfId="0" applyNumberFormat="1" applyFont="1" applyFill="1" applyBorder="1" applyAlignment="1">
      <alignment horizontal="right" vertical="center" wrapText="1"/>
    </xf>
    <xf numFmtId="1" fontId="1" fillId="2" borderId="18" xfId="0" applyNumberFormat="1" applyFont="1" applyFill="1" applyBorder="1" applyAlignment="1">
      <alignment horizontal="right" vertical="center" wrapText="1"/>
    </xf>
    <xf numFmtId="164" fontId="1" fillId="2" borderId="8" xfId="0" applyNumberFormat="1" applyFont="1" applyFill="1" applyBorder="1" applyAlignment="1">
      <alignment horizontal="right" vertical="center" wrapText="1"/>
    </xf>
    <xf numFmtId="164" fontId="1" fillId="2" borderId="7" xfId="0" applyNumberFormat="1" applyFont="1" applyFill="1" applyBorder="1" applyAlignment="1">
      <alignment horizontal="right" vertical="center" wrapText="1"/>
    </xf>
    <xf numFmtId="164" fontId="1" fillId="2" borderId="9" xfId="0" applyNumberFormat="1" applyFont="1" applyFill="1" applyBorder="1" applyAlignment="1">
      <alignment horizontal="right" vertical="center" wrapText="1"/>
    </xf>
    <xf numFmtId="164" fontId="1" fillId="2" borderId="3" xfId="0" applyNumberFormat="1" applyFont="1" applyFill="1" applyBorder="1" applyAlignment="1">
      <alignment horizontal="right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13" xfId="0" applyNumberFormat="1" applyFont="1" applyFill="1" applyBorder="1" applyAlignment="1">
      <alignment horizontal="right" vertical="center" wrapText="1"/>
    </xf>
    <xf numFmtId="164" fontId="1" fillId="2" borderId="17" xfId="0" applyNumberFormat="1" applyFont="1" applyFill="1" applyBorder="1" applyAlignment="1">
      <alignment horizontal="right" vertical="center" wrapText="1"/>
    </xf>
    <xf numFmtId="164" fontId="1" fillId="2" borderId="16" xfId="0" applyNumberFormat="1" applyFont="1" applyFill="1" applyBorder="1" applyAlignment="1">
      <alignment horizontal="right" vertical="center" wrapText="1"/>
    </xf>
    <xf numFmtId="164" fontId="1" fillId="2" borderId="18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164" fontId="1" fillId="2" borderId="11" xfId="0" applyNumberFormat="1" applyFont="1" applyFill="1" applyBorder="1" applyAlignment="1">
      <alignment horizontal="right" vertical="center" wrapText="1"/>
    </xf>
    <xf numFmtId="164" fontId="1" fillId="2" borderId="20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1" fillId="2" borderId="48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4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Border="1" applyAlignment="1">
      <alignment horizontal="center" vertical="center" wrapText="1"/>
    </xf>
    <xf numFmtId="164" fontId="15" fillId="2" borderId="17" xfId="0" applyNumberFormat="1" applyFont="1" applyFill="1" applyBorder="1" applyAlignment="1">
      <alignment horizontal="center" vertical="center" wrapText="1"/>
    </xf>
    <xf numFmtId="164" fontId="15" fillId="2" borderId="18" xfId="0" applyNumberFormat="1" applyFont="1" applyFill="1" applyBorder="1" applyAlignment="1">
      <alignment horizontal="center" vertical="center" wrapText="1"/>
    </xf>
    <xf numFmtId="164" fontId="1" fillId="2" borderId="17" xfId="0" applyNumberFormat="1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 applyProtection="1">
      <alignment horizontal="center" vertical="center" wrapText="1"/>
      <protection locked="0"/>
    </xf>
    <xf numFmtId="0" fontId="1" fillId="2" borderId="51" xfId="0" applyFont="1" applyFill="1" applyBorder="1" applyAlignment="1" applyProtection="1">
      <alignment horizontal="center" vertical="center" wrapText="1"/>
      <protection locked="0"/>
    </xf>
    <xf numFmtId="0" fontId="1" fillId="2" borderId="37" xfId="0" applyFont="1" applyFill="1" applyBorder="1" applyAlignment="1" applyProtection="1">
      <alignment horizontal="center" vertical="center" wrapText="1"/>
      <protection locked="0"/>
    </xf>
    <xf numFmtId="0" fontId="1" fillId="2" borderId="38" xfId="0" applyFont="1" applyFill="1" applyBorder="1" applyAlignment="1" applyProtection="1">
      <alignment horizontal="center" vertical="center" wrapText="1"/>
      <protection locked="0"/>
    </xf>
    <xf numFmtId="49" fontId="14" fillId="2" borderId="0" xfId="0" quotePrefix="1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0" quotePrefix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3" xfId="1" xr:uid="{00000000-0005-0000-0000-000001000000}"/>
  </cellStyles>
  <dxfs count="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8"/>
  <sheetViews>
    <sheetView tabSelected="1" view="pageBreakPreview" zoomScaleNormal="100" zoomScaleSheetLayoutView="100" workbookViewId="0">
      <selection activeCell="A8" sqref="A8"/>
    </sheetView>
  </sheetViews>
  <sheetFormatPr defaultColWidth="9.140625" defaultRowHeight="15.75" customHeight="1"/>
  <cols>
    <col min="1" max="3" width="14" style="55" customWidth="1"/>
    <col min="4" max="15" width="10.7109375" style="55" customWidth="1"/>
    <col min="16" max="16384" width="9.140625" style="55"/>
  </cols>
  <sheetData>
    <row r="1" spans="1:15" ht="15.75" customHeight="1">
      <c r="A1" s="190" t="s">
        <v>10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1" t="s">
        <v>26</v>
      </c>
      <c r="O1" s="191"/>
    </row>
    <row r="2" spans="1:15" ht="15.75" customHeight="1">
      <c r="A2" s="193" t="s">
        <v>11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2" t="s">
        <v>27</v>
      </c>
      <c r="O2" s="192"/>
    </row>
    <row r="3" spans="1:15" ht="15.75" customHeight="1" thickBo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56" t="s">
        <v>20</v>
      </c>
      <c r="O3" s="57" t="s">
        <v>144</v>
      </c>
    </row>
    <row r="4" spans="1:15" s="28" customFormat="1" ht="23.25" customHeight="1">
      <c r="A4" s="58" t="s">
        <v>1</v>
      </c>
      <c r="B4" s="124"/>
      <c r="C4" s="125"/>
      <c r="D4" s="124" t="s">
        <v>3</v>
      </c>
      <c r="E4" s="128"/>
      <c r="F4" s="124"/>
      <c r="G4" s="125"/>
      <c r="H4" s="128"/>
      <c r="I4" s="59" t="s">
        <v>5</v>
      </c>
      <c r="J4" s="124"/>
      <c r="K4" s="128"/>
      <c r="L4" s="200" t="s">
        <v>7</v>
      </c>
      <c r="M4" s="201"/>
      <c r="N4" s="124"/>
      <c r="O4" s="202"/>
    </row>
    <row r="5" spans="1:15" s="28" customFormat="1" ht="23.25" customHeight="1">
      <c r="A5" s="60" t="s">
        <v>2</v>
      </c>
      <c r="B5" s="126"/>
      <c r="C5" s="127"/>
      <c r="D5" s="126" t="s">
        <v>4</v>
      </c>
      <c r="E5" s="129"/>
      <c r="F5" s="126"/>
      <c r="G5" s="127"/>
      <c r="H5" s="129"/>
      <c r="I5" s="61" t="s">
        <v>6</v>
      </c>
      <c r="J5" s="203"/>
      <c r="K5" s="204"/>
      <c r="L5" s="205" t="s">
        <v>8</v>
      </c>
      <c r="M5" s="206"/>
      <c r="N5" s="126"/>
      <c r="O5" s="207"/>
    </row>
    <row r="6" spans="1:15" ht="15.75" customHeight="1" thickBot="1">
      <c r="A6" s="214" t="s">
        <v>29</v>
      </c>
      <c r="B6" s="211"/>
      <c r="C6" s="211"/>
      <c r="D6" s="211"/>
      <c r="E6" s="211"/>
      <c r="F6" s="211"/>
      <c r="G6" s="208"/>
      <c r="H6" s="209"/>
      <c r="I6" s="210"/>
      <c r="J6" s="211"/>
      <c r="K6" s="211"/>
      <c r="L6" s="211"/>
      <c r="M6" s="208"/>
      <c r="N6" s="209"/>
      <c r="O6" s="212"/>
    </row>
    <row r="7" spans="1:15" s="62" customFormat="1" ht="56.25" customHeight="1" thickBot="1">
      <c r="A7" s="198" t="s">
        <v>0</v>
      </c>
      <c r="B7" s="199"/>
      <c r="C7" s="199"/>
      <c r="D7" s="195" t="s">
        <v>32</v>
      </c>
      <c r="E7" s="196"/>
      <c r="F7" s="197"/>
      <c r="G7" s="195" t="s">
        <v>30</v>
      </c>
      <c r="H7" s="196"/>
      <c r="I7" s="197"/>
      <c r="J7" s="199" t="s">
        <v>31</v>
      </c>
      <c r="K7" s="199"/>
      <c r="L7" s="199"/>
      <c r="M7" s="195" t="s">
        <v>9</v>
      </c>
      <c r="N7" s="196"/>
      <c r="O7" s="217"/>
    </row>
    <row r="8" spans="1:15" ht="19.5" customHeight="1">
      <c r="A8" s="63"/>
      <c r="B8" s="64"/>
      <c r="C8" s="64"/>
      <c r="D8" s="139"/>
      <c r="E8" s="140"/>
      <c r="F8" s="215"/>
      <c r="G8" s="133"/>
      <c r="H8" s="134"/>
      <c r="I8" s="135"/>
      <c r="J8" s="136"/>
      <c r="K8" s="137"/>
      <c r="L8" s="138"/>
      <c r="M8" s="139"/>
      <c r="N8" s="140"/>
      <c r="O8" s="141"/>
    </row>
    <row r="9" spans="1:15" ht="19.5" customHeight="1">
      <c r="A9" s="63"/>
      <c r="B9" s="64"/>
      <c r="C9" s="64"/>
      <c r="D9" s="148"/>
      <c r="E9" s="149"/>
      <c r="F9" s="216"/>
      <c r="G9" s="142"/>
      <c r="H9" s="143"/>
      <c r="I9" s="144"/>
      <c r="J9" s="145"/>
      <c r="K9" s="146"/>
      <c r="L9" s="147"/>
      <c r="M9" s="148"/>
      <c r="N9" s="149"/>
      <c r="O9" s="150"/>
    </row>
    <row r="10" spans="1:15" ht="19.5" customHeight="1">
      <c r="A10" s="63"/>
      <c r="B10" s="64"/>
      <c r="C10" s="64"/>
      <c r="D10" s="139"/>
      <c r="E10" s="140"/>
      <c r="F10" s="215"/>
      <c r="G10" s="133"/>
      <c r="H10" s="134"/>
      <c r="I10" s="135"/>
      <c r="J10" s="136"/>
      <c r="K10" s="137"/>
      <c r="L10" s="138"/>
      <c r="M10" s="139"/>
      <c r="N10" s="140"/>
      <c r="O10" s="141"/>
    </row>
    <row r="11" spans="1:15" ht="19.5" customHeight="1">
      <c r="A11" s="65"/>
      <c r="B11" s="64"/>
      <c r="C11" s="64"/>
      <c r="D11" s="139"/>
      <c r="E11" s="140"/>
      <c r="F11" s="215"/>
      <c r="G11" s="133"/>
      <c r="H11" s="134"/>
      <c r="I11" s="135"/>
      <c r="J11" s="136"/>
      <c r="K11" s="137"/>
      <c r="L11" s="138"/>
      <c r="M11" s="139"/>
      <c r="N11" s="140"/>
      <c r="O11" s="141"/>
    </row>
    <row r="12" spans="1:15" ht="19.5" customHeight="1">
      <c r="A12" s="66"/>
      <c r="B12" s="67"/>
      <c r="C12" s="67"/>
      <c r="D12" s="148"/>
      <c r="E12" s="149"/>
      <c r="F12" s="216"/>
      <c r="G12" s="142"/>
      <c r="H12" s="143"/>
      <c r="I12" s="144"/>
      <c r="J12" s="145"/>
      <c r="K12" s="146"/>
      <c r="L12" s="147"/>
      <c r="M12" s="148"/>
      <c r="N12" s="149"/>
      <c r="O12" s="150"/>
    </row>
    <row r="13" spans="1:15" ht="19.5" customHeight="1">
      <c r="A13" s="63"/>
      <c r="B13" s="64"/>
      <c r="C13" s="64"/>
      <c r="D13" s="139"/>
      <c r="E13" s="140"/>
      <c r="F13" s="215"/>
      <c r="G13" s="133"/>
      <c r="H13" s="134"/>
      <c r="I13" s="135"/>
      <c r="J13" s="136"/>
      <c r="K13" s="137"/>
      <c r="L13" s="138"/>
      <c r="M13" s="139"/>
      <c r="N13" s="140"/>
      <c r="O13" s="141"/>
    </row>
    <row r="14" spans="1:15" ht="19.5" customHeight="1">
      <c r="A14" s="63"/>
      <c r="B14" s="64"/>
      <c r="C14" s="64"/>
      <c r="D14" s="139"/>
      <c r="E14" s="140"/>
      <c r="F14" s="215"/>
      <c r="G14" s="133"/>
      <c r="H14" s="134"/>
      <c r="I14" s="135"/>
      <c r="J14" s="136"/>
      <c r="K14" s="137"/>
      <c r="L14" s="138"/>
      <c r="M14" s="139"/>
      <c r="N14" s="140"/>
      <c r="O14" s="141"/>
    </row>
    <row r="15" spans="1:15" ht="19.5" customHeight="1">
      <c r="A15" s="63"/>
      <c r="B15" s="64"/>
      <c r="C15" s="64"/>
      <c r="D15" s="139"/>
      <c r="E15" s="140"/>
      <c r="F15" s="215"/>
      <c r="G15" s="133"/>
      <c r="H15" s="134"/>
      <c r="I15" s="135"/>
      <c r="J15" s="136"/>
      <c r="K15" s="137"/>
      <c r="L15" s="138"/>
      <c r="M15" s="139"/>
      <c r="N15" s="140"/>
      <c r="O15" s="141"/>
    </row>
    <row r="16" spans="1:15" ht="19.5" customHeight="1">
      <c r="A16" s="63"/>
      <c r="B16" s="64"/>
      <c r="C16" s="64"/>
      <c r="D16" s="148"/>
      <c r="E16" s="149"/>
      <c r="F16" s="216"/>
      <c r="G16" s="142"/>
      <c r="H16" s="143"/>
      <c r="I16" s="144"/>
      <c r="J16" s="145"/>
      <c r="K16" s="146"/>
      <c r="L16" s="147"/>
      <c r="M16" s="148"/>
      <c r="N16" s="149"/>
      <c r="O16" s="150"/>
    </row>
    <row r="17" spans="1:15" ht="19.5" customHeight="1">
      <c r="A17" s="63"/>
      <c r="B17" s="64"/>
      <c r="C17" s="64"/>
      <c r="D17" s="139"/>
      <c r="E17" s="140"/>
      <c r="F17" s="215"/>
      <c r="G17" s="133"/>
      <c r="H17" s="134"/>
      <c r="I17" s="135"/>
      <c r="J17" s="136"/>
      <c r="K17" s="137"/>
      <c r="L17" s="138"/>
      <c r="M17" s="139"/>
      <c r="N17" s="140"/>
      <c r="O17" s="141"/>
    </row>
    <row r="18" spans="1:15" ht="19.5" customHeight="1">
      <c r="A18" s="63"/>
      <c r="B18" s="64"/>
      <c r="C18" s="64"/>
      <c r="D18" s="139"/>
      <c r="E18" s="140"/>
      <c r="F18" s="215"/>
      <c r="G18" s="133"/>
      <c r="H18" s="134"/>
      <c r="I18" s="135"/>
      <c r="J18" s="136"/>
      <c r="K18" s="137"/>
      <c r="L18" s="138"/>
      <c r="M18" s="139"/>
      <c r="N18" s="140"/>
      <c r="O18" s="141"/>
    </row>
    <row r="19" spans="1:15" ht="19.5" customHeight="1">
      <c r="A19" s="63"/>
      <c r="B19" s="64"/>
      <c r="C19" s="64"/>
      <c r="D19" s="148"/>
      <c r="E19" s="149"/>
      <c r="F19" s="216"/>
      <c r="G19" s="142"/>
      <c r="H19" s="143"/>
      <c r="I19" s="144"/>
      <c r="J19" s="145"/>
      <c r="K19" s="146"/>
      <c r="L19" s="147"/>
      <c r="M19" s="148"/>
      <c r="N19" s="149"/>
      <c r="O19" s="150"/>
    </row>
    <row r="20" spans="1:15" ht="19.5" customHeight="1">
      <c r="A20" s="63"/>
      <c r="B20" s="64"/>
      <c r="C20" s="64"/>
      <c r="D20" s="139"/>
      <c r="E20" s="140"/>
      <c r="F20" s="215"/>
      <c r="G20" s="133"/>
      <c r="H20" s="134"/>
      <c r="I20" s="135"/>
      <c r="J20" s="136"/>
      <c r="K20" s="137"/>
      <c r="L20" s="138"/>
      <c r="M20" s="139"/>
      <c r="N20" s="140"/>
      <c r="O20" s="141"/>
    </row>
    <row r="21" spans="1:15" ht="19.5" customHeight="1">
      <c r="A21" s="63"/>
      <c r="B21" s="64"/>
      <c r="C21" s="64"/>
      <c r="D21" s="139"/>
      <c r="E21" s="140"/>
      <c r="F21" s="215"/>
      <c r="G21" s="133"/>
      <c r="H21" s="134"/>
      <c r="I21" s="135"/>
      <c r="J21" s="136"/>
      <c r="K21" s="137"/>
      <c r="L21" s="138"/>
      <c r="M21" s="139"/>
      <c r="N21" s="140"/>
      <c r="O21" s="141"/>
    </row>
    <row r="22" spans="1:15" ht="19.5" customHeight="1">
      <c r="A22" s="63"/>
      <c r="B22" s="64"/>
      <c r="C22" s="64"/>
      <c r="D22" s="148"/>
      <c r="E22" s="149"/>
      <c r="F22" s="216"/>
      <c r="G22" s="142"/>
      <c r="H22" s="143"/>
      <c r="I22" s="144"/>
      <c r="J22" s="145"/>
      <c r="K22" s="146"/>
      <c r="L22" s="147"/>
      <c r="M22" s="148"/>
      <c r="N22" s="149"/>
      <c r="O22" s="150"/>
    </row>
    <row r="23" spans="1:15" ht="19.5" customHeight="1">
      <c r="A23" s="63"/>
      <c r="B23" s="64"/>
      <c r="C23" s="64"/>
      <c r="D23" s="139"/>
      <c r="E23" s="140"/>
      <c r="F23" s="215"/>
      <c r="G23" s="133"/>
      <c r="H23" s="134"/>
      <c r="I23" s="135"/>
      <c r="J23" s="136"/>
      <c r="K23" s="137"/>
      <c r="L23" s="138"/>
      <c r="M23" s="139"/>
      <c r="N23" s="140"/>
      <c r="O23" s="141"/>
    </row>
    <row r="24" spans="1:15" ht="19.5" customHeight="1">
      <c r="A24" s="65"/>
      <c r="B24" s="64"/>
      <c r="C24" s="64"/>
      <c r="D24" s="139"/>
      <c r="E24" s="140"/>
      <c r="F24" s="215"/>
      <c r="G24" s="133"/>
      <c r="H24" s="134"/>
      <c r="I24" s="135"/>
      <c r="J24" s="136"/>
      <c r="K24" s="137"/>
      <c r="L24" s="138"/>
      <c r="M24" s="139"/>
      <c r="N24" s="140"/>
      <c r="O24" s="141"/>
    </row>
    <row r="25" spans="1:15" ht="19.5" customHeight="1">
      <c r="A25" s="66"/>
      <c r="B25" s="67"/>
      <c r="C25" s="67"/>
      <c r="D25" s="148"/>
      <c r="E25" s="149"/>
      <c r="F25" s="216"/>
      <c r="G25" s="142"/>
      <c r="H25" s="143"/>
      <c r="I25" s="144"/>
      <c r="J25" s="145"/>
      <c r="K25" s="146"/>
      <c r="L25" s="147"/>
      <c r="M25" s="148"/>
      <c r="N25" s="149"/>
      <c r="O25" s="150"/>
    </row>
    <row r="26" spans="1:15" ht="19.5" customHeight="1">
      <c r="A26" s="63"/>
      <c r="B26" s="64"/>
      <c r="C26" s="64"/>
      <c r="D26" s="139"/>
      <c r="E26" s="140"/>
      <c r="F26" s="215"/>
      <c r="G26" s="133"/>
      <c r="H26" s="134"/>
      <c r="I26" s="135"/>
      <c r="J26" s="136"/>
      <c r="K26" s="137"/>
      <c r="L26" s="138"/>
      <c r="M26" s="139"/>
      <c r="N26" s="140"/>
      <c r="O26" s="141"/>
    </row>
    <row r="27" spans="1:15" ht="19.5" customHeight="1">
      <c r="A27" s="63"/>
      <c r="B27" s="64"/>
      <c r="C27" s="64"/>
      <c r="D27" s="139"/>
      <c r="E27" s="140"/>
      <c r="F27" s="215"/>
      <c r="G27" s="133"/>
      <c r="H27" s="134"/>
      <c r="I27" s="135"/>
      <c r="J27" s="136"/>
      <c r="K27" s="137"/>
      <c r="L27" s="138"/>
      <c r="M27" s="139"/>
      <c r="N27" s="140"/>
      <c r="O27" s="141"/>
    </row>
    <row r="28" spans="1:15" ht="19.5" customHeight="1">
      <c r="A28" s="63"/>
      <c r="B28" s="64"/>
      <c r="C28" s="64"/>
      <c r="D28" s="139"/>
      <c r="E28" s="140"/>
      <c r="F28" s="215"/>
      <c r="G28" s="133"/>
      <c r="H28" s="134"/>
      <c r="I28" s="135"/>
      <c r="J28" s="136"/>
      <c r="K28" s="137"/>
      <c r="L28" s="138"/>
      <c r="M28" s="139"/>
      <c r="N28" s="140"/>
      <c r="O28" s="141"/>
    </row>
    <row r="29" spans="1:15" ht="19.5" customHeight="1">
      <c r="A29" s="63"/>
      <c r="B29" s="64"/>
      <c r="C29" s="64"/>
      <c r="D29" s="148"/>
      <c r="E29" s="149"/>
      <c r="F29" s="216"/>
      <c r="G29" s="142"/>
      <c r="H29" s="143"/>
      <c r="I29" s="144"/>
      <c r="J29" s="145"/>
      <c r="K29" s="146"/>
      <c r="L29" s="147"/>
      <c r="M29" s="148"/>
      <c r="N29" s="149"/>
      <c r="O29" s="150"/>
    </row>
    <row r="30" spans="1:15" ht="19.5" customHeight="1">
      <c r="A30" s="63"/>
      <c r="B30" s="64"/>
      <c r="C30" s="64"/>
      <c r="D30" s="139"/>
      <c r="E30" s="140"/>
      <c r="F30" s="215"/>
      <c r="G30" s="133"/>
      <c r="H30" s="134"/>
      <c r="I30" s="135"/>
      <c r="J30" s="136"/>
      <c r="K30" s="137"/>
      <c r="L30" s="138"/>
      <c r="M30" s="139"/>
      <c r="N30" s="140"/>
      <c r="O30" s="141"/>
    </row>
    <row r="31" spans="1:15" ht="19.5" customHeight="1">
      <c r="A31" s="63"/>
      <c r="B31" s="64"/>
      <c r="C31" s="64"/>
      <c r="D31" s="139"/>
      <c r="E31" s="140"/>
      <c r="F31" s="215"/>
      <c r="G31" s="133"/>
      <c r="H31" s="134"/>
      <c r="I31" s="135"/>
      <c r="J31" s="136"/>
      <c r="K31" s="137"/>
      <c r="L31" s="138"/>
      <c r="M31" s="139"/>
      <c r="N31" s="140"/>
      <c r="O31" s="141"/>
    </row>
    <row r="32" spans="1:15" ht="19.5" customHeight="1">
      <c r="A32" s="63"/>
      <c r="B32" s="64"/>
      <c r="C32" s="64"/>
      <c r="D32" s="148"/>
      <c r="E32" s="149"/>
      <c r="F32" s="216"/>
      <c r="G32" s="142"/>
      <c r="H32" s="143"/>
      <c r="I32" s="144"/>
      <c r="J32" s="145"/>
      <c r="K32" s="146"/>
      <c r="L32" s="147"/>
      <c r="M32" s="148"/>
      <c r="N32" s="149"/>
      <c r="O32" s="150"/>
    </row>
    <row r="33" spans="1:15" ht="19.5" customHeight="1">
      <c r="A33" s="63"/>
      <c r="B33" s="64"/>
      <c r="C33" s="64"/>
      <c r="D33" s="139"/>
      <c r="E33" s="140"/>
      <c r="F33" s="215"/>
      <c r="G33" s="133"/>
      <c r="H33" s="134"/>
      <c r="I33" s="135"/>
      <c r="J33" s="136"/>
      <c r="K33" s="137"/>
      <c r="L33" s="138"/>
      <c r="M33" s="139"/>
      <c r="N33" s="140"/>
      <c r="O33" s="141"/>
    </row>
    <row r="34" spans="1:15" ht="19.5" customHeight="1">
      <c r="A34" s="63"/>
      <c r="B34" s="64"/>
      <c r="C34" s="64"/>
      <c r="D34" s="139"/>
      <c r="E34" s="140"/>
      <c r="F34" s="215"/>
      <c r="G34" s="133"/>
      <c r="H34" s="134"/>
      <c r="I34" s="135"/>
      <c r="J34" s="136"/>
      <c r="K34" s="137"/>
      <c r="L34" s="138"/>
      <c r="M34" s="139"/>
      <c r="N34" s="140"/>
      <c r="O34" s="141"/>
    </row>
    <row r="35" spans="1:15" ht="19.5" customHeight="1">
      <c r="A35" s="63"/>
      <c r="B35" s="64"/>
      <c r="C35" s="64"/>
      <c r="D35" s="148"/>
      <c r="E35" s="149"/>
      <c r="F35" s="216"/>
      <c r="G35" s="142"/>
      <c r="H35" s="143"/>
      <c r="I35" s="144"/>
      <c r="J35" s="145"/>
      <c r="K35" s="146"/>
      <c r="L35" s="147"/>
      <c r="M35" s="148"/>
      <c r="N35" s="149"/>
      <c r="O35" s="150"/>
    </row>
    <row r="36" spans="1:15" ht="19.5" customHeight="1">
      <c r="A36" s="63"/>
      <c r="B36" s="64"/>
      <c r="C36" s="64"/>
      <c r="D36" s="139"/>
      <c r="E36" s="140"/>
      <c r="F36" s="215"/>
      <c r="G36" s="133"/>
      <c r="H36" s="134"/>
      <c r="I36" s="135"/>
      <c r="J36" s="136"/>
      <c r="K36" s="137"/>
      <c r="L36" s="138"/>
      <c r="M36" s="139"/>
      <c r="N36" s="140"/>
      <c r="O36" s="141"/>
    </row>
    <row r="37" spans="1:15" ht="19.5" customHeight="1" thickBot="1">
      <c r="A37" s="63"/>
      <c r="B37" s="64"/>
      <c r="C37" s="64"/>
      <c r="D37" s="158"/>
      <c r="E37" s="159"/>
      <c r="F37" s="188"/>
      <c r="G37" s="152"/>
      <c r="H37" s="153"/>
      <c r="I37" s="154"/>
      <c r="J37" s="155"/>
      <c r="K37" s="156"/>
      <c r="L37" s="157"/>
      <c r="M37" s="158"/>
      <c r="N37" s="159"/>
      <c r="O37" s="160"/>
    </row>
    <row r="38" spans="1:15" ht="19.5" customHeight="1">
      <c r="A38" s="41"/>
      <c r="B38" s="42"/>
      <c r="C38" s="42" t="s">
        <v>23</v>
      </c>
      <c r="D38" s="165" t="e">
        <f>AVERAGE(D8:F37)</f>
        <v>#DIV/0!</v>
      </c>
      <c r="E38" s="166"/>
      <c r="F38" s="213"/>
      <c r="G38" s="161" t="e">
        <f>AVERAGE(G8:I37)</f>
        <v>#DIV/0!</v>
      </c>
      <c r="H38" s="162"/>
      <c r="I38" s="163"/>
      <c r="J38" s="164" t="e">
        <f>AVERAGE(J8:L37)</f>
        <v>#DIV/0!</v>
      </c>
      <c r="K38" s="164"/>
      <c r="L38" s="164"/>
      <c r="M38" s="165" t="e">
        <f>AVERAGE(M8:O37)</f>
        <v>#DIV/0!</v>
      </c>
      <c r="N38" s="166"/>
      <c r="O38" s="167"/>
    </row>
    <row r="39" spans="1:15" ht="19.5" customHeight="1">
      <c r="A39" s="44"/>
      <c r="B39" s="45"/>
      <c r="C39" s="39" t="s">
        <v>24</v>
      </c>
      <c r="D39" s="172">
        <f>MIN(D8:F37)</f>
        <v>0</v>
      </c>
      <c r="E39" s="173"/>
      <c r="F39" s="174"/>
      <c r="G39" s="175">
        <f>MIN(G8:I37)</f>
        <v>0</v>
      </c>
      <c r="H39" s="176"/>
      <c r="I39" s="177"/>
      <c r="J39" s="178">
        <f>MIN(J8:L37)</f>
        <v>0</v>
      </c>
      <c r="K39" s="178"/>
      <c r="L39" s="178"/>
      <c r="M39" s="172">
        <f>MIN(M8:O37)</f>
        <v>0</v>
      </c>
      <c r="N39" s="173"/>
      <c r="O39" s="187"/>
    </row>
    <row r="40" spans="1:15" ht="19.5" customHeight="1" thickBot="1">
      <c r="A40" s="46"/>
      <c r="B40" s="47"/>
      <c r="C40" s="48" t="s">
        <v>25</v>
      </c>
      <c r="D40" s="179">
        <f>MAX(D8:F37)</f>
        <v>0</v>
      </c>
      <c r="E40" s="180"/>
      <c r="F40" s="181"/>
      <c r="G40" s="182">
        <f>MAX(G8:I37)</f>
        <v>0</v>
      </c>
      <c r="H40" s="183"/>
      <c r="I40" s="184"/>
      <c r="J40" s="185">
        <f>MAX(J8:L37)</f>
        <v>0</v>
      </c>
      <c r="K40" s="185"/>
      <c r="L40" s="185"/>
      <c r="M40" s="179">
        <f>MAX(M8:O37)</f>
        <v>0</v>
      </c>
      <c r="N40" s="180"/>
      <c r="O40" s="186"/>
    </row>
    <row r="41" spans="1:15" s="53" customFormat="1" ht="16.5" customHeight="1">
      <c r="A41" s="49" t="s">
        <v>12</v>
      </c>
      <c r="B41" s="168"/>
      <c r="C41" s="168"/>
      <c r="D41" s="169" t="s">
        <v>14</v>
      </c>
      <c r="E41" s="169"/>
      <c r="F41" s="50"/>
      <c r="G41" s="51"/>
      <c r="H41" s="51"/>
      <c r="I41" s="51"/>
      <c r="J41" s="170" t="s">
        <v>15</v>
      </c>
      <c r="K41" s="170"/>
      <c r="L41" s="171"/>
      <c r="M41" s="171"/>
      <c r="N41" s="171"/>
      <c r="O41" s="26" t="s">
        <v>16</v>
      </c>
    </row>
    <row r="42" spans="1:15" s="53" customFormat="1" ht="16.5" customHeight="1">
      <c r="A42" s="49"/>
      <c r="B42" s="130"/>
      <c r="C42" s="130"/>
      <c r="D42" s="26"/>
      <c r="E42" s="26"/>
      <c r="F42" s="49"/>
      <c r="G42" s="51"/>
      <c r="H42" s="51"/>
      <c r="I42" s="51"/>
      <c r="J42" s="51"/>
      <c r="K42" s="26"/>
      <c r="L42" s="131" t="s">
        <v>144</v>
      </c>
      <c r="M42" s="131"/>
      <c r="N42" s="131"/>
      <c r="O42" s="26"/>
    </row>
    <row r="43" spans="1:15" s="43" customFormat="1" ht="16.5" customHeight="1">
      <c r="A43" s="132" t="s">
        <v>13</v>
      </c>
      <c r="B43" s="132"/>
      <c r="C43" s="132"/>
      <c r="D43" s="51"/>
      <c r="E43" s="51"/>
      <c r="F43" s="49" t="s">
        <v>116</v>
      </c>
      <c r="G43" s="132" t="s">
        <v>143</v>
      </c>
      <c r="H43" s="132"/>
      <c r="I43" s="132"/>
      <c r="J43" s="132"/>
      <c r="L43" s="51"/>
      <c r="M43" s="51"/>
      <c r="N43" s="51"/>
      <c r="O43" s="51"/>
    </row>
    <row r="44" spans="1:15" s="53" customFormat="1" ht="16.5" customHeight="1">
      <c r="A44" s="132" t="s">
        <v>21</v>
      </c>
      <c r="B44" s="132"/>
      <c r="C44" s="49"/>
      <c r="D44" s="51"/>
      <c r="E44" s="51"/>
      <c r="F44" s="51"/>
      <c r="G44" s="51"/>
      <c r="H44" s="51"/>
      <c r="I44" s="51"/>
      <c r="J44" s="51"/>
      <c r="K44" s="51"/>
      <c r="L44" s="51"/>
      <c r="M44" s="151" t="s">
        <v>111</v>
      </c>
      <c r="N44" s="151"/>
      <c r="O44" s="51"/>
    </row>
    <row r="47" spans="1:15" ht="15.75" customHeight="1">
      <c r="B47" s="68"/>
    </row>
    <row r="51" spans="13:14" ht="15.75" customHeight="1">
      <c r="M51" s="69"/>
      <c r="N51" s="69"/>
    </row>
    <row r="75" spans="3:15" ht="15.75" customHeight="1">
      <c r="C75" s="189"/>
      <c r="D75" s="189"/>
      <c r="E75" s="62"/>
      <c r="I75" s="189"/>
      <c r="J75" s="189"/>
      <c r="K75" s="62"/>
      <c r="L75" s="189"/>
      <c r="M75" s="189"/>
      <c r="N75" s="189"/>
      <c r="O75" s="189"/>
    </row>
    <row r="76" spans="3:15" ht="15.75" customHeight="1">
      <c r="C76" s="189"/>
      <c r="D76" s="189"/>
      <c r="E76" s="189"/>
      <c r="F76" s="189"/>
      <c r="I76" s="189"/>
      <c r="J76" s="189"/>
      <c r="K76" s="62"/>
      <c r="L76" s="189"/>
      <c r="M76" s="189"/>
      <c r="N76" s="189"/>
      <c r="O76" s="189"/>
    </row>
    <row r="77" spans="3:15" ht="15.75" customHeight="1">
      <c r="C77" s="189"/>
      <c r="D77" s="189"/>
      <c r="E77" s="62"/>
      <c r="I77" s="189"/>
      <c r="J77" s="189"/>
      <c r="K77" s="62"/>
      <c r="L77" s="189"/>
      <c r="M77" s="189"/>
      <c r="N77" s="189"/>
      <c r="O77" s="189"/>
    </row>
    <row r="78" spans="3:15" ht="15.75" customHeight="1">
      <c r="C78" s="189"/>
      <c r="D78" s="189"/>
      <c r="E78" s="62"/>
    </row>
  </sheetData>
  <mergeCells count="178">
    <mergeCell ref="D17:F17"/>
    <mergeCell ref="D9:F9"/>
    <mergeCell ref="D8:F8"/>
    <mergeCell ref="D31:F31"/>
    <mergeCell ref="G31:I31"/>
    <mergeCell ref="D10:F10"/>
    <mergeCell ref="D14:F14"/>
    <mergeCell ref="D11:F11"/>
    <mergeCell ref="D13:F13"/>
    <mergeCell ref="D12:F12"/>
    <mergeCell ref="D15:F15"/>
    <mergeCell ref="G24:I24"/>
    <mergeCell ref="D21:F21"/>
    <mergeCell ref="D22:F22"/>
    <mergeCell ref="D16:F16"/>
    <mergeCell ref="D25:F25"/>
    <mergeCell ref="G13:I13"/>
    <mergeCell ref="G17:I17"/>
    <mergeCell ref="G26:I26"/>
    <mergeCell ref="M7:O7"/>
    <mergeCell ref="G8:I8"/>
    <mergeCell ref="J8:L8"/>
    <mergeCell ref="M8:O8"/>
    <mergeCell ref="D33:F33"/>
    <mergeCell ref="D32:F32"/>
    <mergeCell ref="J32:L32"/>
    <mergeCell ref="D28:F28"/>
    <mergeCell ref="D29:F29"/>
    <mergeCell ref="J19:L19"/>
    <mergeCell ref="D19:F19"/>
    <mergeCell ref="M19:O19"/>
    <mergeCell ref="G32:I32"/>
    <mergeCell ref="J29:L29"/>
    <mergeCell ref="G29:I29"/>
    <mergeCell ref="M29:O29"/>
    <mergeCell ref="J30:L30"/>
    <mergeCell ref="J20:L20"/>
    <mergeCell ref="G20:I20"/>
    <mergeCell ref="J23:L23"/>
    <mergeCell ref="J21:L21"/>
    <mergeCell ref="G22:I22"/>
    <mergeCell ref="G21:I21"/>
    <mergeCell ref="G19:I19"/>
    <mergeCell ref="D36:F36"/>
    <mergeCell ref="D35:F35"/>
    <mergeCell ref="D34:F34"/>
    <mergeCell ref="D24:F24"/>
    <mergeCell ref="D27:F27"/>
    <mergeCell ref="D26:F26"/>
    <mergeCell ref="G18:I18"/>
    <mergeCell ref="D30:F30"/>
    <mergeCell ref="D20:F20"/>
    <mergeCell ref="G23:I23"/>
    <mergeCell ref="D23:F23"/>
    <mergeCell ref="D18:F18"/>
    <mergeCell ref="C78:D78"/>
    <mergeCell ref="A1:M1"/>
    <mergeCell ref="N1:O1"/>
    <mergeCell ref="N2:O2"/>
    <mergeCell ref="A2:M3"/>
    <mergeCell ref="D7:F7"/>
    <mergeCell ref="A7:C7"/>
    <mergeCell ref="J4:K4"/>
    <mergeCell ref="L4:M4"/>
    <mergeCell ref="N4:O4"/>
    <mergeCell ref="J5:K5"/>
    <mergeCell ref="L5:M5"/>
    <mergeCell ref="N5:O5"/>
    <mergeCell ref="G6:I6"/>
    <mergeCell ref="J6:L6"/>
    <mergeCell ref="M6:O6"/>
    <mergeCell ref="G7:I7"/>
    <mergeCell ref="J7:L7"/>
    <mergeCell ref="M21:O21"/>
    <mergeCell ref="M22:O22"/>
    <mergeCell ref="D38:F38"/>
    <mergeCell ref="A6:C6"/>
    <mergeCell ref="D6:F6"/>
    <mergeCell ref="G28:I28"/>
    <mergeCell ref="L75:O75"/>
    <mergeCell ref="L76:O76"/>
    <mergeCell ref="L77:O77"/>
    <mergeCell ref="C76:F76"/>
    <mergeCell ref="C75:D75"/>
    <mergeCell ref="I75:J75"/>
    <mergeCell ref="I76:J76"/>
    <mergeCell ref="C77:D77"/>
    <mergeCell ref="I77:J77"/>
    <mergeCell ref="J9:L9"/>
    <mergeCell ref="M9:O9"/>
    <mergeCell ref="G10:I10"/>
    <mergeCell ref="J10:L10"/>
    <mergeCell ref="M10:O10"/>
    <mergeCell ref="G11:I11"/>
    <mergeCell ref="J11:L11"/>
    <mergeCell ref="M11:O11"/>
    <mergeCell ref="G12:I12"/>
    <mergeCell ref="J12:L12"/>
    <mergeCell ref="M12:O12"/>
    <mergeCell ref="G9:I9"/>
    <mergeCell ref="J13:L13"/>
    <mergeCell ref="M13:O13"/>
    <mergeCell ref="G14:I14"/>
    <mergeCell ref="J14:L14"/>
    <mergeCell ref="M14:O14"/>
    <mergeCell ref="G15:I15"/>
    <mergeCell ref="J15:L15"/>
    <mergeCell ref="M15:O15"/>
    <mergeCell ref="G16:I16"/>
    <mergeCell ref="J16:L16"/>
    <mergeCell ref="M16:O16"/>
    <mergeCell ref="J33:L33"/>
    <mergeCell ref="M33:O33"/>
    <mergeCell ref="G30:I30"/>
    <mergeCell ref="M28:O28"/>
    <mergeCell ref="M32:O32"/>
    <mergeCell ref="M31:O31"/>
    <mergeCell ref="J31:L31"/>
    <mergeCell ref="J17:L17"/>
    <mergeCell ref="M17:O17"/>
    <mergeCell ref="J24:L24"/>
    <mergeCell ref="M24:O24"/>
    <mergeCell ref="G25:I25"/>
    <mergeCell ref="J25:L25"/>
    <mergeCell ref="M25:O25"/>
    <mergeCell ref="M18:O18"/>
    <mergeCell ref="J18:L18"/>
    <mergeCell ref="J28:L28"/>
    <mergeCell ref="J22:L22"/>
    <mergeCell ref="M23:O23"/>
    <mergeCell ref="M20:O20"/>
    <mergeCell ref="M30:O30"/>
    <mergeCell ref="A44:B44"/>
    <mergeCell ref="M44:N44"/>
    <mergeCell ref="G43:J43"/>
    <mergeCell ref="G37:I37"/>
    <mergeCell ref="J37:L37"/>
    <mergeCell ref="M37:O37"/>
    <mergeCell ref="G38:I38"/>
    <mergeCell ref="J38:L38"/>
    <mergeCell ref="M38:O38"/>
    <mergeCell ref="B41:C41"/>
    <mergeCell ref="D41:E41"/>
    <mergeCell ref="J41:K41"/>
    <mergeCell ref="L41:N41"/>
    <mergeCell ref="D39:F39"/>
    <mergeCell ref="G39:I39"/>
    <mergeCell ref="J39:L39"/>
    <mergeCell ref="D40:F40"/>
    <mergeCell ref="G40:I40"/>
    <mergeCell ref="J40:L40"/>
    <mergeCell ref="M40:O40"/>
    <mergeCell ref="M39:O39"/>
    <mergeCell ref="D37:F37"/>
    <mergeCell ref="B4:C4"/>
    <mergeCell ref="B5:C5"/>
    <mergeCell ref="D4:E4"/>
    <mergeCell ref="D5:E5"/>
    <mergeCell ref="F4:H4"/>
    <mergeCell ref="F5:H5"/>
    <mergeCell ref="B42:C42"/>
    <mergeCell ref="L42:N42"/>
    <mergeCell ref="A43:C43"/>
    <mergeCell ref="G34:I34"/>
    <mergeCell ref="J34:L34"/>
    <mergeCell ref="M34:O34"/>
    <mergeCell ref="G35:I35"/>
    <mergeCell ref="J35:L35"/>
    <mergeCell ref="M35:O35"/>
    <mergeCell ref="G36:I36"/>
    <mergeCell ref="J36:L36"/>
    <mergeCell ref="M36:O36"/>
    <mergeCell ref="J26:L26"/>
    <mergeCell ref="M26:O26"/>
    <mergeCell ref="G27:I27"/>
    <mergeCell ref="J27:L27"/>
    <mergeCell ref="M27:O27"/>
    <mergeCell ref="G33:I33"/>
  </mergeCells>
  <phoneticPr fontId="12" type="noConversion"/>
  <conditionalFormatting sqref="D8:F37">
    <cfRule type="cellIs" dxfId="16" priority="1" operator="notBetween">
      <formula>16</formula>
      <formula>20</formula>
    </cfRule>
  </conditionalFormatting>
  <conditionalFormatting sqref="G8:I40">
    <cfRule type="cellIs" dxfId="15" priority="4" operator="notBetween">
      <formula>0.04</formula>
      <formula>0.065</formula>
    </cfRule>
  </conditionalFormatting>
  <conditionalFormatting sqref="J8:L40">
    <cfRule type="cellIs" dxfId="14" priority="3" operator="notBetween">
      <formula>45</formula>
      <formula>55</formula>
    </cfRule>
  </conditionalFormatting>
  <conditionalFormatting sqref="M8:O40">
    <cfRule type="cellIs" dxfId="13" priority="2" operator="notBetween">
      <formula>0.2</formula>
      <formula>0.6</formula>
    </cfRule>
  </conditionalFormatting>
  <printOptions horizontalCentered="1" verticalCentered="1"/>
  <pageMargins left="0.19685039370078741" right="0.19685039370078741" top="0.59055118110236227" bottom="0.19685039370078741" header="0.15748031496062992" footer="0.23622047244094491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9"/>
  <sheetViews>
    <sheetView view="pageBreakPreview" zoomScaleNormal="85" zoomScaleSheetLayoutView="100" workbookViewId="0">
      <selection activeCell="A9" sqref="A9"/>
    </sheetView>
  </sheetViews>
  <sheetFormatPr defaultColWidth="9.140625" defaultRowHeight="12.75"/>
  <cols>
    <col min="1" max="3" width="14" style="37" customWidth="1"/>
    <col min="4" max="15" width="14.28515625" style="37" customWidth="1"/>
    <col min="16" max="16384" width="9.140625" style="37"/>
  </cols>
  <sheetData>
    <row r="1" spans="1:15" s="24" customFormat="1" ht="15.75" customHeight="1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191" t="s">
        <v>26</v>
      </c>
      <c r="O1" s="191"/>
    </row>
    <row r="2" spans="1:15" s="24" customFormat="1" ht="15.75" customHeight="1">
      <c r="A2" s="253" t="s">
        <v>11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192" t="s">
        <v>27</v>
      </c>
      <c r="O2" s="192"/>
    </row>
    <row r="3" spans="1:15" s="24" customFormat="1" ht="16.5" thickBot="1">
      <c r="A3" s="253"/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" t="s">
        <v>19</v>
      </c>
      <c r="O3" s="26" t="s">
        <v>144</v>
      </c>
    </row>
    <row r="4" spans="1:15" s="28" customFormat="1" ht="23.25" customHeight="1">
      <c r="A4" s="27" t="s">
        <v>1</v>
      </c>
      <c r="B4" s="259">
        <f>Page1!B4</f>
        <v>0</v>
      </c>
      <c r="C4" s="260"/>
      <c r="D4" s="261"/>
      <c r="E4" s="262" t="s">
        <v>3</v>
      </c>
      <c r="F4" s="262"/>
      <c r="G4" s="263">
        <f>Page1!F4</f>
        <v>0</v>
      </c>
      <c r="H4" s="263"/>
      <c r="I4" s="119" t="s">
        <v>5</v>
      </c>
      <c r="J4" s="263">
        <f>Page1!J4</f>
        <v>0</v>
      </c>
      <c r="K4" s="263"/>
      <c r="L4" s="218" t="s">
        <v>7</v>
      </c>
      <c r="M4" s="219"/>
      <c r="N4" s="259">
        <f>Page1!N4</f>
        <v>0</v>
      </c>
      <c r="O4" s="264"/>
    </row>
    <row r="5" spans="1:15" s="28" customFormat="1" ht="23.25" customHeight="1">
      <c r="A5" s="29" t="s">
        <v>2</v>
      </c>
      <c r="B5" s="241">
        <f>Page1!B5</f>
        <v>0</v>
      </c>
      <c r="C5" s="241"/>
      <c r="D5" s="241"/>
      <c r="E5" s="249" t="s">
        <v>4</v>
      </c>
      <c r="F5" s="249"/>
      <c r="G5" s="241">
        <f>Page1!F5</f>
        <v>0</v>
      </c>
      <c r="H5" s="241"/>
      <c r="I5" s="120" t="s">
        <v>6</v>
      </c>
      <c r="J5" s="241">
        <f>Page1!J5</f>
        <v>0</v>
      </c>
      <c r="K5" s="241"/>
      <c r="L5" s="220" t="s">
        <v>8</v>
      </c>
      <c r="M5" s="221"/>
      <c r="N5" s="203">
        <f>Page1!N5</f>
        <v>0</v>
      </c>
      <c r="O5" s="248"/>
    </row>
    <row r="6" spans="1:15" s="30" customFormat="1" ht="15.75" customHeight="1" thickBot="1">
      <c r="A6" s="245" t="s">
        <v>29</v>
      </c>
      <c r="B6" s="246"/>
      <c r="C6" s="246"/>
      <c r="D6" s="246" t="s">
        <v>144</v>
      </c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7"/>
    </row>
    <row r="7" spans="1:15" s="30" customFormat="1" ht="15" customHeight="1">
      <c r="A7" s="242" t="s">
        <v>0</v>
      </c>
      <c r="B7" s="300"/>
      <c r="C7" s="243"/>
      <c r="D7" s="254" t="s">
        <v>17</v>
      </c>
      <c r="E7" s="254"/>
      <c r="F7" s="254"/>
      <c r="G7" s="254"/>
      <c r="H7" s="255" t="s">
        <v>36</v>
      </c>
      <c r="I7" s="256"/>
      <c r="J7" s="256"/>
      <c r="K7" s="257"/>
      <c r="L7" s="255" t="s">
        <v>39</v>
      </c>
      <c r="M7" s="256"/>
      <c r="N7" s="256"/>
      <c r="O7" s="258"/>
    </row>
    <row r="8" spans="1:15" s="30" customFormat="1" ht="15" customHeight="1" thickBot="1">
      <c r="A8" s="244"/>
      <c r="B8" s="209"/>
      <c r="C8" s="210"/>
      <c r="D8" s="121">
        <v>1</v>
      </c>
      <c r="E8" s="121">
        <v>2</v>
      </c>
      <c r="F8" s="121">
        <v>3</v>
      </c>
      <c r="G8" s="121" t="s">
        <v>33</v>
      </c>
      <c r="H8" s="123">
        <v>1</v>
      </c>
      <c r="I8" s="121">
        <v>2</v>
      </c>
      <c r="J8" s="121">
        <v>3</v>
      </c>
      <c r="K8" s="121" t="s">
        <v>33</v>
      </c>
      <c r="L8" s="121">
        <v>1</v>
      </c>
      <c r="M8" s="121">
        <v>2</v>
      </c>
      <c r="N8" s="121">
        <v>3</v>
      </c>
      <c r="O8" s="122" t="s">
        <v>33</v>
      </c>
    </row>
    <row r="9" spans="1:15" ht="19.5" customHeight="1">
      <c r="A9" s="31">
        <f>Page1!A8</f>
        <v>0</v>
      </c>
      <c r="B9" s="301">
        <f>Page1!B8</f>
        <v>0</v>
      </c>
      <c r="C9" s="301">
        <f>Page1!C8</f>
        <v>0</v>
      </c>
      <c r="D9" s="32"/>
      <c r="E9" s="32"/>
      <c r="F9" s="32"/>
      <c r="G9" s="33" t="e">
        <f>AVERAGE(D9:F9)</f>
        <v>#DIV/0!</v>
      </c>
      <c r="H9" s="34"/>
      <c r="I9" s="34"/>
      <c r="J9" s="34"/>
      <c r="K9" s="35" t="e">
        <f>AVERAGE(H9:J9)</f>
        <v>#DIV/0!</v>
      </c>
      <c r="L9" s="34"/>
      <c r="M9" s="34"/>
      <c r="N9" s="34"/>
      <c r="O9" s="36" t="e">
        <f>AVERAGE(L9:N9)</f>
        <v>#DIV/0!</v>
      </c>
    </row>
    <row r="10" spans="1:15" ht="19.5" customHeight="1">
      <c r="A10" s="38">
        <f>Page1!A9</f>
        <v>0</v>
      </c>
      <c r="B10" s="39">
        <f>Page1!B9</f>
        <v>0</v>
      </c>
      <c r="C10" s="40">
        <f>Page1!C9</f>
        <v>0</v>
      </c>
      <c r="D10" s="32"/>
      <c r="E10" s="32"/>
      <c r="F10" s="32"/>
      <c r="G10" s="33" t="e">
        <f t="shared" ref="G10:G38" si="0">AVERAGE(D10:F10)</f>
        <v>#DIV/0!</v>
      </c>
      <c r="H10" s="34"/>
      <c r="I10" s="34"/>
      <c r="J10" s="34"/>
      <c r="K10" s="35" t="e">
        <f t="shared" ref="K10:K38" si="1">AVERAGE(H10:J10)</f>
        <v>#DIV/0!</v>
      </c>
      <c r="L10" s="34"/>
      <c r="M10" s="34"/>
      <c r="N10" s="34"/>
      <c r="O10" s="36" t="e">
        <f t="shared" ref="O10:O38" si="2">AVERAGE(L10:N10)</f>
        <v>#DIV/0!</v>
      </c>
    </row>
    <row r="11" spans="1:15" ht="19.5" customHeight="1">
      <c r="A11" s="38">
        <f>Page1!A10</f>
        <v>0</v>
      </c>
      <c r="B11" s="39">
        <f>Page1!B10</f>
        <v>0</v>
      </c>
      <c r="C11" s="40">
        <f>Page1!C10</f>
        <v>0</v>
      </c>
      <c r="D11" s="32"/>
      <c r="E11" s="32"/>
      <c r="F11" s="32"/>
      <c r="G11" s="33" t="e">
        <f t="shared" si="0"/>
        <v>#DIV/0!</v>
      </c>
      <c r="H11" s="34"/>
      <c r="I11" s="34"/>
      <c r="J11" s="34"/>
      <c r="K11" s="35" t="e">
        <f t="shared" si="1"/>
        <v>#DIV/0!</v>
      </c>
      <c r="L11" s="34"/>
      <c r="M11" s="34"/>
      <c r="N11" s="34"/>
      <c r="O11" s="36" t="e">
        <f t="shared" si="2"/>
        <v>#DIV/0!</v>
      </c>
    </row>
    <row r="12" spans="1:15" ht="19.5" customHeight="1">
      <c r="A12" s="38">
        <f>Page1!A11</f>
        <v>0</v>
      </c>
      <c r="B12" s="39">
        <f>Page1!B11</f>
        <v>0</v>
      </c>
      <c r="C12" s="40">
        <f>Page1!C11</f>
        <v>0</v>
      </c>
      <c r="D12" s="32"/>
      <c r="E12" s="32"/>
      <c r="F12" s="32"/>
      <c r="G12" s="33" t="e">
        <f t="shared" si="0"/>
        <v>#DIV/0!</v>
      </c>
      <c r="H12" s="34"/>
      <c r="I12" s="34"/>
      <c r="J12" s="34"/>
      <c r="K12" s="35" t="e">
        <f t="shared" si="1"/>
        <v>#DIV/0!</v>
      </c>
      <c r="L12" s="34"/>
      <c r="M12" s="34"/>
      <c r="N12" s="34"/>
      <c r="O12" s="36" t="e">
        <f t="shared" si="2"/>
        <v>#DIV/0!</v>
      </c>
    </row>
    <row r="13" spans="1:15" ht="19.5" customHeight="1">
      <c r="A13" s="38">
        <f>Page1!A12</f>
        <v>0</v>
      </c>
      <c r="B13" s="39">
        <f>Page1!B12</f>
        <v>0</v>
      </c>
      <c r="C13" s="40">
        <f>Page1!C12</f>
        <v>0</v>
      </c>
      <c r="D13" s="32"/>
      <c r="E13" s="32"/>
      <c r="F13" s="32"/>
      <c r="G13" s="33" t="e">
        <f t="shared" si="0"/>
        <v>#DIV/0!</v>
      </c>
      <c r="H13" s="34"/>
      <c r="I13" s="34"/>
      <c r="J13" s="34"/>
      <c r="K13" s="35" t="e">
        <f t="shared" si="1"/>
        <v>#DIV/0!</v>
      </c>
      <c r="L13" s="34"/>
      <c r="M13" s="34"/>
      <c r="N13" s="34"/>
      <c r="O13" s="36" t="e">
        <f t="shared" si="2"/>
        <v>#DIV/0!</v>
      </c>
    </row>
    <row r="14" spans="1:15" ht="19.5" customHeight="1">
      <c r="A14" s="38">
        <f>Page1!A13</f>
        <v>0</v>
      </c>
      <c r="B14" s="39">
        <f>Page1!B13</f>
        <v>0</v>
      </c>
      <c r="C14" s="40">
        <f>Page1!C13</f>
        <v>0</v>
      </c>
      <c r="D14" s="32"/>
      <c r="E14" s="32"/>
      <c r="F14" s="32"/>
      <c r="G14" s="33" t="e">
        <f t="shared" si="0"/>
        <v>#DIV/0!</v>
      </c>
      <c r="H14" s="34"/>
      <c r="I14" s="34"/>
      <c r="J14" s="34"/>
      <c r="K14" s="35" t="e">
        <f t="shared" si="1"/>
        <v>#DIV/0!</v>
      </c>
      <c r="L14" s="34"/>
      <c r="M14" s="34"/>
      <c r="N14" s="34"/>
      <c r="O14" s="36" t="e">
        <f t="shared" si="2"/>
        <v>#DIV/0!</v>
      </c>
    </row>
    <row r="15" spans="1:15" ht="19.5" customHeight="1">
      <c r="A15" s="38">
        <f>Page1!A14</f>
        <v>0</v>
      </c>
      <c r="B15" s="39">
        <f>Page1!B14</f>
        <v>0</v>
      </c>
      <c r="C15" s="40">
        <f>Page1!C14</f>
        <v>0</v>
      </c>
      <c r="D15" s="32"/>
      <c r="E15" s="32"/>
      <c r="F15" s="32"/>
      <c r="G15" s="33" t="e">
        <f t="shared" si="0"/>
        <v>#DIV/0!</v>
      </c>
      <c r="H15" s="34"/>
      <c r="I15" s="34"/>
      <c r="J15" s="34"/>
      <c r="K15" s="35" t="e">
        <f t="shared" si="1"/>
        <v>#DIV/0!</v>
      </c>
      <c r="L15" s="34"/>
      <c r="M15" s="34"/>
      <c r="N15" s="34"/>
      <c r="O15" s="36" t="e">
        <f t="shared" si="2"/>
        <v>#DIV/0!</v>
      </c>
    </row>
    <row r="16" spans="1:15" ht="19.5" customHeight="1">
      <c r="A16" s="38">
        <f>Page1!A15</f>
        <v>0</v>
      </c>
      <c r="B16" s="39">
        <f>Page1!B15</f>
        <v>0</v>
      </c>
      <c r="C16" s="40">
        <f>Page1!C15</f>
        <v>0</v>
      </c>
      <c r="D16" s="32"/>
      <c r="E16" s="32"/>
      <c r="F16" s="32"/>
      <c r="G16" s="33" t="e">
        <f t="shared" si="0"/>
        <v>#DIV/0!</v>
      </c>
      <c r="H16" s="34"/>
      <c r="I16" s="34"/>
      <c r="J16" s="34"/>
      <c r="K16" s="35" t="e">
        <f t="shared" si="1"/>
        <v>#DIV/0!</v>
      </c>
      <c r="L16" s="34"/>
      <c r="M16" s="34"/>
      <c r="N16" s="34"/>
      <c r="O16" s="36" t="e">
        <f t="shared" si="2"/>
        <v>#DIV/0!</v>
      </c>
    </row>
    <row r="17" spans="1:15" ht="19.5" customHeight="1">
      <c r="A17" s="38">
        <f>Page1!A16</f>
        <v>0</v>
      </c>
      <c r="B17" s="39">
        <f>Page1!B16</f>
        <v>0</v>
      </c>
      <c r="C17" s="40">
        <f>Page1!C16</f>
        <v>0</v>
      </c>
      <c r="D17" s="32"/>
      <c r="E17" s="32"/>
      <c r="F17" s="32"/>
      <c r="G17" s="33" t="e">
        <f t="shared" si="0"/>
        <v>#DIV/0!</v>
      </c>
      <c r="H17" s="34"/>
      <c r="I17" s="34"/>
      <c r="J17" s="34"/>
      <c r="K17" s="35" t="e">
        <f t="shared" si="1"/>
        <v>#DIV/0!</v>
      </c>
      <c r="L17" s="34"/>
      <c r="M17" s="34"/>
      <c r="N17" s="34"/>
      <c r="O17" s="36" t="e">
        <f t="shared" si="2"/>
        <v>#DIV/0!</v>
      </c>
    </row>
    <row r="18" spans="1:15" ht="19.5" customHeight="1">
      <c r="A18" s="38">
        <f>Page1!A17</f>
        <v>0</v>
      </c>
      <c r="B18" s="39">
        <f>Page1!B17</f>
        <v>0</v>
      </c>
      <c r="C18" s="40">
        <f>Page1!C17</f>
        <v>0</v>
      </c>
      <c r="D18" s="32"/>
      <c r="E18" s="32"/>
      <c r="F18" s="32"/>
      <c r="G18" s="33" t="e">
        <f t="shared" si="0"/>
        <v>#DIV/0!</v>
      </c>
      <c r="H18" s="34"/>
      <c r="I18" s="34"/>
      <c r="J18" s="34"/>
      <c r="K18" s="35" t="e">
        <f t="shared" si="1"/>
        <v>#DIV/0!</v>
      </c>
      <c r="L18" s="34"/>
      <c r="M18" s="34"/>
      <c r="N18" s="34"/>
      <c r="O18" s="36" t="e">
        <f t="shared" si="2"/>
        <v>#DIV/0!</v>
      </c>
    </row>
    <row r="19" spans="1:15" ht="19.5" customHeight="1">
      <c r="A19" s="38">
        <f>Page1!A18</f>
        <v>0</v>
      </c>
      <c r="B19" s="39">
        <f>Page1!B18</f>
        <v>0</v>
      </c>
      <c r="C19" s="40">
        <f>Page1!C18</f>
        <v>0</v>
      </c>
      <c r="D19" s="32"/>
      <c r="E19" s="32"/>
      <c r="F19" s="32"/>
      <c r="G19" s="33" t="e">
        <f t="shared" si="0"/>
        <v>#DIV/0!</v>
      </c>
      <c r="H19" s="34"/>
      <c r="I19" s="34"/>
      <c r="J19" s="34"/>
      <c r="K19" s="35" t="e">
        <f t="shared" si="1"/>
        <v>#DIV/0!</v>
      </c>
      <c r="L19" s="34"/>
      <c r="M19" s="34"/>
      <c r="N19" s="34"/>
      <c r="O19" s="36" t="e">
        <f t="shared" si="2"/>
        <v>#DIV/0!</v>
      </c>
    </row>
    <row r="20" spans="1:15" ht="19.5" customHeight="1">
      <c r="A20" s="38">
        <f>Page1!A19</f>
        <v>0</v>
      </c>
      <c r="B20" s="39">
        <f>Page1!B19</f>
        <v>0</v>
      </c>
      <c r="C20" s="40">
        <f>Page1!C19</f>
        <v>0</v>
      </c>
      <c r="D20" s="32"/>
      <c r="E20" s="32"/>
      <c r="F20" s="32"/>
      <c r="G20" s="33" t="e">
        <f t="shared" si="0"/>
        <v>#DIV/0!</v>
      </c>
      <c r="H20" s="34"/>
      <c r="I20" s="34"/>
      <c r="J20" s="34"/>
      <c r="K20" s="35" t="e">
        <f t="shared" si="1"/>
        <v>#DIV/0!</v>
      </c>
      <c r="L20" s="34"/>
      <c r="M20" s="34"/>
      <c r="N20" s="34"/>
      <c r="O20" s="36" t="e">
        <f t="shared" si="2"/>
        <v>#DIV/0!</v>
      </c>
    </row>
    <row r="21" spans="1:15" ht="19.5" customHeight="1">
      <c r="A21" s="38">
        <f>Page1!A20</f>
        <v>0</v>
      </c>
      <c r="B21" s="39">
        <f>Page1!B20</f>
        <v>0</v>
      </c>
      <c r="C21" s="40">
        <f>Page1!C20</f>
        <v>0</v>
      </c>
      <c r="D21" s="32"/>
      <c r="E21" s="32"/>
      <c r="F21" s="32"/>
      <c r="G21" s="33" t="e">
        <f t="shared" si="0"/>
        <v>#DIV/0!</v>
      </c>
      <c r="H21" s="34"/>
      <c r="I21" s="34"/>
      <c r="J21" s="34"/>
      <c r="K21" s="35" t="e">
        <f t="shared" si="1"/>
        <v>#DIV/0!</v>
      </c>
      <c r="L21" s="34"/>
      <c r="M21" s="34"/>
      <c r="N21" s="34"/>
      <c r="O21" s="36" t="e">
        <f t="shared" si="2"/>
        <v>#DIV/0!</v>
      </c>
    </row>
    <row r="22" spans="1:15" ht="19.5" customHeight="1">
      <c r="A22" s="38">
        <f>Page1!A21</f>
        <v>0</v>
      </c>
      <c r="B22" s="39">
        <f>Page1!B21</f>
        <v>0</v>
      </c>
      <c r="C22" s="40">
        <f>Page1!C21</f>
        <v>0</v>
      </c>
      <c r="D22" s="32"/>
      <c r="E22" s="32"/>
      <c r="F22" s="32"/>
      <c r="G22" s="33" t="e">
        <f t="shared" si="0"/>
        <v>#DIV/0!</v>
      </c>
      <c r="H22" s="34"/>
      <c r="I22" s="34"/>
      <c r="J22" s="34"/>
      <c r="K22" s="35" t="e">
        <f t="shared" si="1"/>
        <v>#DIV/0!</v>
      </c>
      <c r="L22" s="34"/>
      <c r="M22" s="34"/>
      <c r="N22" s="34"/>
      <c r="O22" s="36" t="e">
        <f t="shared" si="2"/>
        <v>#DIV/0!</v>
      </c>
    </row>
    <row r="23" spans="1:15" ht="19.5" customHeight="1">
      <c r="A23" s="38">
        <f>Page1!A22</f>
        <v>0</v>
      </c>
      <c r="B23" s="39">
        <f>Page1!B22</f>
        <v>0</v>
      </c>
      <c r="C23" s="40">
        <f>Page1!C22</f>
        <v>0</v>
      </c>
      <c r="D23" s="32"/>
      <c r="E23" s="32"/>
      <c r="F23" s="32"/>
      <c r="G23" s="33" t="e">
        <f t="shared" si="0"/>
        <v>#DIV/0!</v>
      </c>
      <c r="H23" s="34"/>
      <c r="I23" s="34"/>
      <c r="J23" s="34"/>
      <c r="K23" s="35" t="e">
        <f t="shared" si="1"/>
        <v>#DIV/0!</v>
      </c>
      <c r="L23" s="34"/>
      <c r="M23" s="34"/>
      <c r="N23" s="34"/>
      <c r="O23" s="36" t="e">
        <f t="shared" si="2"/>
        <v>#DIV/0!</v>
      </c>
    </row>
    <row r="24" spans="1:15" ht="19.5" customHeight="1">
      <c r="A24" s="38">
        <f>Page1!A23</f>
        <v>0</v>
      </c>
      <c r="B24" s="39">
        <f>Page1!B23</f>
        <v>0</v>
      </c>
      <c r="C24" s="40">
        <f>Page1!C23</f>
        <v>0</v>
      </c>
      <c r="D24" s="32"/>
      <c r="E24" s="32"/>
      <c r="F24" s="32"/>
      <c r="G24" s="33" t="e">
        <f t="shared" si="0"/>
        <v>#DIV/0!</v>
      </c>
      <c r="H24" s="34"/>
      <c r="I24" s="34"/>
      <c r="J24" s="34"/>
      <c r="K24" s="35" t="e">
        <f t="shared" si="1"/>
        <v>#DIV/0!</v>
      </c>
      <c r="L24" s="34"/>
      <c r="M24" s="34"/>
      <c r="N24" s="34"/>
      <c r="O24" s="36" t="e">
        <f t="shared" si="2"/>
        <v>#DIV/0!</v>
      </c>
    </row>
    <row r="25" spans="1:15" ht="19.5" customHeight="1">
      <c r="A25" s="38">
        <f>Page1!A24</f>
        <v>0</v>
      </c>
      <c r="B25" s="39">
        <f>Page1!B24</f>
        <v>0</v>
      </c>
      <c r="C25" s="40">
        <f>Page1!C24</f>
        <v>0</v>
      </c>
      <c r="D25" s="32"/>
      <c r="E25" s="32"/>
      <c r="F25" s="32"/>
      <c r="G25" s="33" t="e">
        <f t="shared" si="0"/>
        <v>#DIV/0!</v>
      </c>
      <c r="H25" s="34"/>
      <c r="I25" s="34"/>
      <c r="J25" s="34"/>
      <c r="K25" s="35" t="e">
        <f t="shared" si="1"/>
        <v>#DIV/0!</v>
      </c>
      <c r="L25" s="34"/>
      <c r="M25" s="34"/>
      <c r="N25" s="34"/>
      <c r="O25" s="36" t="e">
        <f t="shared" si="2"/>
        <v>#DIV/0!</v>
      </c>
    </row>
    <row r="26" spans="1:15" ht="19.5" customHeight="1">
      <c r="A26" s="38">
        <f>Page1!A25</f>
        <v>0</v>
      </c>
      <c r="B26" s="39">
        <f>Page1!B25</f>
        <v>0</v>
      </c>
      <c r="C26" s="40">
        <f>Page1!C25</f>
        <v>0</v>
      </c>
      <c r="D26" s="32"/>
      <c r="E26" s="32"/>
      <c r="F26" s="32"/>
      <c r="G26" s="33" t="e">
        <f t="shared" si="0"/>
        <v>#DIV/0!</v>
      </c>
      <c r="H26" s="34"/>
      <c r="I26" s="34"/>
      <c r="J26" s="34"/>
      <c r="K26" s="35" t="e">
        <f t="shared" si="1"/>
        <v>#DIV/0!</v>
      </c>
      <c r="L26" s="34"/>
      <c r="M26" s="34"/>
      <c r="N26" s="34"/>
      <c r="O26" s="36" t="e">
        <f t="shared" si="2"/>
        <v>#DIV/0!</v>
      </c>
    </row>
    <row r="27" spans="1:15" ht="19.5" customHeight="1">
      <c r="A27" s="38">
        <f>Page1!A26</f>
        <v>0</v>
      </c>
      <c r="B27" s="39">
        <f>Page1!B26</f>
        <v>0</v>
      </c>
      <c r="C27" s="40">
        <f>Page1!C26</f>
        <v>0</v>
      </c>
      <c r="D27" s="32"/>
      <c r="E27" s="32"/>
      <c r="F27" s="32"/>
      <c r="G27" s="33" t="e">
        <f t="shared" si="0"/>
        <v>#DIV/0!</v>
      </c>
      <c r="H27" s="34"/>
      <c r="I27" s="34"/>
      <c r="J27" s="34"/>
      <c r="K27" s="35" t="e">
        <f t="shared" si="1"/>
        <v>#DIV/0!</v>
      </c>
      <c r="L27" s="34"/>
      <c r="M27" s="34"/>
      <c r="N27" s="34"/>
      <c r="O27" s="36" t="e">
        <f t="shared" si="2"/>
        <v>#DIV/0!</v>
      </c>
    </row>
    <row r="28" spans="1:15" ht="19.5" customHeight="1">
      <c r="A28" s="38">
        <f>Page1!A27</f>
        <v>0</v>
      </c>
      <c r="B28" s="39">
        <f>Page1!B27</f>
        <v>0</v>
      </c>
      <c r="C28" s="40">
        <f>Page1!C27</f>
        <v>0</v>
      </c>
      <c r="D28" s="32"/>
      <c r="E28" s="32"/>
      <c r="F28" s="32"/>
      <c r="G28" s="33" t="e">
        <f t="shared" si="0"/>
        <v>#DIV/0!</v>
      </c>
      <c r="H28" s="34"/>
      <c r="I28" s="34"/>
      <c r="J28" s="34"/>
      <c r="K28" s="35" t="e">
        <f t="shared" si="1"/>
        <v>#DIV/0!</v>
      </c>
      <c r="L28" s="34"/>
      <c r="M28" s="34"/>
      <c r="N28" s="34"/>
      <c r="O28" s="36" t="e">
        <f t="shared" si="2"/>
        <v>#DIV/0!</v>
      </c>
    </row>
    <row r="29" spans="1:15" ht="19.5" customHeight="1">
      <c r="A29" s="38">
        <f>Page1!A28</f>
        <v>0</v>
      </c>
      <c r="B29" s="39">
        <f>Page1!B28</f>
        <v>0</v>
      </c>
      <c r="C29" s="40">
        <f>Page1!C28</f>
        <v>0</v>
      </c>
      <c r="D29" s="32"/>
      <c r="E29" s="32"/>
      <c r="F29" s="32"/>
      <c r="G29" s="33" t="e">
        <f t="shared" si="0"/>
        <v>#DIV/0!</v>
      </c>
      <c r="H29" s="34"/>
      <c r="I29" s="34"/>
      <c r="J29" s="34"/>
      <c r="K29" s="35" t="e">
        <f t="shared" si="1"/>
        <v>#DIV/0!</v>
      </c>
      <c r="L29" s="34"/>
      <c r="M29" s="34"/>
      <c r="N29" s="34"/>
      <c r="O29" s="36" t="e">
        <f t="shared" si="2"/>
        <v>#DIV/0!</v>
      </c>
    </row>
    <row r="30" spans="1:15" ht="19.5" customHeight="1">
      <c r="A30" s="38">
        <f>Page1!A29</f>
        <v>0</v>
      </c>
      <c r="B30" s="39">
        <f>Page1!B29</f>
        <v>0</v>
      </c>
      <c r="C30" s="40">
        <f>Page1!C29</f>
        <v>0</v>
      </c>
      <c r="D30" s="32"/>
      <c r="E30" s="32"/>
      <c r="F30" s="32"/>
      <c r="G30" s="33" t="e">
        <f t="shared" si="0"/>
        <v>#DIV/0!</v>
      </c>
      <c r="H30" s="34"/>
      <c r="I30" s="34"/>
      <c r="J30" s="34"/>
      <c r="K30" s="35" t="e">
        <f t="shared" si="1"/>
        <v>#DIV/0!</v>
      </c>
      <c r="L30" s="34"/>
      <c r="M30" s="34"/>
      <c r="N30" s="34"/>
      <c r="O30" s="36" t="e">
        <f t="shared" si="2"/>
        <v>#DIV/0!</v>
      </c>
    </row>
    <row r="31" spans="1:15" ht="19.5" customHeight="1">
      <c r="A31" s="38">
        <f>Page1!A30</f>
        <v>0</v>
      </c>
      <c r="B31" s="39">
        <f>Page1!B30</f>
        <v>0</v>
      </c>
      <c r="C31" s="40">
        <f>Page1!C30</f>
        <v>0</v>
      </c>
      <c r="D31" s="32"/>
      <c r="E31" s="32"/>
      <c r="F31" s="32"/>
      <c r="G31" s="33" t="e">
        <f t="shared" si="0"/>
        <v>#DIV/0!</v>
      </c>
      <c r="H31" s="34"/>
      <c r="I31" s="34"/>
      <c r="J31" s="34"/>
      <c r="K31" s="35" t="e">
        <f t="shared" si="1"/>
        <v>#DIV/0!</v>
      </c>
      <c r="L31" s="34"/>
      <c r="M31" s="34"/>
      <c r="N31" s="34"/>
      <c r="O31" s="36" t="e">
        <f t="shared" si="2"/>
        <v>#DIV/0!</v>
      </c>
    </row>
    <row r="32" spans="1:15" ht="19.5" customHeight="1">
      <c r="A32" s="38">
        <f>Page1!A31</f>
        <v>0</v>
      </c>
      <c r="B32" s="39">
        <f>Page1!B31</f>
        <v>0</v>
      </c>
      <c r="C32" s="40">
        <f>Page1!C31</f>
        <v>0</v>
      </c>
      <c r="D32" s="32"/>
      <c r="E32" s="32"/>
      <c r="F32" s="32"/>
      <c r="G32" s="33" t="e">
        <f t="shared" si="0"/>
        <v>#DIV/0!</v>
      </c>
      <c r="H32" s="34"/>
      <c r="I32" s="34"/>
      <c r="J32" s="34"/>
      <c r="K32" s="35" t="e">
        <f t="shared" si="1"/>
        <v>#DIV/0!</v>
      </c>
      <c r="L32" s="34"/>
      <c r="M32" s="34"/>
      <c r="N32" s="34"/>
      <c r="O32" s="36" t="e">
        <f t="shared" si="2"/>
        <v>#DIV/0!</v>
      </c>
    </row>
    <row r="33" spans="1:15" ht="19.5" customHeight="1">
      <c r="A33" s="38">
        <f>Page1!A32</f>
        <v>0</v>
      </c>
      <c r="B33" s="39">
        <f>Page1!B32</f>
        <v>0</v>
      </c>
      <c r="C33" s="40">
        <f>Page1!C32</f>
        <v>0</v>
      </c>
      <c r="D33" s="32"/>
      <c r="E33" s="32"/>
      <c r="F33" s="32"/>
      <c r="G33" s="33" t="e">
        <f t="shared" si="0"/>
        <v>#DIV/0!</v>
      </c>
      <c r="H33" s="34"/>
      <c r="I33" s="34"/>
      <c r="J33" s="34"/>
      <c r="K33" s="35" t="e">
        <f t="shared" si="1"/>
        <v>#DIV/0!</v>
      </c>
      <c r="L33" s="34"/>
      <c r="M33" s="34"/>
      <c r="N33" s="34"/>
      <c r="O33" s="36" t="e">
        <f t="shared" si="2"/>
        <v>#DIV/0!</v>
      </c>
    </row>
    <row r="34" spans="1:15" ht="19.5" customHeight="1">
      <c r="A34" s="38">
        <f>Page1!A33</f>
        <v>0</v>
      </c>
      <c r="B34" s="39">
        <f>Page1!B33</f>
        <v>0</v>
      </c>
      <c r="C34" s="40">
        <f>Page1!C33</f>
        <v>0</v>
      </c>
      <c r="D34" s="32"/>
      <c r="E34" s="32"/>
      <c r="F34" s="32"/>
      <c r="G34" s="33" t="e">
        <f t="shared" si="0"/>
        <v>#DIV/0!</v>
      </c>
      <c r="H34" s="34"/>
      <c r="I34" s="34"/>
      <c r="J34" s="34"/>
      <c r="K34" s="35" t="e">
        <f t="shared" si="1"/>
        <v>#DIV/0!</v>
      </c>
      <c r="L34" s="34"/>
      <c r="M34" s="34"/>
      <c r="N34" s="34"/>
      <c r="O34" s="36" t="e">
        <f t="shared" si="2"/>
        <v>#DIV/0!</v>
      </c>
    </row>
    <row r="35" spans="1:15" ht="19.5" customHeight="1">
      <c r="A35" s="38">
        <f>Page1!A34</f>
        <v>0</v>
      </c>
      <c r="B35" s="39">
        <f>Page1!B34</f>
        <v>0</v>
      </c>
      <c r="C35" s="40">
        <f>Page1!C34</f>
        <v>0</v>
      </c>
      <c r="D35" s="32"/>
      <c r="E35" s="32"/>
      <c r="F35" s="32"/>
      <c r="G35" s="33" t="e">
        <f t="shared" si="0"/>
        <v>#DIV/0!</v>
      </c>
      <c r="H35" s="34"/>
      <c r="I35" s="34"/>
      <c r="J35" s="34"/>
      <c r="K35" s="35" t="e">
        <f t="shared" si="1"/>
        <v>#DIV/0!</v>
      </c>
      <c r="L35" s="34"/>
      <c r="M35" s="34"/>
      <c r="N35" s="34"/>
      <c r="O35" s="36" t="e">
        <f t="shared" si="2"/>
        <v>#DIV/0!</v>
      </c>
    </row>
    <row r="36" spans="1:15" ht="19.5" customHeight="1">
      <c r="A36" s="38">
        <f>Page1!A35</f>
        <v>0</v>
      </c>
      <c r="B36" s="39">
        <f>Page1!B35</f>
        <v>0</v>
      </c>
      <c r="C36" s="40">
        <f>Page1!C35</f>
        <v>0</v>
      </c>
      <c r="D36" s="32"/>
      <c r="E36" s="32"/>
      <c r="F36" s="32"/>
      <c r="G36" s="33" t="e">
        <f t="shared" si="0"/>
        <v>#DIV/0!</v>
      </c>
      <c r="H36" s="34"/>
      <c r="I36" s="34"/>
      <c r="J36" s="34"/>
      <c r="K36" s="35" t="e">
        <f t="shared" si="1"/>
        <v>#DIV/0!</v>
      </c>
      <c r="L36" s="34"/>
      <c r="M36" s="34"/>
      <c r="N36" s="34"/>
      <c r="O36" s="36" t="e">
        <f t="shared" si="2"/>
        <v>#DIV/0!</v>
      </c>
    </row>
    <row r="37" spans="1:15" ht="19.5" customHeight="1">
      <c r="A37" s="38">
        <f>Page1!A36</f>
        <v>0</v>
      </c>
      <c r="B37" s="39">
        <f>Page1!B36</f>
        <v>0</v>
      </c>
      <c r="C37" s="40">
        <f>Page1!C36</f>
        <v>0</v>
      </c>
      <c r="D37" s="32"/>
      <c r="E37" s="32"/>
      <c r="F37" s="32"/>
      <c r="G37" s="33" t="e">
        <f t="shared" si="0"/>
        <v>#DIV/0!</v>
      </c>
      <c r="H37" s="34"/>
      <c r="I37" s="34"/>
      <c r="J37" s="34"/>
      <c r="K37" s="35" t="e">
        <f t="shared" si="1"/>
        <v>#DIV/0!</v>
      </c>
      <c r="L37" s="34"/>
      <c r="M37" s="34"/>
      <c r="N37" s="34"/>
      <c r="O37" s="36" t="e">
        <f t="shared" si="2"/>
        <v>#DIV/0!</v>
      </c>
    </row>
    <row r="38" spans="1:15" ht="19.5" customHeight="1" thickBot="1">
      <c r="A38" s="38">
        <f>Page1!A37</f>
        <v>0</v>
      </c>
      <c r="B38" s="39">
        <f>Page1!B37</f>
        <v>0</v>
      </c>
      <c r="C38" s="40">
        <f>Page1!C37</f>
        <v>0</v>
      </c>
      <c r="D38" s="32"/>
      <c r="E38" s="32"/>
      <c r="F38" s="32"/>
      <c r="G38" s="33" t="e">
        <f t="shared" si="0"/>
        <v>#DIV/0!</v>
      </c>
      <c r="H38" s="34"/>
      <c r="I38" s="34"/>
      <c r="J38" s="34"/>
      <c r="K38" s="35" t="e">
        <f t="shared" si="1"/>
        <v>#DIV/0!</v>
      </c>
      <c r="L38" s="34"/>
      <c r="M38" s="34"/>
      <c r="N38" s="34"/>
      <c r="O38" s="36" t="e">
        <f t="shared" si="2"/>
        <v>#DIV/0!</v>
      </c>
    </row>
    <row r="39" spans="1:15" s="43" customFormat="1" ht="19.5" customHeight="1">
      <c r="A39" s="41"/>
      <c r="B39" s="42"/>
      <c r="C39" s="42" t="s">
        <v>23</v>
      </c>
      <c r="D39" s="222" t="e">
        <f>AVERAGE(G9:G38)</f>
        <v>#DIV/0!</v>
      </c>
      <c r="E39" s="223"/>
      <c r="F39" s="223"/>
      <c r="G39" s="224"/>
      <c r="H39" s="231" t="e">
        <f>AVERAGE(K9:K38)</f>
        <v>#DIV/0!</v>
      </c>
      <c r="I39" s="232"/>
      <c r="J39" s="232"/>
      <c r="K39" s="233"/>
      <c r="L39" s="231" t="e">
        <f>AVERAGE(O9:O38)</f>
        <v>#DIV/0!</v>
      </c>
      <c r="M39" s="232"/>
      <c r="N39" s="232"/>
      <c r="O39" s="250"/>
    </row>
    <row r="40" spans="1:15" s="43" customFormat="1" ht="19.5" customHeight="1">
      <c r="A40" s="44"/>
      <c r="B40" s="45"/>
      <c r="C40" s="39" t="s">
        <v>24</v>
      </c>
      <c r="D40" s="225" t="e">
        <f>MIN(G9:G38)</f>
        <v>#DIV/0!</v>
      </c>
      <c r="E40" s="226"/>
      <c r="F40" s="226"/>
      <c r="G40" s="227"/>
      <c r="H40" s="234" t="e">
        <f>MIN(K9:K38)</f>
        <v>#DIV/0!</v>
      </c>
      <c r="I40" s="235"/>
      <c r="J40" s="235"/>
      <c r="K40" s="236"/>
      <c r="L40" s="234" t="e">
        <f>MIN(O9:O38)</f>
        <v>#DIV/0!</v>
      </c>
      <c r="M40" s="235"/>
      <c r="N40" s="235"/>
      <c r="O40" s="237"/>
    </row>
    <row r="41" spans="1:15" s="43" customFormat="1" ht="19.5" customHeight="1" thickBot="1">
      <c r="A41" s="46"/>
      <c r="B41" s="47"/>
      <c r="C41" s="48" t="s">
        <v>25</v>
      </c>
      <c r="D41" s="228" t="e">
        <f>MAX(G9:G38)</f>
        <v>#DIV/0!</v>
      </c>
      <c r="E41" s="229"/>
      <c r="F41" s="229"/>
      <c r="G41" s="230"/>
      <c r="H41" s="238" t="e">
        <f>MAX(K9:K38)</f>
        <v>#DIV/0!</v>
      </c>
      <c r="I41" s="239"/>
      <c r="J41" s="239"/>
      <c r="K41" s="240"/>
      <c r="L41" s="238" t="e">
        <f>MAX(O9:O38)</f>
        <v>#DIV/0!</v>
      </c>
      <c r="M41" s="239"/>
      <c r="N41" s="239"/>
      <c r="O41" s="251"/>
    </row>
    <row r="42" spans="1:15" s="53" customFormat="1" ht="16.5" customHeight="1">
      <c r="A42" s="49" t="s">
        <v>12</v>
      </c>
      <c r="B42" s="168"/>
      <c r="C42" s="168"/>
      <c r="D42" s="169" t="s">
        <v>14</v>
      </c>
      <c r="E42" s="169"/>
      <c r="F42" s="50"/>
      <c r="G42" s="51"/>
      <c r="H42" s="51"/>
      <c r="I42" s="51"/>
      <c r="J42" s="52"/>
      <c r="K42" s="52"/>
      <c r="L42" s="52" t="s">
        <v>15</v>
      </c>
      <c r="M42" s="171"/>
      <c r="N42" s="171"/>
      <c r="O42" s="26" t="s">
        <v>16</v>
      </c>
    </row>
    <row r="43" spans="1:15" s="53" customFormat="1" ht="16.5" customHeight="1">
      <c r="A43" s="49"/>
      <c r="B43" s="130"/>
      <c r="C43" s="130"/>
      <c r="D43" s="26"/>
      <c r="E43" s="26"/>
      <c r="F43" s="49"/>
      <c r="G43" s="51"/>
      <c r="H43" s="51"/>
      <c r="I43" s="51"/>
      <c r="J43" s="51"/>
      <c r="K43" s="26"/>
      <c r="L43" s="54"/>
      <c r="M43" s="131" t="s">
        <v>144</v>
      </c>
      <c r="N43" s="131"/>
      <c r="O43" s="26"/>
    </row>
    <row r="44" spans="1:15" s="43" customFormat="1" ht="16.5" customHeight="1">
      <c r="A44" s="132" t="s">
        <v>13</v>
      </c>
      <c r="B44" s="132"/>
      <c r="C44" s="132"/>
      <c r="D44" s="51"/>
      <c r="E44" s="51"/>
      <c r="F44" s="49" t="s">
        <v>116</v>
      </c>
      <c r="G44" s="132" t="s">
        <v>143</v>
      </c>
      <c r="H44" s="132"/>
      <c r="I44" s="132"/>
      <c r="J44" s="51"/>
      <c r="K44" s="51"/>
      <c r="L44" s="51"/>
      <c r="M44" s="51"/>
      <c r="N44" s="51"/>
      <c r="O44" s="51"/>
    </row>
    <row r="45" spans="1:15" s="53" customFormat="1" ht="16.5" customHeight="1">
      <c r="A45" s="132" t="s">
        <v>21</v>
      </c>
      <c r="B45" s="132"/>
      <c r="C45" s="49"/>
      <c r="D45" s="51"/>
      <c r="E45" s="51"/>
      <c r="F45" s="51"/>
      <c r="G45" s="51"/>
      <c r="H45" s="51"/>
      <c r="I45" s="51"/>
      <c r="J45" s="51"/>
      <c r="K45" s="51"/>
      <c r="L45" s="51"/>
      <c r="M45" s="151" t="s">
        <v>112</v>
      </c>
      <c r="N45" s="151"/>
      <c r="O45" s="51"/>
    </row>
    <row r="55" s="37" customFormat="1"/>
    <row r="56" s="37" customFormat="1"/>
    <row r="57" s="37" customFormat="1"/>
    <row r="58" s="37" customFormat="1"/>
    <row r="59" s="37" customFormat="1"/>
    <row r="60" s="37" customFormat="1"/>
    <row r="61" s="37" customFormat="1"/>
    <row r="62" s="37" customFormat="1"/>
    <row r="63" s="37" customFormat="1"/>
    <row r="64" s="37" customFormat="1"/>
    <row r="65" s="37" customFormat="1"/>
    <row r="66" s="37" customFormat="1"/>
    <row r="67" s="37" customFormat="1"/>
    <row r="68" s="37" customFormat="1"/>
    <row r="69" s="37" customFormat="1"/>
  </sheetData>
  <mergeCells count="40">
    <mergeCell ref="A45:B45"/>
    <mergeCell ref="M45:N45"/>
    <mergeCell ref="A1:M1"/>
    <mergeCell ref="N1:O1"/>
    <mergeCell ref="A2:M3"/>
    <mergeCell ref="N2:O2"/>
    <mergeCell ref="D7:G7"/>
    <mergeCell ref="H7:K7"/>
    <mergeCell ref="L7:O7"/>
    <mergeCell ref="B4:D4"/>
    <mergeCell ref="E4:F4"/>
    <mergeCell ref="G4:H4"/>
    <mergeCell ref="J4:K4"/>
    <mergeCell ref="N4:O4"/>
    <mergeCell ref="B5:D5"/>
    <mergeCell ref="J5:K5"/>
    <mergeCell ref="N5:O5"/>
    <mergeCell ref="E5:F5"/>
    <mergeCell ref="A44:C44"/>
    <mergeCell ref="G44:I44"/>
    <mergeCell ref="L39:O39"/>
    <mergeCell ref="L41:O41"/>
    <mergeCell ref="M42:N42"/>
    <mergeCell ref="M43:N43"/>
    <mergeCell ref="L4:M4"/>
    <mergeCell ref="L5:M5"/>
    <mergeCell ref="B42:C42"/>
    <mergeCell ref="D42:E42"/>
    <mergeCell ref="B43:C43"/>
    <mergeCell ref="D39:G39"/>
    <mergeCell ref="D40:G40"/>
    <mergeCell ref="D41:G41"/>
    <mergeCell ref="H39:K39"/>
    <mergeCell ref="H40:K40"/>
    <mergeCell ref="L40:O40"/>
    <mergeCell ref="H41:K41"/>
    <mergeCell ref="G5:H5"/>
    <mergeCell ref="A7:C8"/>
    <mergeCell ref="A6:C6"/>
    <mergeCell ref="D6:O6"/>
  </mergeCells>
  <conditionalFormatting sqref="D9:G41">
    <cfRule type="cellIs" dxfId="12" priority="3" operator="lessThan">
      <formula>350</formula>
    </cfRule>
  </conditionalFormatting>
  <conditionalFormatting sqref="H9:K41">
    <cfRule type="cellIs" dxfId="11" priority="1" operator="lessThan">
      <formula>9.5</formula>
    </cfRule>
  </conditionalFormatting>
  <conditionalFormatting sqref="L9:O41">
    <cfRule type="cellIs" dxfId="10" priority="2" operator="notBetween">
      <formula>2.5</formula>
      <formula>5.5</formula>
    </cfRule>
  </conditionalFormatting>
  <printOptions horizontalCentered="1" verticalCentered="1"/>
  <pageMargins left="0.19685039370078741" right="0.19685039370078741" top="0.59055118110236227" bottom="0.19685039370078741" header="0.15748031496062992" footer="0.23622047244094491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AD93-8116-4B7E-B077-E07F6BCB70B0}">
  <sheetPr>
    <pageSetUpPr fitToPage="1"/>
  </sheetPr>
  <dimension ref="A1:Q46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37" customWidth="1"/>
    <col min="4" max="15" width="14.28515625" style="37" customWidth="1"/>
    <col min="16" max="16384" width="9.140625" style="37"/>
  </cols>
  <sheetData>
    <row r="1" spans="1:17" s="24" customFormat="1" ht="15.75" customHeight="1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191" t="s">
        <v>26</v>
      </c>
      <c r="O1" s="191"/>
    </row>
    <row r="2" spans="1:17" s="24" customFormat="1" ht="15.75" customHeight="1">
      <c r="A2" s="253" t="s">
        <v>11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192" t="s">
        <v>27</v>
      </c>
      <c r="O2" s="192"/>
    </row>
    <row r="3" spans="1:17" s="24" customFormat="1" ht="16.5" thickBot="1">
      <c r="A3" s="253"/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" t="s">
        <v>19</v>
      </c>
      <c r="O3" s="26" t="s">
        <v>144</v>
      </c>
    </row>
    <row r="4" spans="1:17" s="28" customFormat="1" ht="23.25" customHeight="1">
      <c r="A4" s="27" t="s">
        <v>1</v>
      </c>
      <c r="B4" s="259">
        <f>Page1!B4</f>
        <v>0</v>
      </c>
      <c r="C4" s="260"/>
      <c r="D4" s="261"/>
      <c r="E4" s="262" t="s">
        <v>3</v>
      </c>
      <c r="F4" s="262"/>
      <c r="G4" s="263">
        <f>Page1!F4</f>
        <v>0</v>
      </c>
      <c r="H4" s="263"/>
      <c r="I4" s="119" t="s">
        <v>5</v>
      </c>
      <c r="J4" s="263">
        <f>Page1!J4</f>
        <v>0</v>
      </c>
      <c r="K4" s="263"/>
      <c r="L4" s="218" t="s">
        <v>7</v>
      </c>
      <c r="M4" s="219"/>
      <c r="N4" s="259">
        <f>Page1!N4</f>
        <v>0</v>
      </c>
      <c r="O4" s="264"/>
    </row>
    <row r="5" spans="1:17" s="28" customFormat="1" ht="23.25" customHeight="1">
      <c r="A5" s="29" t="s">
        <v>2</v>
      </c>
      <c r="B5" s="241">
        <f>Page1!B5</f>
        <v>0</v>
      </c>
      <c r="C5" s="241"/>
      <c r="D5" s="241"/>
      <c r="E5" s="249" t="s">
        <v>4</v>
      </c>
      <c r="F5" s="249"/>
      <c r="G5" s="241">
        <f>Page1!F5</f>
        <v>0</v>
      </c>
      <c r="H5" s="241"/>
      <c r="I5" s="120" t="s">
        <v>6</v>
      </c>
      <c r="J5" s="241">
        <f>Page1!J5</f>
        <v>0</v>
      </c>
      <c r="K5" s="241"/>
      <c r="L5" s="220" t="s">
        <v>8</v>
      </c>
      <c r="M5" s="221"/>
      <c r="N5" s="203">
        <f>Page1!N5</f>
        <v>0</v>
      </c>
      <c r="O5" s="248"/>
    </row>
    <row r="6" spans="1:17" s="30" customFormat="1" ht="15.75" customHeight="1" thickBot="1">
      <c r="A6" s="245" t="s">
        <v>29</v>
      </c>
      <c r="B6" s="246"/>
      <c r="C6" s="246"/>
      <c r="D6" s="246" t="s">
        <v>144</v>
      </c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7"/>
    </row>
    <row r="7" spans="1:17" s="30" customFormat="1" ht="15.75" customHeight="1">
      <c r="A7" s="242" t="s">
        <v>0</v>
      </c>
      <c r="B7" s="300"/>
      <c r="C7" s="243"/>
      <c r="D7" s="254" t="s">
        <v>18</v>
      </c>
      <c r="E7" s="254"/>
      <c r="F7" s="254"/>
      <c r="G7" s="254"/>
      <c r="H7" s="255" t="s">
        <v>37</v>
      </c>
      <c r="I7" s="256"/>
      <c r="J7" s="256"/>
      <c r="K7" s="257"/>
      <c r="L7" s="265" t="s">
        <v>38</v>
      </c>
      <c r="M7" s="266"/>
      <c r="N7" s="266"/>
      <c r="O7" s="267"/>
    </row>
    <row r="8" spans="1:17" s="30" customFormat="1" ht="15.75" customHeight="1" thickBot="1">
      <c r="A8" s="244"/>
      <c r="B8" s="209"/>
      <c r="C8" s="210"/>
      <c r="D8" s="121">
        <v>1</v>
      </c>
      <c r="E8" s="121">
        <v>2</v>
      </c>
      <c r="F8" s="121">
        <v>3</v>
      </c>
      <c r="G8" s="121" t="s">
        <v>33</v>
      </c>
      <c r="H8" s="123">
        <v>1</v>
      </c>
      <c r="I8" s="121">
        <v>2</v>
      </c>
      <c r="J8" s="121">
        <v>3</v>
      </c>
      <c r="K8" s="121" t="s">
        <v>33</v>
      </c>
      <c r="L8" s="121">
        <v>1</v>
      </c>
      <c r="M8" s="121">
        <v>2</v>
      </c>
      <c r="N8" s="121">
        <v>3</v>
      </c>
      <c r="O8" s="122" t="s">
        <v>33</v>
      </c>
    </row>
    <row r="9" spans="1:17" ht="17.25" customHeight="1">
      <c r="A9" s="31">
        <f>Page1!A8</f>
        <v>0</v>
      </c>
      <c r="B9" s="301">
        <f>Page1!B8</f>
        <v>0</v>
      </c>
      <c r="C9" s="301">
        <f>Page1!C8</f>
        <v>0</v>
      </c>
      <c r="D9" s="32"/>
      <c r="E9" s="32"/>
      <c r="F9" s="32"/>
      <c r="G9" s="33" t="e">
        <f>AVERAGE(D9:F9)</f>
        <v>#DIV/0!</v>
      </c>
      <c r="H9" s="34"/>
      <c r="I9" s="34"/>
      <c r="J9" s="34"/>
      <c r="K9" s="35" t="e">
        <f>AVERAGE(H9:J9)</f>
        <v>#DIV/0!</v>
      </c>
      <c r="L9" s="34"/>
      <c r="M9" s="34"/>
      <c r="N9" s="34"/>
      <c r="O9" s="36" t="e">
        <f>AVERAGE(L9:N9)</f>
        <v>#DIV/0!</v>
      </c>
    </row>
    <row r="10" spans="1:17" ht="17.25" customHeight="1">
      <c r="A10" s="38">
        <f>Page1!A9</f>
        <v>0</v>
      </c>
      <c r="B10" s="39">
        <f>Page1!B9</f>
        <v>0</v>
      </c>
      <c r="C10" s="40">
        <f>Page1!C9</f>
        <v>0</v>
      </c>
      <c r="D10" s="32"/>
      <c r="E10" s="32"/>
      <c r="F10" s="32"/>
      <c r="G10" s="33" t="e">
        <f t="shared" ref="G10:G38" si="0">AVERAGE(D10:F10)</f>
        <v>#DIV/0!</v>
      </c>
      <c r="H10" s="34"/>
      <c r="I10" s="34"/>
      <c r="J10" s="34"/>
      <c r="K10" s="35" t="e">
        <f t="shared" ref="K10:K38" si="1">AVERAGE(H10:J10)</f>
        <v>#DIV/0!</v>
      </c>
      <c r="L10" s="34"/>
      <c r="M10" s="34"/>
      <c r="N10" s="34"/>
      <c r="O10" s="36" t="e">
        <f t="shared" ref="O10:O38" si="2">AVERAGE(L10:N10)</f>
        <v>#DIV/0!</v>
      </c>
      <c r="Q10" s="37" t="s">
        <v>22</v>
      </c>
    </row>
    <row r="11" spans="1:17" ht="17.25" customHeight="1">
      <c r="A11" s="38">
        <f>Page1!A10</f>
        <v>0</v>
      </c>
      <c r="B11" s="39">
        <f>Page1!B10</f>
        <v>0</v>
      </c>
      <c r="C11" s="40">
        <f>Page1!C10</f>
        <v>0</v>
      </c>
      <c r="D11" s="32"/>
      <c r="E11" s="32"/>
      <c r="F11" s="32"/>
      <c r="G11" s="33" t="e">
        <f t="shared" si="0"/>
        <v>#DIV/0!</v>
      </c>
      <c r="H11" s="34"/>
      <c r="I11" s="34"/>
      <c r="J11" s="34"/>
      <c r="K11" s="35" t="e">
        <f t="shared" si="1"/>
        <v>#DIV/0!</v>
      </c>
      <c r="L11" s="34"/>
      <c r="M11" s="34"/>
      <c r="N11" s="34"/>
      <c r="O11" s="36" t="e">
        <f t="shared" si="2"/>
        <v>#DIV/0!</v>
      </c>
    </row>
    <row r="12" spans="1:17" ht="17.25" customHeight="1">
      <c r="A12" s="38">
        <f>Page1!A11</f>
        <v>0</v>
      </c>
      <c r="B12" s="39">
        <f>Page1!B11</f>
        <v>0</v>
      </c>
      <c r="C12" s="40">
        <f>Page1!C11</f>
        <v>0</v>
      </c>
      <c r="D12" s="32"/>
      <c r="E12" s="32"/>
      <c r="F12" s="32"/>
      <c r="G12" s="33" t="e">
        <f t="shared" si="0"/>
        <v>#DIV/0!</v>
      </c>
      <c r="H12" s="34"/>
      <c r="I12" s="34"/>
      <c r="J12" s="34"/>
      <c r="K12" s="35" t="e">
        <f t="shared" si="1"/>
        <v>#DIV/0!</v>
      </c>
      <c r="L12" s="34"/>
      <c r="M12" s="34"/>
      <c r="N12" s="34"/>
      <c r="O12" s="36" t="e">
        <f t="shared" si="2"/>
        <v>#DIV/0!</v>
      </c>
    </row>
    <row r="13" spans="1:17" ht="17.25" customHeight="1">
      <c r="A13" s="38">
        <f>Page1!A12</f>
        <v>0</v>
      </c>
      <c r="B13" s="39">
        <f>Page1!B12</f>
        <v>0</v>
      </c>
      <c r="C13" s="40">
        <f>Page1!C12</f>
        <v>0</v>
      </c>
      <c r="D13" s="32"/>
      <c r="E13" s="32"/>
      <c r="F13" s="32"/>
      <c r="G13" s="33" t="e">
        <f t="shared" si="0"/>
        <v>#DIV/0!</v>
      </c>
      <c r="H13" s="34"/>
      <c r="I13" s="34"/>
      <c r="J13" s="34"/>
      <c r="K13" s="35" t="e">
        <f t="shared" si="1"/>
        <v>#DIV/0!</v>
      </c>
      <c r="L13" s="34"/>
      <c r="M13" s="34"/>
      <c r="N13" s="34"/>
      <c r="O13" s="36" t="e">
        <f t="shared" si="2"/>
        <v>#DIV/0!</v>
      </c>
    </row>
    <row r="14" spans="1:17" ht="17.25" customHeight="1">
      <c r="A14" s="38">
        <f>Page1!A13</f>
        <v>0</v>
      </c>
      <c r="B14" s="39">
        <f>Page1!B13</f>
        <v>0</v>
      </c>
      <c r="C14" s="40">
        <f>Page1!C13</f>
        <v>0</v>
      </c>
      <c r="D14" s="32"/>
      <c r="E14" s="32"/>
      <c r="F14" s="32"/>
      <c r="G14" s="33" t="e">
        <f t="shared" si="0"/>
        <v>#DIV/0!</v>
      </c>
      <c r="H14" s="34"/>
      <c r="I14" s="34"/>
      <c r="J14" s="34"/>
      <c r="K14" s="35" t="e">
        <f t="shared" si="1"/>
        <v>#DIV/0!</v>
      </c>
      <c r="L14" s="34"/>
      <c r="M14" s="34"/>
      <c r="N14" s="34"/>
      <c r="O14" s="36" t="e">
        <f t="shared" si="2"/>
        <v>#DIV/0!</v>
      </c>
    </row>
    <row r="15" spans="1:17" ht="17.25" customHeight="1">
      <c r="A15" s="38">
        <f>Page1!A14</f>
        <v>0</v>
      </c>
      <c r="B15" s="39">
        <f>Page1!B14</f>
        <v>0</v>
      </c>
      <c r="C15" s="40">
        <f>Page1!C14</f>
        <v>0</v>
      </c>
      <c r="D15" s="32"/>
      <c r="E15" s="32"/>
      <c r="F15" s="32"/>
      <c r="G15" s="33" t="e">
        <f t="shared" si="0"/>
        <v>#DIV/0!</v>
      </c>
      <c r="H15" s="34"/>
      <c r="I15" s="34"/>
      <c r="J15" s="34"/>
      <c r="K15" s="35" t="e">
        <f t="shared" si="1"/>
        <v>#DIV/0!</v>
      </c>
      <c r="L15" s="34"/>
      <c r="M15" s="34"/>
      <c r="N15" s="34"/>
      <c r="O15" s="36" t="e">
        <f t="shared" si="2"/>
        <v>#DIV/0!</v>
      </c>
    </row>
    <row r="16" spans="1:17" ht="17.25" customHeight="1">
      <c r="A16" s="38">
        <f>Page1!A15</f>
        <v>0</v>
      </c>
      <c r="B16" s="39">
        <f>Page1!B15</f>
        <v>0</v>
      </c>
      <c r="C16" s="40">
        <f>Page1!C15</f>
        <v>0</v>
      </c>
      <c r="D16" s="32"/>
      <c r="E16" s="32"/>
      <c r="F16" s="32"/>
      <c r="G16" s="33" t="e">
        <f t="shared" si="0"/>
        <v>#DIV/0!</v>
      </c>
      <c r="H16" s="34"/>
      <c r="I16" s="34"/>
      <c r="J16" s="34"/>
      <c r="K16" s="35" t="e">
        <f t="shared" si="1"/>
        <v>#DIV/0!</v>
      </c>
      <c r="L16" s="34"/>
      <c r="M16" s="34"/>
      <c r="N16" s="34"/>
      <c r="O16" s="36" t="e">
        <f t="shared" si="2"/>
        <v>#DIV/0!</v>
      </c>
    </row>
    <row r="17" spans="1:15" ht="17.25" customHeight="1">
      <c r="A17" s="38">
        <f>Page1!A16</f>
        <v>0</v>
      </c>
      <c r="B17" s="39">
        <f>Page1!B16</f>
        <v>0</v>
      </c>
      <c r="C17" s="40">
        <f>Page1!C16</f>
        <v>0</v>
      </c>
      <c r="D17" s="32"/>
      <c r="E17" s="32"/>
      <c r="F17" s="32"/>
      <c r="G17" s="33" t="e">
        <f t="shared" si="0"/>
        <v>#DIV/0!</v>
      </c>
      <c r="H17" s="34"/>
      <c r="I17" s="34"/>
      <c r="J17" s="34"/>
      <c r="K17" s="35" t="e">
        <f t="shared" si="1"/>
        <v>#DIV/0!</v>
      </c>
      <c r="L17" s="34"/>
      <c r="M17" s="34"/>
      <c r="N17" s="34"/>
      <c r="O17" s="36" t="e">
        <f t="shared" si="2"/>
        <v>#DIV/0!</v>
      </c>
    </row>
    <row r="18" spans="1:15" ht="17.25" customHeight="1">
      <c r="A18" s="38">
        <f>Page1!A17</f>
        <v>0</v>
      </c>
      <c r="B18" s="39">
        <f>Page1!B17</f>
        <v>0</v>
      </c>
      <c r="C18" s="40">
        <f>Page1!C17</f>
        <v>0</v>
      </c>
      <c r="D18" s="32"/>
      <c r="E18" s="32"/>
      <c r="F18" s="32"/>
      <c r="G18" s="33" t="e">
        <f t="shared" si="0"/>
        <v>#DIV/0!</v>
      </c>
      <c r="H18" s="34"/>
      <c r="I18" s="34"/>
      <c r="J18" s="34"/>
      <c r="K18" s="35" t="e">
        <f t="shared" si="1"/>
        <v>#DIV/0!</v>
      </c>
      <c r="L18" s="34"/>
      <c r="M18" s="34"/>
      <c r="N18" s="34"/>
      <c r="O18" s="36" t="e">
        <f t="shared" si="2"/>
        <v>#DIV/0!</v>
      </c>
    </row>
    <row r="19" spans="1:15" ht="17.25" customHeight="1">
      <c r="A19" s="38">
        <f>Page1!A18</f>
        <v>0</v>
      </c>
      <c r="B19" s="39">
        <f>Page1!B18</f>
        <v>0</v>
      </c>
      <c r="C19" s="40">
        <f>Page1!C18</f>
        <v>0</v>
      </c>
      <c r="D19" s="32"/>
      <c r="E19" s="32"/>
      <c r="F19" s="32"/>
      <c r="G19" s="33" t="e">
        <f t="shared" si="0"/>
        <v>#DIV/0!</v>
      </c>
      <c r="H19" s="34"/>
      <c r="I19" s="34"/>
      <c r="J19" s="34"/>
      <c r="K19" s="35" t="e">
        <f t="shared" si="1"/>
        <v>#DIV/0!</v>
      </c>
      <c r="L19" s="34"/>
      <c r="M19" s="34"/>
      <c r="N19" s="34"/>
      <c r="O19" s="36" t="e">
        <f t="shared" si="2"/>
        <v>#DIV/0!</v>
      </c>
    </row>
    <row r="20" spans="1:15" ht="17.25" customHeight="1">
      <c r="A20" s="38">
        <f>Page1!A19</f>
        <v>0</v>
      </c>
      <c r="B20" s="39">
        <f>Page1!B19</f>
        <v>0</v>
      </c>
      <c r="C20" s="40">
        <f>Page1!C19</f>
        <v>0</v>
      </c>
      <c r="D20" s="32"/>
      <c r="E20" s="32"/>
      <c r="F20" s="32"/>
      <c r="G20" s="33" t="e">
        <f t="shared" si="0"/>
        <v>#DIV/0!</v>
      </c>
      <c r="H20" s="34"/>
      <c r="I20" s="34"/>
      <c r="J20" s="34"/>
      <c r="K20" s="35" t="e">
        <f t="shared" si="1"/>
        <v>#DIV/0!</v>
      </c>
      <c r="L20" s="34"/>
      <c r="M20" s="34"/>
      <c r="N20" s="34"/>
      <c r="O20" s="36" t="e">
        <f t="shared" si="2"/>
        <v>#DIV/0!</v>
      </c>
    </row>
    <row r="21" spans="1:15" ht="17.25" customHeight="1">
      <c r="A21" s="38">
        <f>Page1!A20</f>
        <v>0</v>
      </c>
      <c r="B21" s="39">
        <f>Page1!B20</f>
        <v>0</v>
      </c>
      <c r="C21" s="40">
        <f>Page1!C20</f>
        <v>0</v>
      </c>
      <c r="D21" s="32"/>
      <c r="E21" s="32"/>
      <c r="F21" s="32"/>
      <c r="G21" s="33" t="e">
        <f t="shared" si="0"/>
        <v>#DIV/0!</v>
      </c>
      <c r="H21" s="34"/>
      <c r="I21" s="34"/>
      <c r="J21" s="34"/>
      <c r="K21" s="35" t="e">
        <f t="shared" si="1"/>
        <v>#DIV/0!</v>
      </c>
      <c r="L21" s="34"/>
      <c r="M21" s="34"/>
      <c r="N21" s="34"/>
      <c r="O21" s="36" t="e">
        <f t="shared" si="2"/>
        <v>#DIV/0!</v>
      </c>
    </row>
    <row r="22" spans="1:15" ht="17.25" customHeight="1">
      <c r="A22" s="38">
        <f>Page1!A21</f>
        <v>0</v>
      </c>
      <c r="B22" s="39">
        <f>Page1!B21</f>
        <v>0</v>
      </c>
      <c r="C22" s="40">
        <f>Page1!C21</f>
        <v>0</v>
      </c>
      <c r="D22" s="32"/>
      <c r="E22" s="32"/>
      <c r="F22" s="32"/>
      <c r="G22" s="33" t="e">
        <f t="shared" si="0"/>
        <v>#DIV/0!</v>
      </c>
      <c r="H22" s="34"/>
      <c r="I22" s="34"/>
      <c r="J22" s="34"/>
      <c r="K22" s="35" t="e">
        <f t="shared" si="1"/>
        <v>#DIV/0!</v>
      </c>
      <c r="L22" s="34"/>
      <c r="M22" s="34"/>
      <c r="N22" s="34"/>
      <c r="O22" s="36" t="e">
        <f t="shared" si="2"/>
        <v>#DIV/0!</v>
      </c>
    </row>
    <row r="23" spans="1:15" ht="17.25" customHeight="1">
      <c r="A23" s="38">
        <f>Page1!A22</f>
        <v>0</v>
      </c>
      <c r="B23" s="39">
        <f>Page1!B22</f>
        <v>0</v>
      </c>
      <c r="C23" s="40">
        <f>Page1!C22</f>
        <v>0</v>
      </c>
      <c r="D23" s="32"/>
      <c r="E23" s="32"/>
      <c r="F23" s="32"/>
      <c r="G23" s="33" t="e">
        <f t="shared" si="0"/>
        <v>#DIV/0!</v>
      </c>
      <c r="H23" s="34"/>
      <c r="I23" s="34"/>
      <c r="J23" s="34"/>
      <c r="K23" s="35" t="e">
        <f t="shared" si="1"/>
        <v>#DIV/0!</v>
      </c>
      <c r="L23" s="34"/>
      <c r="M23" s="34"/>
      <c r="N23" s="34"/>
      <c r="O23" s="36" t="e">
        <f t="shared" si="2"/>
        <v>#DIV/0!</v>
      </c>
    </row>
    <row r="24" spans="1:15" ht="17.25" customHeight="1">
      <c r="A24" s="38">
        <f>Page1!A23</f>
        <v>0</v>
      </c>
      <c r="B24" s="39">
        <f>Page1!B23</f>
        <v>0</v>
      </c>
      <c r="C24" s="40">
        <f>Page1!C23</f>
        <v>0</v>
      </c>
      <c r="D24" s="32"/>
      <c r="E24" s="32"/>
      <c r="F24" s="32"/>
      <c r="G24" s="33" t="e">
        <f t="shared" si="0"/>
        <v>#DIV/0!</v>
      </c>
      <c r="H24" s="34"/>
      <c r="I24" s="34"/>
      <c r="J24" s="34"/>
      <c r="K24" s="35" t="e">
        <f t="shared" si="1"/>
        <v>#DIV/0!</v>
      </c>
      <c r="L24" s="34"/>
      <c r="M24" s="34"/>
      <c r="N24" s="34"/>
      <c r="O24" s="36" t="e">
        <f t="shared" si="2"/>
        <v>#DIV/0!</v>
      </c>
    </row>
    <row r="25" spans="1:15" ht="17.25" customHeight="1">
      <c r="A25" s="38">
        <f>Page1!A24</f>
        <v>0</v>
      </c>
      <c r="B25" s="39">
        <f>Page1!B24</f>
        <v>0</v>
      </c>
      <c r="C25" s="40">
        <f>Page1!C24</f>
        <v>0</v>
      </c>
      <c r="D25" s="32"/>
      <c r="E25" s="32"/>
      <c r="F25" s="32"/>
      <c r="G25" s="33" t="e">
        <f t="shared" si="0"/>
        <v>#DIV/0!</v>
      </c>
      <c r="H25" s="34"/>
      <c r="I25" s="34"/>
      <c r="J25" s="34"/>
      <c r="K25" s="35" t="e">
        <f t="shared" si="1"/>
        <v>#DIV/0!</v>
      </c>
      <c r="L25" s="34"/>
      <c r="M25" s="34"/>
      <c r="N25" s="34"/>
      <c r="O25" s="36" t="e">
        <f t="shared" si="2"/>
        <v>#DIV/0!</v>
      </c>
    </row>
    <row r="26" spans="1:15" ht="17.25" customHeight="1">
      <c r="A26" s="38">
        <f>Page1!A25</f>
        <v>0</v>
      </c>
      <c r="B26" s="39">
        <f>Page1!B25</f>
        <v>0</v>
      </c>
      <c r="C26" s="40">
        <f>Page1!C25</f>
        <v>0</v>
      </c>
      <c r="D26" s="32"/>
      <c r="E26" s="32"/>
      <c r="F26" s="32"/>
      <c r="G26" s="33" t="e">
        <f t="shared" si="0"/>
        <v>#DIV/0!</v>
      </c>
      <c r="H26" s="34"/>
      <c r="I26" s="34"/>
      <c r="J26" s="34"/>
      <c r="K26" s="35" t="e">
        <f t="shared" si="1"/>
        <v>#DIV/0!</v>
      </c>
      <c r="L26" s="34"/>
      <c r="M26" s="34"/>
      <c r="N26" s="34"/>
      <c r="O26" s="36" t="e">
        <f t="shared" si="2"/>
        <v>#DIV/0!</v>
      </c>
    </row>
    <row r="27" spans="1:15" ht="17.25" customHeight="1">
      <c r="A27" s="38">
        <f>Page1!A26</f>
        <v>0</v>
      </c>
      <c r="B27" s="39">
        <f>Page1!B26</f>
        <v>0</v>
      </c>
      <c r="C27" s="40">
        <f>Page1!C26</f>
        <v>0</v>
      </c>
      <c r="D27" s="32"/>
      <c r="E27" s="32"/>
      <c r="F27" s="32"/>
      <c r="G27" s="33" t="e">
        <f t="shared" si="0"/>
        <v>#DIV/0!</v>
      </c>
      <c r="H27" s="34"/>
      <c r="I27" s="34"/>
      <c r="J27" s="34"/>
      <c r="K27" s="35" t="e">
        <f t="shared" si="1"/>
        <v>#DIV/0!</v>
      </c>
      <c r="L27" s="34"/>
      <c r="M27" s="34"/>
      <c r="N27" s="34"/>
      <c r="O27" s="36" t="e">
        <f t="shared" si="2"/>
        <v>#DIV/0!</v>
      </c>
    </row>
    <row r="28" spans="1:15" ht="17.25" customHeight="1">
      <c r="A28" s="38">
        <f>Page1!A27</f>
        <v>0</v>
      </c>
      <c r="B28" s="39">
        <f>Page1!B27</f>
        <v>0</v>
      </c>
      <c r="C28" s="40">
        <f>Page1!C27</f>
        <v>0</v>
      </c>
      <c r="D28" s="32"/>
      <c r="E28" s="32"/>
      <c r="F28" s="32"/>
      <c r="G28" s="33" t="e">
        <f t="shared" si="0"/>
        <v>#DIV/0!</v>
      </c>
      <c r="H28" s="34"/>
      <c r="I28" s="34"/>
      <c r="J28" s="34"/>
      <c r="K28" s="35" t="e">
        <f t="shared" si="1"/>
        <v>#DIV/0!</v>
      </c>
      <c r="L28" s="34"/>
      <c r="M28" s="34"/>
      <c r="N28" s="34"/>
      <c r="O28" s="36" t="e">
        <f t="shared" si="2"/>
        <v>#DIV/0!</v>
      </c>
    </row>
    <row r="29" spans="1:15" ht="17.25" customHeight="1">
      <c r="A29" s="38">
        <f>Page1!A28</f>
        <v>0</v>
      </c>
      <c r="B29" s="39">
        <f>Page1!B28</f>
        <v>0</v>
      </c>
      <c r="C29" s="40">
        <f>Page1!C28</f>
        <v>0</v>
      </c>
      <c r="D29" s="32"/>
      <c r="E29" s="32"/>
      <c r="F29" s="32"/>
      <c r="G29" s="33" t="e">
        <f t="shared" si="0"/>
        <v>#DIV/0!</v>
      </c>
      <c r="H29" s="34"/>
      <c r="I29" s="34"/>
      <c r="J29" s="34"/>
      <c r="K29" s="35" t="e">
        <f t="shared" si="1"/>
        <v>#DIV/0!</v>
      </c>
      <c r="L29" s="34"/>
      <c r="M29" s="34"/>
      <c r="N29" s="34"/>
      <c r="O29" s="36" t="e">
        <f t="shared" si="2"/>
        <v>#DIV/0!</v>
      </c>
    </row>
    <row r="30" spans="1:15" ht="17.25" customHeight="1">
      <c r="A30" s="38">
        <f>Page1!A29</f>
        <v>0</v>
      </c>
      <c r="B30" s="39">
        <f>Page1!B29</f>
        <v>0</v>
      </c>
      <c r="C30" s="40">
        <f>Page1!C29</f>
        <v>0</v>
      </c>
      <c r="D30" s="32"/>
      <c r="E30" s="32"/>
      <c r="F30" s="32"/>
      <c r="G30" s="33" t="e">
        <f t="shared" si="0"/>
        <v>#DIV/0!</v>
      </c>
      <c r="H30" s="34"/>
      <c r="I30" s="34"/>
      <c r="J30" s="34"/>
      <c r="K30" s="35" t="e">
        <f t="shared" si="1"/>
        <v>#DIV/0!</v>
      </c>
      <c r="L30" s="34"/>
      <c r="M30" s="34"/>
      <c r="N30" s="34"/>
      <c r="O30" s="36" t="e">
        <f t="shared" si="2"/>
        <v>#DIV/0!</v>
      </c>
    </row>
    <row r="31" spans="1:15" ht="17.25" customHeight="1">
      <c r="A31" s="38">
        <f>Page1!A30</f>
        <v>0</v>
      </c>
      <c r="B31" s="39">
        <f>Page1!B30</f>
        <v>0</v>
      </c>
      <c r="C31" s="40">
        <f>Page1!C30</f>
        <v>0</v>
      </c>
      <c r="D31" s="32"/>
      <c r="E31" s="32"/>
      <c r="F31" s="32"/>
      <c r="G31" s="33" t="e">
        <f t="shared" si="0"/>
        <v>#DIV/0!</v>
      </c>
      <c r="H31" s="34"/>
      <c r="I31" s="34"/>
      <c r="J31" s="34"/>
      <c r="K31" s="35" t="e">
        <f t="shared" si="1"/>
        <v>#DIV/0!</v>
      </c>
      <c r="L31" s="34"/>
      <c r="M31" s="34"/>
      <c r="N31" s="34"/>
      <c r="O31" s="36" t="e">
        <f t="shared" si="2"/>
        <v>#DIV/0!</v>
      </c>
    </row>
    <row r="32" spans="1:15" ht="17.25" customHeight="1">
      <c r="A32" s="38">
        <f>Page1!A31</f>
        <v>0</v>
      </c>
      <c r="B32" s="39">
        <f>Page1!B31</f>
        <v>0</v>
      </c>
      <c r="C32" s="40">
        <f>Page1!C31</f>
        <v>0</v>
      </c>
      <c r="D32" s="32"/>
      <c r="E32" s="32"/>
      <c r="F32" s="32"/>
      <c r="G32" s="33" t="e">
        <f t="shared" si="0"/>
        <v>#DIV/0!</v>
      </c>
      <c r="H32" s="34"/>
      <c r="I32" s="34"/>
      <c r="J32" s="34"/>
      <c r="K32" s="35" t="e">
        <f t="shared" si="1"/>
        <v>#DIV/0!</v>
      </c>
      <c r="L32" s="34"/>
      <c r="M32" s="34"/>
      <c r="N32" s="34"/>
      <c r="O32" s="36" t="e">
        <f t="shared" si="2"/>
        <v>#DIV/0!</v>
      </c>
    </row>
    <row r="33" spans="1:15" ht="17.25" customHeight="1">
      <c r="A33" s="38">
        <f>Page1!A32</f>
        <v>0</v>
      </c>
      <c r="B33" s="39">
        <f>Page1!B32</f>
        <v>0</v>
      </c>
      <c r="C33" s="40">
        <f>Page1!C32</f>
        <v>0</v>
      </c>
      <c r="D33" s="32"/>
      <c r="E33" s="32"/>
      <c r="F33" s="32"/>
      <c r="G33" s="33" t="e">
        <f t="shared" si="0"/>
        <v>#DIV/0!</v>
      </c>
      <c r="H33" s="34"/>
      <c r="I33" s="34"/>
      <c r="J33" s="34"/>
      <c r="K33" s="35" t="e">
        <f t="shared" si="1"/>
        <v>#DIV/0!</v>
      </c>
      <c r="L33" s="34"/>
      <c r="M33" s="34"/>
      <c r="N33" s="34"/>
      <c r="O33" s="36" t="e">
        <f t="shared" si="2"/>
        <v>#DIV/0!</v>
      </c>
    </row>
    <row r="34" spans="1:15" ht="17.25" customHeight="1">
      <c r="A34" s="38">
        <f>Page1!A33</f>
        <v>0</v>
      </c>
      <c r="B34" s="39">
        <f>Page1!B33</f>
        <v>0</v>
      </c>
      <c r="C34" s="40">
        <f>Page1!C33</f>
        <v>0</v>
      </c>
      <c r="D34" s="32"/>
      <c r="E34" s="32"/>
      <c r="F34" s="32"/>
      <c r="G34" s="33" t="e">
        <f t="shared" si="0"/>
        <v>#DIV/0!</v>
      </c>
      <c r="H34" s="34"/>
      <c r="I34" s="34"/>
      <c r="J34" s="34"/>
      <c r="K34" s="35" t="e">
        <f t="shared" si="1"/>
        <v>#DIV/0!</v>
      </c>
      <c r="L34" s="34"/>
      <c r="M34" s="34"/>
      <c r="N34" s="34"/>
      <c r="O34" s="36" t="e">
        <f t="shared" si="2"/>
        <v>#DIV/0!</v>
      </c>
    </row>
    <row r="35" spans="1:15" ht="17.25" customHeight="1">
      <c r="A35" s="38">
        <f>Page1!A34</f>
        <v>0</v>
      </c>
      <c r="B35" s="39">
        <f>Page1!B34</f>
        <v>0</v>
      </c>
      <c r="C35" s="40">
        <f>Page1!C34</f>
        <v>0</v>
      </c>
      <c r="D35" s="32"/>
      <c r="E35" s="32"/>
      <c r="F35" s="32"/>
      <c r="G35" s="33" t="e">
        <f t="shared" si="0"/>
        <v>#DIV/0!</v>
      </c>
      <c r="H35" s="34"/>
      <c r="I35" s="34"/>
      <c r="J35" s="34"/>
      <c r="K35" s="35" t="e">
        <f t="shared" si="1"/>
        <v>#DIV/0!</v>
      </c>
      <c r="L35" s="34"/>
      <c r="M35" s="34"/>
      <c r="N35" s="34"/>
      <c r="O35" s="36" t="e">
        <f t="shared" si="2"/>
        <v>#DIV/0!</v>
      </c>
    </row>
    <row r="36" spans="1:15" ht="17.25" customHeight="1">
      <c r="A36" s="38">
        <f>Page1!A35</f>
        <v>0</v>
      </c>
      <c r="B36" s="39">
        <f>Page1!B35</f>
        <v>0</v>
      </c>
      <c r="C36" s="40">
        <f>Page1!C35</f>
        <v>0</v>
      </c>
      <c r="D36" s="32"/>
      <c r="E36" s="32"/>
      <c r="F36" s="32"/>
      <c r="G36" s="33" t="e">
        <f t="shared" si="0"/>
        <v>#DIV/0!</v>
      </c>
      <c r="H36" s="34"/>
      <c r="I36" s="34"/>
      <c r="J36" s="34"/>
      <c r="K36" s="35" t="e">
        <f t="shared" si="1"/>
        <v>#DIV/0!</v>
      </c>
      <c r="L36" s="34"/>
      <c r="M36" s="34"/>
      <c r="N36" s="34"/>
      <c r="O36" s="36" t="e">
        <f t="shared" si="2"/>
        <v>#DIV/0!</v>
      </c>
    </row>
    <row r="37" spans="1:15" ht="17.25" customHeight="1">
      <c r="A37" s="38">
        <f>Page1!A36</f>
        <v>0</v>
      </c>
      <c r="B37" s="39">
        <f>Page1!B36</f>
        <v>0</v>
      </c>
      <c r="C37" s="40">
        <f>Page1!C36</f>
        <v>0</v>
      </c>
      <c r="D37" s="32"/>
      <c r="E37" s="32"/>
      <c r="F37" s="32"/>
      <c r="G37" s="33" t="e">
        <f t="shared" si="0"/>
        <v>#DIV/0!</v>
      </c>
      <c r="H37" s="34"/>
      <c r="I37" s="34"/>
      <c r="J37" s="34"/>
      <c r="K37" s="35" t="e">
        <f t="shared" si="1"/>
        <v>#DIV/0!</v>
      </c>
      <c r="L37" s="34"/>
      <c r="M37" s="34"/>
      <c r="N37" s="34"/>
      <c r="O37" s="36" t="e">
        <f t="shared" si="2"/>
        <v>#DIV/0!</v>
      </c>
    </row>
    <row r="38" spans="1:15" ht="17.25" customHeight="1" thickBot="1">
      <c r="A38" s="38">
        <f>Page1!A37</f>
        <v>0</v>
      </c>
      <c r="B38" s="39">
        <f>Page1!B37</f>
        <v>0</v>
      </c>
      <c r="C38" s="40">
        <f>Page1!C37</f>
        <v>0</v>
      </c>
      <c r="D38" s="32"/>
      <c r="E38" s="32"/>
      <c r="F38" s="32"/>
      <c r="G38" s="33" t="e">
        <f t="shared" si="0"/>
        <v>#DIV/0!</v>
      </c>
      <c r="H38" s="34"/>
      <c r="I38" s="34"/>
      <c r="J38" s="34"/>
      <c r="K38" s="35" t="e">
        <f t="shared" si="1"/>
        <v>#DIV/0!</v>
      </c>
      <c r="L38" s="34"/>
      <c r="M38" s="34"/>
      <c r="N38" s="34"/>
      <c r="O38" s="36" t="e">
        <f t="shared" si="2"/>
        <v>#DIV/0!</v>
      </c>
    </row>
    <row r="39" spans="1:15" s="43" customFormat="1" ht="16.5" customHeight="1">
      <c r="A39" s="41"/>
      <c r="B39" s="42"/>
      <c r="C39" s="42" t="s">
        <v>23</v>
      </c>
      <c r="D39" s="222" t="e">
        <f>AVERAGE(G9:G38)</f>
        <v>#DIV/0!</v>
      </c>
      <c r="E39" s="223"/>
      <c r="F39" s="223"/>
      <c r="G39" s="224"/>
      <c r="H39" s="231" t="e">
        <f>AVERAGE(K9:K38)</f>
        <v>#DIV/0!</v>
      </c>
      <c r="I39" s="232"/>
      <c r="J39" s="232"/>
      <c r="K39" s="233"/>
      <c r="L39" s="231" t="e">
        <f>AVERAGE(O9:O38)</f>
        <v>#DIV/0!</v>
      </c>
      <c r="M39" s="232"/>
      <c r="N39" s="232"/>
      <c r="O39" s="250"/>
    </row>
    <row r="40" spans="1:15" s="43" customFormat="1" ht="16.5" customHeight="1">
      <c r="A40" s="44"/>
      <c r="B40" s="45"/>
      <c r="C40" s="39" t="s">
        <v>24</v>
      </c>
      <c r="D40" s="225" t="e">
        <f>MIN(G9:G38)</f>
        <v>#DIV/0!</v>
      </c>
      <c r="E40" s="226"/>
      <c r="F40" s="226"/>
      <c r="G40" s="227"/>
      <c r="H40" s="234" t="e">
        <f>MIN(K9:K38)</f>
        <v>#DIV/0!</v>
      </c>
      <c r="I40" s="235"/>
      <c r="J40" s="235"/>
      <c r="K40" s="236"/>
      <c r="L40" s="234" t="e">
        <f>MIN(O9:O38)</f>
        <v>#DIV/0!</v>
      </c>
      <c r="M40" s="235"/>
      <c r="N40" s="235"/>
      <c r="O40" s="237"/>
    </row>
    <row r="41" spans="1:15" s="43" customFormat="1" ht="16.5" customHeight="1" thickBot="1">
      <c r="A41" s="46"/>
      <c r="B41" s="47"/>
      <c r="C41" s="48" t="s">
        <v>25</v>
      </c>
      <c r="D41" s="228" t="e">
        <f>MAX(G9:G38)</f>
        <v>#DIV/0!</v>
      </c>
      <c r="E41" s="229"/>
      <c r="F41" s="229"/>
      <c r="G41" s="230"/>
      <c r="H41" s="238" t="e">
        <f>MAX(K9:K38)</f>
        <v>#DIV/0!</v>
      </c>
      <c r="I41" s="239"/>
      <c r="J41" s="239"/>
      <c r="K41" s="240"/>
      <c r="L41" s="238" t="e">
        <f>MAX(O9:O38)</f>
        <v>#DIV/0!</v>
      </c>
      <c r="M41" s="239"/>
      <c r="N41" s="239"/>
      <c r="O41" s="251"/>
    </row>
    <row r="42" spans="1:15" s="53" customFormat="1" ht="16.5" customHeight="1">
      <c r="A42" s="49" t="s">
        <v>12</v>
      </c>
      <c r="B42" s="168"/>
      <c r="C42" s="168"/>
      <c r="D42" s="169" t="s">
        <v>14</v>
      </c>
      <c r="E42" s="169"/>
      <c r="F42" s="50"/>
      <c r="G42" s="51"/>
      <c r="H42" s="51"/>
      <c r="I42" s="51"/>
      <c r="J42" s="52"/>
      <c r="K42" s="52"/>
      <c r="L42" s="52" t="s">
        <v>15</v>
      </c>
      <c r="M42" s="171"/>
      <c r="N42" s="171"/>
      <c r="O42" s="26" t="s">
        <v>16</v>
      </c>
    </row>
    <row r="43" spans="1:15" s="53" customFormat="1" ht="16.5" customHeight="1">
      <c r="A43" s="49"/>
      <c r="B43" s="130"/>
      <c r="C43" s="130"/>
      <c r="D43" s="26"/>
      <c r="E43" s="26"/>
      <c r="F43" s="49"/>
      <c r="G43" s="51"/>
      <c r="H43" s="51"/>
      <c r="I43" s="51"/>
      <c r="J43" s="51"/>
      <c r="K43" s="26"/>
      <c r="L43" s="54"/>
      <c r="M43" s="131" t="s">
        <v>144</v>
      </c>
      <c r="N43" s="131"/>
      <c r="O43" s="26"/>
    </row>
    <row r="44" spans="1:15" s="43" customFormat="1" ht="16.5" customHeight="1">
      <c r="A44" s="132" t="s">
        <v>13</v>
      </c>
      <c r="B44" s="132"/>
      <c r="C44" s="132"/>
      <c r="D44" s="51"/>
      <c r="E44" s="51"/>
      <c r="F44" s="49" t="s">
        <v>116</v>
      </c>
      <c r="G44" s="132" t="s">
        <v>143</v>
      </c>
      <c r="H44" s="132"/>
      <c r="I44" s="132"/>
      <c r="J44" s="51"/>
      <c r="K44" s="51"/>
      <c r="L44" s="51"/>
      <c r="M44" s="51"/>
      <c r="N44" s="51"/>
      <c r="O44" s="51"/>
    </row>
    <row r="45" spans="1:15" s="53" customFormat="1" ht="16.5" customHeight="1">
      <c r="A45" s="132" t="s">
        <v>21</v>
      </c>
      <c r="B45" s="132"/>
      <c r="C45" s="49"/>
      <c r="D45" s="51"/>
      <c r="E45" s="51"/>
      <c r="F45" s="51"/>
      <c r="G45" s="51"/>
      <c r="H45" s="51"/>
      <c r="I45" s="51"/>
      <c r="J45" s="51"/>
      <c r="K45" s="51"/>
      <c r="L45" s="51"/>
      <c r="M45" s="151" t="s">
        <v>113</v>
      </c>
      <c r="N45" s="151"/>
      <c r="O45" s="51"/>
    </row>
    <row r="46" spans="1:15" s="53" customFormat="1" ht="15">
      <c r="A46" s="132"/>
      <c r="B46" s="132"/>
      <c r="C46" s="49"/>
      <c r="D46" s="51"/>
      <c r="E46" s="51"/>
      <c r="F46" s="51"/>
      <c r="G46" s="51"/>
      <c r="H46" s="51"/>
      <c r="I46" s="51"/>
      <c r="J46" s="51"/>
      <c r="K46" s="51"/>
      <c r="L46" s="51"/>
      <c r="M46" s="151"/>
      <c r="N46" s="151"/>
      <c r="O46" s="51"/>
    </row>
  </sheetData>
  <mergeCells count="42">
    <mergeCell ref="A1:M1"/>
    <mergeCell ref="N1:O1"/>
    <mergeCell ref="B42:C42"/>
    <mergeCell ref="B43:C43"/>
    <mergeCell ref="A44:C44"/>
    <mergeCell ref="A6:C6"/>
    <mergeCell ref="D6:O6"/>
    <mergeCell ref="L5:M5"/>
    <mergeCell ref="A2:M3"/>
    <mergeCell ref="N2:O2"/>
    <mergeCell ref="B4:D4"/>
    <mergeCell ref="E4:F4"/>
    <mergeCell ref="G4:H4"/>
    <mergeCell ref="J4:K4"/>
    <mergeCell ref="N4:O4"/>
    <mergeCell ref="L4:M4"/>
    <mergeCell ref="B5:D5"/>
    <mergeCell ref="E5:F5"/>
    <mergeCell ref="G5:H5"/>
    <mergeCell ref="J5:K5"/>
    <mergeCell ref="N5:O5"/>
    <mergeCell ref="A7:C8"/>
    <mergeCell ref="D7:G7"/>
    <mergeCell ref="H7:K7"/>
    <mergeCell ref="L7:O7"/>
    <mergeCell ref="D39:G39"/>
    <mergeCell ref="H39:K39"/>
    <mergeCell ref="L39:O39"/>
    <mergeCell ref="D40:G40"/>
    <mergeCell ref="H40:K40"/>
    <mergeCell ref="L40:O40"/>
    <mergeCell ref="D41:G41"/>
    <mergeCell ref="H41:K41"/>
    <mergeCell ref="L41:O41"/>
    <mergeCell ref="M45:N45"/>
    <mergeCell ref="A46:B46"/>
    <mergeCell ref="M46:N46"/>
    <mergeCell ref="D42:E42"/>
    <mergeCell ref="A45:B45"/>
    <mergeCell ref="G44:I44"/>
    <mergeCell ref="M42:N42"/>
    <mergeCell ref="M43:N43"/>
  </mergeCells>
  <conditionalFormatting sqref="D9:G41">
    <cfRule type="cellIs" dxfId="9" priority="3" operator="lessThan">
      <formula>400</formula>
    </cfRule>
  </conditionalFormatting>
  <conditionalFormatting sqref="H9:K41">
    <cfRule type="cellIs" dxfId="8" priority="1" operator="lessThan">
      <formula>6.5</formula>
    </cfRule>
  </conditionalFormatting>
  <conditionalFormatting sqref="L9:O41">
    <cfRule type="cellIs" dxfId="7" priority="2" operator="notBetween">
      <formula>15</formula>
      <formula>35</formula>
    </cfRule>
  </conditionalFormatting>
  <printOptions horizontalCentered="1" verticalCentered="1"/>
  <pageMargins left="0.19685039370078741" right="0.19685039370078741" top="0.59055118110236227" bottom="0.19685039370078741" header="0.15748031496062992" footer="0.23622047244094491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38E4-FBE4-4E86-A73A-256AF820BDD9}">
  <sheetPr>
    <pageSetUpPr fitToPage="1"/>
  </sheetPr>
  <dimension ref="A1:O46"/>
  <sheetViews>
    <sheetView view="pageBreakPreview" zoomScaleNormal="100" zoomScaleSheetLayoutView="100" workbookViewId="0">
      <selection activeCell="A9" sqref="A9"/>
    </sheetView>
  </sheetViews>
  <sheetFormatPr defaultColWidth="9.140625" defaultRowHeight="12.75"/>
  <cols>
    <col min="1" max="3" width="14" style="37" customWidth="1"/>
    <col min="4" max="15" width="14.28515625" style="37" customWidth="1"/>
    <col min="16" max="16384" width="9.140625" style="37"/>
  </cols>
  <sheetData>
    <row r="1" spans="1:15" s="24" customFormat="1" ht="15.75" customHeight="1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191" t="s">
        <v>26</v>
      </c>
      <c r="O1" s="191"/>
    </row>
    <row r="2" spans="1:15" s="24" customFormat="1" ht="15.75" customHeight="1">
      <c r="A2" s="253" t="s">
        <v>11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192" t="s">
        <v>27</v>
      </c>
      <c r="O2" s="192"/>
    </row>
    <row r="3" spans="1:15" s="24" customFormat="1" ht="16.5" thickBot="1">
      <c r="A3" s="253"/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" t="s">
        <v>19</v>
      </c>
      <c r="O3" s="26" t="s">
        <v>144</v>
      </c>
    </row>
    <row r="4" spans="1:15" s="53" customFormat="1" ht="23.25" customHeight="1">
      <c r="A4" s="70" t="s">
        <v>1</v>
      </c>
      <c r="B4" s="259">
        <f>Page1!B4</f>
        <v>0</v>
      </c>
      <c r="C4" s="260"/>
      <c r="D4" s="261"/>
      <c r="E4" s="262" t="s">
        <v>3</v>
      </c>
      <c r="F4" s="262"/>
      <c r="G4" s="263">
        <f>Page1!F4</f>
        <v>0</v>
      </c>
      <c r="H4" s="263"/>
      <c r="I4" s="119" t="s">
        <v>5</v>
      </c>
      <c r="J4" s="263">
        <f>Page1!J4</f>
        <v>0</v>
      </c>
      <c r="K4" s="263"/>
      <c r="L4" s="218" t="s">
        <v>7</v>
      </c>
      <c r="M4" s="219"/>
      <c r="N4" s="259">
        <f>Page1!N4</f>
        <v>0</v>
      </c>
      <c r="O4" s="264"/>
    </row>
    <row r="5" spans="1:15" s="62" customFormat="1" ht="23.25" customHeight="1">
      <c r="A5" s="71" t="s">
        <v>2</v>
      </c>
      <c r="B5" s="241">
        <f>Page1!B5</f>
        <v>0</v>
      </c>
      <c r="C5" s="241"/>
      <c r="D5" s="241"/>
      <c r="E5" s="249" t="s">
        <v>4</v>
      </c>
      <c r="F5" s="249"/>
      <c r="G5" s="241">
        <f>Page1!F5</f>
        <v>0</v>
      </c>
      <c r="H5" s="241"/>
      <c r="I5" s="120" t="s">
        <v>6</v>
      </c>
      <c r="J5" s="241">
        <f>Page1!J5</f>
        <v>0</v>
      </c>
      <c r="K5" s="241"/>
      <c r="L5" s="220" t="s">
        <v>8</v>
      </c>
      <c r="M5" s="221"/>
      <c r="N5" s="203">
        <f>Page1!N5</f>
        <v>0</v>
      </c>
      <c r="O5" s="248"/>
    </row>
    <row r="6" spans="1:15" s="43" customFormat="1" ht="15.75" customHeight="1" thickBot="1">
      <c r="A6" s="281" t="s">
        <v>29</v>
      </c>
      <c r="B6" s="282"/>
      <c r="C6" s="283"/>
      <c r="D6" s="284" t="s">
        <v>144</v>
      </c>
      <c r="E6" s="282"/>
      <c r="F6" s="282"/>
      <c r="G6" s="282"/>
      <c r="H6" s="282"/>
      <c r="I6" s="282"/>
      <c r="J6" s="282"/>
      <c r="K6" s="283"/>
      <c r="L6" s="284" t="s">
        <v>144</v>
      </c>
      <c r="M6" s="282"/>
      <c r="N6" s="282"/>
      <c r="O6" s="285"/>
    </row>
    <row r="7" spans="1:15" s="43" customFormat="1" ht="39.75" customHeight="1">
      <c r="A7" s="286" t="s">
        <v>0</v>
      </c>
      <c r="B7" s="287"/>
      <c r="C7" s="288"/>
      <c r="D7" s="289" t="s">
        <v>28</v>
      </c>
      <c r="E7" s="288"/>
      <c r="F7" s="289" t="s">
        <v>115</v>
      </c>
      <c r="G7" s="288"/>
      <c r="H7" s="289" t="s">
        <v>34</v>
      </c>
      <c r="I7" s="288"/>
      <c r="J7" s="290" t="s">
        <v>110</v>
      </c>
      <c r="K7" s="291"/>
      <c r="L7" s="259" t="s">
        <v>35</v>
      </c>
      <c r="M7" s="260"/>
      <c r="N7" s="260"/>
      <c r="O7" s="264"/>
    </row>
    <row r="8" spans="1:15" ht="17.25" customHeight="1" thickBot="1">
      <c r="A8" s="244"/>
      <c r="B8" s="209"/>
      <c r="C8" s="210"/>
      <c r="D8" s="208"/>
      <c r="E8" s="210"/>
      <c r="F8" s="208"/>
      <c r="G8" s="210"/>
      <c r="H8" s="208"/>
      <c r="I8" s="210"/>
      <c r="J8" s="292"/>
      <c r="K8" s="293"/>
      <c r="L8" s="72">
        <v>1</v>
      </c>
      <c r="M8" s="72">
        <v>2</v>
      </c>
      <c r="N8" s="72">
        <v>3</v>
      </c>
      <c r="O8" s="73" t="s">
        <v>33</v>
      </c>
    </row>
    <row r="9" spans="1:15" ht="19.5" customHeight="1">
      <c r="A9" s="31">
        <f>Page1!A8</f>
        <v>0</v>
      </c>
      <c r="B9" s="301">
        <f>Page1!B8</f>
        <v>0</v>
      </c>
      <c r="C9" s="301">
        <f>Page1!C8</f>
        <v>0</v>
      </c>
      <c r="D9" s="295"/>
      <c r="E9" s="296"/>
      <c r="F9" s="295"/>
      <c r="G9" s="296"/>
      <c r="H9" s="295"/>
      <c r="I9" s="296"/>
      <c r="J9" s="297"/>
      <c r="K9" s="298"/>
      <c r="L9" s="118"/>
      <c r="M9" s="34"/>
      <c r="N9" s="34"/>
      <c r="O9" s="74" t="e">
        <f>AVERAGE(L9:N9)</f>
        <v>#DIV/0!</v>
      </c>
    </row>
    <row r="10" spans="1:15" ht="19.5" customHeight="1">
      <c r="A10" s="38">
        <f>Page1!A9</f>
        <v>0</v>
      </c>
      <c r="B10" s="39">
        <f>Page1!B9</f>
        <v>0</v>
      </c>
      <c r="C10" s="40">
        <f>Page1!C9</f>
        <v>0</v>
      </c>
      <c r="D10" s="136"/>
      <c r="E10" s="138"/>
      <c r="F10" s="136"/>
      <c r="G10" s="138"/>
      <c r="H10" s="136"/>
      <c r="I10" s="138"/>
      <c r="J10" s="139"/>
      <c r="K10" s="215"/>
      <c r="L10" s="118"/>
      <c r="M10" s="34"/>
      <c r="N10" s="34"/>
      <c r="O10" s="74" t="e">
        <f t="shared" ref="O10:O38" si="0">AVERAGE(L10:N10)</f>
        <v>#DIV/0!</v>
      </c>
    </row>
    <row r="11" spans="1:15" ht="19.5" customHeight="1">
      <c r="A11" s="38">
        <f>Page1!A10</f>
        <v>0</v>
      </c>
      <c r="B11" s="39">
        <f>Page1!B10</f>
        <v>0</v>
      </c>
      <c r="C11" s="40">
        <f>Page1!C10</f>
        <v>0</v>
      </c>
      <c r="D11" s="136"/>
      <c r="E11" s="138"/>
      <c r="F11" s="136"/>
      <c r="G11" s="138"/>
      <c r="H11" s="136"/>
      <c r="I11" s="138"/>
      <c r="J11" s="139"/>
      <c r="K11" s="215"/>
      <c r="L11" s="118"/>
      <c r="M11" s="34"/>
      <c r="N11" s="34"/>
      <c r="O11" s="74" t="e">
        <f t="shared" si="0"/>
        <v>#DIV/0!</v>
      </c>
    </row>
    <row r="12" spans="1:15" ht="19.5" customHeight="1">
      <c r="A12" s="38">
        <f>Page1!A11</f>
        <v>0</v>
      </c>
      <c r="B12" s="39">
        <f>Page1!B11</f>
        <v>0</v>
      </c>
      <c r="C12" s="40">
        <f>Page1!C11</f>
        <v>0</v>
      </c>
      <c r="D12" s="136"/>
      <c r="E12" s="138"/>
      <c r="F12" s="136"/>
      <c r="G12" s="138"/>
      <c r="H12" s="136"/>
      <c r="I12" s="138"/>
      <c r="J12" s="139"/>
      <c r="K12" s="215"/>
      <c r="L12" s="75"/>
      <c r="M12" s="76"/>
      <c r="N12" s="76"/>
      <c r="O12" s="74" t="e">
        <f t="shared" si="0"/>
        <v>#DIV/0!</v>
      </c>
    </row>
    <row r="13" spans="1:15" ht="19.5" customHeight="1">
      <c r="A13" s="38">
        <f>Page1!A12</f>
        <v>0</v>
      </c>
      <c r="B13" s="39">
        <f>Page1!B12</f>
        <v>0</v>
      </c>
      <c r="C13" s="40">
        <f>Page1!C12</f>
        <v>0</v>
      </c>
      <c r="D13" s="136"/>
      <c r="E13" s="138"/>
      <c r="F13" s="136"/>
      <c r="G13" s="138"/>
      <c r="H13" s="136"/>
      <c r="I13" s="138"/>
      <c r="J13" s="139"/>
      <c r="K13" s="215"/>
      <c r="L13" s="118"/>
      <c r="M13" s="34"/>
      <c r="N13" s="34"/>
      <c r="O13" s="74" t="e">
        <f t="shared" si="0"/>
        <v>#DIV/0!</v>
      </c>
    </row>
    <row r="14" spans="1:15" ht="19.5" customHeight="1">
      <c r="A14" s="38">
        <f>Page1!A13</f>
        <v>0</v>
      </c>
      <c r="B14" s="39">
        <f>Page1!B13</f>
        <v>0</v>
      </c>
      <c r="C14" s="40">
        <f>Page1!C13</f>
        <v>0</v>
      </c>
      <c r="D14" s="136"/>
      <c r="E14" s="138"/>
      <c r="F14" s="136"/>
      <c r="G14" s="138"/>
      <c r="H14" s="136"/>
      <c r="I14" s="138"/>
      <c r="J14" s="139"/>
      <c r="K14" s="215"/>
      <c r="L14" s="118"/>
      <c r="M14" s="34"/>
      <c r="N14" s="34"/>
      <c r="O14" s="74" t="e">
        <f t="shared" si="0"/>
        <v>#DIV/0!</v>
      </c>
    </row>
    <row r="15" spans="1:15" ht="19.5" customHeight="1">
      <c r="A15" s="38">
        <f>Page1!A14</f>
        <v>0</v>
      </c>
      <c r="B15" s="39">
        <f>Page1!B14</f>
        <v>0</v>
      </c>
      <c r="C15" s="40">
        <f>Page1!C14</f>
        <v>0</v>
      </c>
      <c r="D15" s="136"/>
      <c r="E15" s="138"/>
      <c r="F15" s="136"/>
      <c r="G15" s="138"/>
      <c r="H15" s="136"/>
      <c r="I15" s="138"/>
      <c r="J15" s="139"/>
      <c r="K15" s="215"/>
      <c r="L15" s="118"/>
      <c r="M15" s="34"/>
      <c r="N15" s="34"/>
      <c r="O15" s="74" t="e">
        <f t="shared" si="0"/>
        <v>#DIV/0!</v>
      </c>
    </row>
    <row r="16" spans="1:15" ht="19.5" customHeight="1">
      <c r="A16" s="38">
        <f>Page1!A15</f>
        <v>0</v>
      </c>
      <c r="B16" s="39">
        <f>Page1!B15</f>
        <v>0</v>
      </c>
      <c r="C16" s="40">
        <f>Page1!C15</f>
        <v>0</v>
      </c>
      <c r="D16" s="136"/>
      <c r="E16" s="138"/>
      <c r="F16" s="136"/>
      <c r="G16" s="138"/>
      <c r="H16" s="136"/>
      <c r="I16" s="138"/>
      <c r="J16" s="139"/>
      <c r="K16" s="215"/>
      <c r="L16" s="118"/>
      <c r="M16" s="34"/>
      <c r="N16" s="34"/>
      <c r="O16" s="74" t="e">
        <f t="shared" si="0"/>
        <v>#DIV/0!</v>
      </c>
    </row>
    <row r="17" spans="1:15" ht="19.5" customHeight="1">
      <c r="A17" s="38">
        <f>Page1!A16</f>
        <v>0</v>
      </c>
      <c r="B17" s="39">
        <f>Page1!B16</f>
        <v>0</v>
      </c>
      <c r="C17" s="40">
        <f>Page1!C16</f>
        <v>0</v>
      </c>
      <c r="D17" s="136"/>
      <c r="E17" s="138"/>
      <c r="F17" s="136"/>
      <c r="G17" s="138"/>
      <c r="H17" s="136"/>
      <c r="I17" s="138"/>
      <c r="J17" s="139"/>
      <c r="K17" s="215"/>
      <c r="L17" s="118"/>
      <c r="M17" s="34"/>
      <c r="N17" s="34"/>
      <c r="O17" s="74" t="e">
        <f t="shared" si="0"/>
        <v>#DIV/0!</v>
      </c>
    </row>
    <row r="18" spans="1:15" ht="19.5" customHeight="1">
      <c r="A18" s="38">
        <f>Page1!A17</f>
        <v>0</v>
      </c>
      <c r="B18" s="39">
        <f>Page1!B17</f>
        <v>0</v>
      </c>
      <c r="C18" s="40">
        <f>Page1!C17</f>
        <v>0</v>
      </c>
      <c r="D18" s="136"/>
      <c r="E18" s="138"/>
      <c r="F18" s="136"/>
      <c r="G18" s="138"/>
      <c r="H18" s="136"/>
      <c r="I18" s="138"/>
      <c r="J18" s="139"/>
      <c r="K18" s="215"/>
      <c r="L18" s="118"/>
      <c r="M18" s="34"/>
      <c r="N18" s="34"/>
      <c r="O18" s="74" t="e">
        <f t="shared" si="0"/>
        <v>#DIV/0!</v>
      </c>
    </row>
    <row r="19" spans="1:15" ht="19.5" customHeight="1">
      <c r="A19" s="38">
        <f>Page1!A18</f>
        <v>0</v>
      </c>
      <c r="B19" s="39">
        <f>Page1!B18</f>
        <v>0</v>
      </c>
      <c r="C19" s="40">
        <f>Page1!C18</f>
        <v>0</v>
      </c>
      <c r="D19" s="136"/>
      <c r="E19" s="138"/>
      <c r="F19" s="136"/>
      <c r="G19" s="138"/>
      <c r="H19" s="136"/>
      <c r="I19" s="138"/>
      <c r="J19" s="139"/>
      <c r="K19" s="215"/>
      <c r="L19" s="118"/>
      <c r="M19" s="34"/>
      <c r="N19" s="34"/>
      <c r="O19" s="74" t="e">
        <f t="shared" si="0"/>
        <v>#DIV/0!</v>
      </c>
    </row>
    <row r="20" spans="1:15" ht="19.5" customHeight="1">
      <c r="A20" s="38">
        <f>Page1!A19</f>
        <v>0</v>
      </c>
      <c r="B20" s="39">
        <f>Page1!B19</f>
        <v>0</v>
      </c>
      <c r="C20" s="40">
        <f>Page1!C19</f>
        <v>0</v>
      </c>
      <c r="D20" s="136"/>
      <c r="E20" s="138"/>
      <c r="F20" s="136"/>
      <c r="G20" s="138"/>
      <c r="H20" s="136"/>
      <c r="I20" s="138"/>
      <c r="J20" s="139"/>
      <c r="K20" s="215"/>
      <c r="L20" s="118"/>
      <c r="M20" s="34"/>
      <c r="N20" s="34"/>
      <c r="O20" s="74" t="e">
        <f t="shared" si="0"/>
        <v>#DIV/0!</v>
      </c>
    </row>
    <row r="21" spans="1:15" ht="19.5" customHeight="1">
      <c r="A21" s="38">
        <f>Page1!A20</f>
        <v>0</v>
      </c>
      <c r="B21" s="39">
        <f>Page1!B20</f>
        <v>0</v>
      </c>
      <c r="C21" s="40">
        <f>Page1!C20</f>
        <v>0</v>
      </c>
      <c r="D21" s="136"/>
      <c r="E21" s="138"/>
      <c r="F21" s="136"/>
      <c r="G21" s="138"/>
      <c r="H21" s="136"/>
      <c r="I21" s="138"/>
      <c r="J21" s="139"/>
      <c r="K21" s="215"/>
      <c r="L21" s="118"/>
      <c r="M21" s="34"/>
      <c r="N21" s="34"/>
      <c r="O21" s="74" t="e">
        <f t="shared" si="0"/>
        <v>#DIV/0!</v>
      </c>
    </row>
    <row r="22" spans="1:15" ht="19.5" customHeight="1">
      <c r="A22" s="38">
        <f>Page1!A21</f>
        <v>0</v>
      </c>
      <c r="B22" s="39">
        <f>Page1!B21</f>
        <v>0</v>
      </c>
      <c r="C22" s="40">
        <f>Page1!C21</f>
        <v>0</v>
      </c>
      <c r="D22" s="136"/>
      <c r="E22" s="138"/>
      <c r="F22" s="136"/>
      <c r="G22" s="138"/>
      <c r="H22" s="136"/>
      <c r="I22" s="138"/>
      <c r="J22" s="139"/>
      <c r="K22" s="215"/>
      <c r="L22" s="118"/>
      <c r="M22" s="34"/>
      <c r="N22" s="34"/>
      <c r="O22" s="74" t="e">
        <f t="shared" si="0"/>
        <v>#DIV/0!</v>
      </c>
    </row>
    <row r="23" spans="1:15" ht="19.5" customHeight="1">
      <c r="A23" s="38">
        <f>Page1!A22</f>
        <v>0</v>
      </c>
      <c r="B23" s="39">
        <f>Page1!B22</f>
        <v>0</v>
      </c>
      <c r="C23" s="40">
        <f>Page1!C22</f>
        <v>0</v>
      </c>
      <c r="D23" s="136"/>
      <c r="E23" s="138"/>
      <c r="F23" s="136"/>
      <c r="G23" s="138"/>
      <c r="H23" s="136"/>
      <c r="I23" s="138"/>
      <c r="J23" s="139"/>
      <c r="K23" s="215"/>
      <c r="L23" s="118"/>
      <c r="M23" s="34"/>
      <c r="N23" s="34"/>
      <c r="O23" s="74" t="e">
        <f t="shared" si="0"/>
        <v>#DIV/0!</v>
      </c>
    </row>
    <row r="24" spans="1:15" ht="19.5" customHeight="1">
      <c r="A24" s="38">
        <f>Page1!A23</f>
        <v>0</v>
      </c>
      <c r="B24" s="39">
        <f>Page1!B23</f>
        <v>0</v>
      </c>
      <c r="C24" s="40">
        <f>Page1!C23</f>
        <v>0</v>
      </c>
      <c r="D24" s="136"/>
      <c r="E24" s="138"/>
      <c r="F24" s="136"/>
      <c r="G24" s="138"/>
      <c r="H24" s="136"/>
      <c r="I24" s="138"/>
      <c r="J24" s="139"/>
      <c r="K24" s="215"/>
      <c r="L24" s="118"/>
      <c r="M24" s="34"/>
      <c r="N24" s="34"/>
      <c r="O24" s="74" t="e">
        <f t="shared" si="0"/>
        <v>#DIV/0!</v>
      </c>
    </row>
    <row r="25" spans="1:15" ht="19.5" customHeight="1">
      <c r="A25" s="38">
        <f>Page1!A24</f>
        <v>0</v>
      </c>
      <c r="B25" s="39">
        <f>Page1!B24</f>
        <v>0</v>
      </c>
      <c r="C25" s="40">
        <f>Page1!C24</f>
        <v>0</v>
      </c>
      <c r="D25" s="136"/>
      <c r="E25" s="138"/>
      <c r="F25" s="136"/>
      <c r="G25" s="138"/>
      <c r="H25" s="136"/>
      <c r="I25" s="138"/>
      <c r="J25" s="139"/>
      <c r="K25" s="215"/>
      <c r="L25" s="75"/>
      <c r="M25" s="76"/>
      <c r="N25" s="76"/>
      <c r="O25" s="74" t="e">
        <f t="shared" si="0"/>
        <v>#DIV/0!</v>
      </c>
    </row>
    <row r="26" spans="1:15" ht="19.5" customHeight="1">
      <c r="A26" s="38">
        <f>Page1!A25</f>
        <v>0</v>
      </c>
      <c r="B26" s="39">
        <f>Page1!B25</f>
        <v>0</v>
      </c>
      <c r="C26" s="40">
        <f>Page1!C25</f>
        <v>0</v>
      </c>
      <c r="D26" s="136"/>
      <c r="E26" s="138"/>
      <c r="F26" s="136"/>
      <c r="G26" s="138"/>
      <c r="H26" s="136"/>
      <c r="I26" s="138"/>
      <c r="J26" s="139"/>
      <c r="K26" s="215"/>
      <c r="L26" s="118"/>
      <c r="M26" s="34"/>
      <c r="N26" s="34"/>
      <c r="O26" s="74" t="e">
        <f t="shared" si="0"/>
        <v>#DIV/0!</v>
      </c>
    </row>
    <row r="27" spans="1:15" ht="19.5" customHeight="1">
      <c r="A27" s="38">
        <f>Page1!A26</f>
        <v>0</v>
      </c>
      <c r="B27" s="39">
        <f>Page1!B26</f>
        <v>0</v>
      </c>
      <c r="C27" s="40">
        <f>Page1!C26</f>
        <v>0</v>
      </c>
      <c r="D27" s="136"/>
      <c r="E27" s="138"/>
      <c r="F27" s="136"/>
      <c r="G27" s="138"/>
      <c r="H27" s="136"/>
      <c r="I27" s="138"/>
      <c r="J27" s="139"/>
      <c r="K27" s="215"/>
      <c r="L27" s="118"/>
      <c r="M27" s="34"/>
      <c r="N27" s="34"/>
      <c r="O27" s="74" t="e">
        <f t="shared" si="0"/>
        <v>#DIV/0!</v>
      </c>
    </row>
    <row r="28" spans="1:15" ht="19.5" customHeight="1">
      <c r="A28" s="38">
        <f>Page1!A27</f>
        <v>0</v>
      </c>
      <c r="B28" s="39">
        <f>Page1!B27</f>
        <v>0</v>
      </c>
      <c r="C28" s="40">
        <f>Page1!C27</f>
        <v>0</v>
      </c>
      <c r="D28" s="136"/>
      <c r="E28" s="138"/>
      <c r="F28" s="136"/>
      <c r="G28" s="138"/>
      <c r="H28" s="136"/>
      <c r="I28" s="138"/>
      <c r="J28" s="139"/>
      <c r="K28" s="215"/>
      <c r="L28" s="118"/>
      <c r="M28" s="34"/>
      <c r="N28" s="34"/>
      <c r="O28" s="74" t="e">
        <f t="shared" si="0"/>
        <v>#DIV/0!</v>
      </c>
    </row>
    <row r="29" spans="1:15" ht="19.5" customHeight="1">
      <c r="A29" s="38">
        <f>Page1!A28</f>
        <v>0</v>
      </c>
      <c r="B29" s="39">
        <f>Page1!B28</f>
        <v>0</v>
      </c>
      <c r="C29" s="40">
        <f>Page1!C28</f>
        <v>0</v>
      </c>
      <c r="D29" s="136"/>
      <c r="E29" s="138"/>
      <c r="F29" s="136"/>
      <c r="G29" s="138"/>
      <c r="H29" s="136"/>
      <c r="I29" s="138"/>
      <c r="J29" s="139"/>
      <c r="K29" s="215"/>
      <c r="L29" s="118"/>
      <c r="M29" s="34"/>
      <c r="N29" s="34"/>
      <c r="O29" s="74" t="e">
        <f t="shared" si="0"/>
        <v>#DIV/0!</v>
      </c>
    </row>
    <row r="30" spans="1:15" ht="19.5" customHeight="1">
      <c r="A30" s="38">
        <f>Page1!A29</f>
        <v>0</v>
      </c>
      <c r="B30" s="39">
        <f>Page1!B29</f>
        <v>0</v>
      </c>
      <c r="C30" s="40">
        <f>Page1!C29</f>
        <v>0</v>
      </c>
      <c r="D30" s="136"/>
      <c r="E30" s="138"/>
      <c r="F30" s="136"/>
      <c r="G30" s="138"/>
      <c r="H30" s="136"/>
      <c r="I30" s="138"/>
      <c r="J30" s="139"/>
      <c r="K30" s="215"/>
      <c r="L30" s="118"/>
      <c r="M30" s="34"/>
      <c r="N30" s="34"/>
      <c r="O30" s="74" t="e">
        <f t="shared" si="0"/>
        <v>#DIV/0!</v>
      </c>
    </row>
    <row r="31" spans="1:15" ht="19.5" customHeight="1">
      <c r="A31" s="38">
        <f>Page1!A30</f>
        <v>0</v>
      </c>
      <c r="B31" s="39">
        <f>Page1!B30</f>
        <v>0</v>
      </c>
      <c r="C31" s="40">
        <f>Page1!C30</f>
        <v>0</v>
      </c>
      <c r="D31" s="136"/>
      <c r="E31" s="138"/>
      <c r="F31" s="136"/>
      <c r="G31" s="138"/>
      <c r="H31" s="136"/>
      <c r="I31" s="138"/>
      <c r="J31" s="139"/>
      <c r="K31" s="215"/>
      <c r="L31" s="118"/>
      <c r="M31" s="34"/>
      <c r="N31" s="34"/>
      <c r="O31" s="74" t="e">
        <f t="shared" si="0"/>
        <v>#DIV/0!</v>
      </c>
    </row>
    <row r="32" spans="1:15" ht="19.5" customHeight="1">
      <c r="A32" s="38">
        <f>Page1!A31</f>
        <v>0</v>
      </c>
      <c r="B32" s="39">
        <f>Page1!B31</f>
        <v>0</v>
      </c>
      <c r="C32" s="40">
        <f>Page1!C31</f>
        <v>0</v>
      </c>
      <c r="D32" s="136"/>
      <c r="E32" s="138"/>
      <c r="F32" s="136"/>
      <c r="G32" s="138"/>
      <c r="H32" s="136"/>
      <c r="I32" s="138"/>
      <c r="J32" s="139"/>
      <c r="K32" s="215"/>
      <c r="L32" s="118"/>
      <c r="M32" s="34"/>
      <c r="N32" s="34"/>
      <c r="O32" s="74" t="e">
        <f t="shared" si="0"/>
        <v>#DIV/0!</v>
      </c>
    </row>
    <row r="33" spans="1:15" ht="19.5" customHeight="1">
      <c r="A33" s="38">
        <f>Page1!A32</f>
        <v>0</v>
      </c>
      <c r="B33" s="39">
        <f>Page1!B32</f>
        <v>0</v>
      </c>
      <c r="C33" s="40">
        <f>Page1!C32</f>
        <v>0</v>
      </c>
      <c r="D33" s="136"/>
      <c r="E33" s="138"/>
      <c r="F33" s="136"/>
      <c r="G33" s="138"/>
      <c r="H33" s="136"/>
      <c r="I33" s="138"/>
      <c r="J33" s="139"/>
      <c r="K33" s="215"/>
      <c r="L33" s="118"/>
      <c r="M33" s="34"/>
      <c r="N33" s="34"/>
      <c r="O33" s="74" t="e">
        <f t="shared" si="0"/>
        <v>#DIV/0!</v>
      </c>
    </row>
    <row r="34" spans="1:15" ht="19.5" customHeight="1">
      <c r="A34" s="38">
        <f>Page1!A33</f>
        <v>0</v>
      </c>
      <c r="B34" s="39">
        <f>Page1!B33</f>
        <v>0</v>
      </c>
      <c r="C34" s="40">
        <f>Page1!C33</f>
        <v>0</v>
      </c>
      <c r="D34" s="136"/>
      <c r="E34" s="138"/>
      <c r="F34" s="136"/>
      <c r="G34" s="138"/>
      <c r="H34" s="136"/>
      <c r="I34" s="138"/>
      <c r="J34" s="139"/>
      <c r="K34" s="215"/>
      <c r="L34" s="118"/>
      <c r="M34" s="34"/>
      <c r="N34" s="34"/>
      <c r="O34" s="74" t="e">
        <f t="shared" si="0"/>
        <v>#DIV/0!</v>
      </c>
    </row>
    <row r="35" spans="1:15" ht="19.5" customHeight="1">
      <c r="A35" s="38">
        <f>Page1!A34</f>
        <v>0</v>
      </c>
      <c r="B35" s="39">
        <f>Page1!B34</f>
        <v>0</v>
      </c>
      <c r="C35" s="40">
        <f>Page1!C34</f>
        <v>0</v>
      </c>
      <c r="D35" s="136"/>
      <c r="E35" s="138"/>
      <c r="F35" s="136"/>
      <c r="G35" s="138"/>
      <c r="H35" s="136"/>
      <c r="I35" s="138"/>
      <c r="J35" s="139"/>
      <c r="K35" s="215"/>
      <c r="L35" s="118"/>
      <c r="M35" s="34"/>
      <c r="N35" s="34"/>
      <c r="O35" s="74" t="e">
        <f t="shared" si="0"/>
        <v>#DIV/0!</v>
      </c>
    </row>
    <row r="36" spans="1:15" ht="19.5" customHeight="1">
      <c r="A36" s="38">
        <f>Page1!A35</f>
        <v>0</v>
      </c>
      <c r="B36" s="39">
        <f>Page1!B35</f>
        <v>0</v>
      </c>
      <c r="C36" s="40">
        <f>Page1!C35</f>
        <v>0</v>
      </c>
      <c r="D36" s="136"/>
      <c r="E36" s="138"/>
      <c r="F36" s="136"/>
      <c r="G36" s="138"/>
      <c r="H36" s="136"/>
      <c r="I36" s="138"/>
      <c r="J36" s="139"/>
      <c r="K36" s="215"/>
      <c r="L36" s="118"/>
      <c r="M36" s="34"/>
      <c r="N36" s="34"/>
      <c r="O36" s="74" t="e">
        <f t="shared" si="0"/>
        <v>#DIV/0!</v>
      </c>
    </row>
    <row r="37" spans="1:15" ht="19.5" customHeight="1">
      <c r="A37" s="38">
        <f>Page1!A36</f>
        <v>0</v>
      </c>
      <c r="B37" s="39">
        <f>Page1!B36</f>
        <v>0</v>
      </c>
      <c r="C37" s="40">
        <f>Page1!C36</f>
        <v>0</v>
      </c>
      <c r="D37" s="136"/>
      <c r="E37" s="138"/>
      <c r="F37" s="136"/>
      <c r="G37" s="138"/>
      <c r="H37" s="136"/>
      <c r="I37" s="138"/>
      <c r="J37" s="139"/>
      <c r="K37" s="215"/>
      <c r="L37" s="118"/>
      <c r="M37" s="34"/>
      <c r="N37" s="34"/>
      <c r="O37" s="74" t="e">
        <f t="shared" si="0"/>
        <v>#DIV/0!</v>
      </c>
    </row>
    <row r="38" spans="1:15" s="43" customFormat="1" ht="19.5" customHeight="1" thickBot="1">
      <c r="A38" s="38">
        <f>Page1!A37</f>
        <v>0</v>
      </c>
      <c r="B38" s="39">
        <f>Page1!B37</f>
        <v>0</v>
      </c>
      <c r="C38" s="40">
        <f>Page1!C37</f>
        <v>0</v>
      </c>
      <c r="D38" s="155"/>
      <c r="E38" s="157"/>
      <c r="F38" s="155"/>
      <c r="G38" s="157"/>
      <c r="H38" s="155"/>
      <c r="I38" s="157"/>
      <c r="J38" s="158"/>
      <c r="K38" s="188"/>
      <c r="L38" s="75"/>
      <c r="M38" s="76"/>
      <c r="N38" s="76"/>
      <c r="O38" s="74" t="e">
        <f t="shared" si="0"/>
        <v>#DIV/0!</v>
      </c>
    </row>
    <row r="39" spans="1:15" s="43" customFormat="1" ht="19.5" customHeight="1">
      <c r="A39" s="41"/>
      <c r="B39" s="42"/>
      <c r="C39" s="42" t="s">
        <v>23</v>
      </c>
      <c r="D39" s="275" t="e">
        <f>AVERAGE(D9:E38)</f>
        <v>#DIV/0!</v>
      </c>
      <c r="E39" s="276"/>
      <c r="F39" s="275" t="e">
        <f>AVERAGE(F9:G38)</f>
        <v>#DIV/0!</v>
      </c>
      <c r="G39" s="276"/>
      <c r="H39" s="275" t="e">
        <f>AVERAGE(H9:I38)</f>
        <v>#DIV/0!</v>
      </c>
      <c r="I39" s="276"/>
      <c r="J39" s="165" t="e">
        <f>AVERAGE(J9:K38)</f>
        <v>#DIV/0!</v>
      </c>
      <c r="K39" s="213"/>
      <c r="L39" s="231" t="e">
        <f>AVERAGE(O9:O38)</f>
        <v>#DIV/0!</v>
      </c>
      <c r="M39" s="232"/>
      <c r="N39" s="232"/>
      <c r="O39" s="250"/>
    </row>
    <row r="40" spans="1:15" s="43" customFormat="1" ht="19.5" customHeight="1">
      <c r="A40" s="44"/>
      <c r="B40" s="45"/>
      <c r="C40" s="39" t="s">
        <v>24</v>
      </c>
      <c r="D40" s="277">
        <f>MIN(D9:E38)</f>
        <v>0</v>
      </c>
      <c r="E40" s="278"/>
      <c r="F40" s="279">
        <f>MIN(F9:G38)</f>
        <v>0</v>
      </c>
      <c r="G40" s="280"/>
      <c r="H40" s="279">
        <f>MIN(H9:I38)</f>
        <v>0</v>
      </c>
      <c r="I40" s="280"/>
      <c r="J40" s="172">
        <f>MIN(J9:K38)</f>
        <v>0</v>
      </c>
      <c r="K40" s="174"/>
      <c r="L40" s="234" t="e">
        <f>MIN(O9:O38)</f>
        <v>#DIV/0!</v>
      </c>
      <c r="M40" s="235"/>
      <c r="N40" s="235"/>
      <c r="O40" s="237"/>
    </row>
    <row r="41" spans="1:15" s="43" customFormat="1" ht="19.5" customHeight="1" thickBot="1">
      <c r="A41" s="46"/>
      <c r="B41" s="47"/>
      <c r="C41" s="48" t="s">
        <v>25</v>
      </c>
      <c r="D41" s="270">
        <f>MAX(D9:E38)</f>
        <v>0</v>
      </c>
      <c r="E41" s="271"/>
      <c r="F41" s="272">
        <f>MAX(F9:G38)</f>
        <v>0</v>
      </c>
      <c r="G41" s="273"/>
      <c r="H41" s="272">
        <f>MAX(H9:I38)</f>
        <v>0</v>
      </c>
      <c r="I41" s="273"/>
      <c r="J41" s="179">
        <f>MAX(J9:K38)</f>
        <v>0</v>
      </c>
      <c r="K41" s="181"/>
      <c r="L41" s="238" t="e">
        <f>MAX(O9:O38)</f>
        <v>#DIV/0!</v>
      </c>
      <c r="M41" s="239"/>
      <c r="N41" s="239"/>
      <c r="O41" s="251"/>
    </row>
    <row r="42" spans="1:15" s="53" customFormat="1" ht="16.5" customHeight="1">
      <c r="A42" s="49" t="s">
        <v>12</v>
      </c>
      <c r="B42" s="294"/>
      <c r="C42" s="294"/>
      <c r="D42" s="274" t="s">
        <v>14</v>
      </c>
      <c r="E42" s="274"/>
      <c r="F42" s="77"/>
      <c r="G42" s="51"/>
      <c r="H42" s="51"/>
      <c r="I42" s="51"/>
      <c r="J42" s="78"/>
      <c r="K42" s="78"/>
      <c r="L42" s="78" t="s">
        <v>15</v>
      </c>
      <c r="M42" s="268"/>
      <c r="N42" s="268"/>
      <c r="O42" s="26" t="s">
        <v>16</v>
      </c>
    </row>
    <row r="43" spans="1:15" s="53" customFormat="1" ht="16.5" customHeight="1">
      <c r="A43" s="49"/>
      <c r="B43" s="130"/>
      <c r="C43" s="130"/>
      <c r="D43" s="26"/>
      <c r="E43" s="26"/>
      <c r="F43" s="49"/>
      <c r="G43" s="51"/>
      <c r="H43" s="51"/>
      <c r="I43" s="51"/>
      <c r="J43" s="51"/>
      <c r="K43" s="26"/>
      <c r="L43" s="79"/>
      <c r="M43" s="269" t="s">
        <v>144</v>
      </c>
      <c r="N43" s="269"/>
      <c r="O43" s="26"/>
    </row>
    <row r="44" spans="1:15" s="43" customFormat="1" ht="16.5" customHeight="1">
      <c r="A44" s="132" t="s">
        <v>13</v>
      </c>
      <c r="B44" s="132"/>
      <c r="C44" s="132"/>
      <c r="D44" s="51"/>
      <c r="E44" s="51"/>
      <c r="F44" s="49" t="s">
        <v>116</v>
      </c>
      <c r="G44" s="132" t="s">
        <v>143</v>
      </c>
      <c r="H44" s="132"/>
      <c r="I44" s="132"/>
      <c r="J44" s="51"/>
      <c r="K44" s="51"/>
      <c r="L44" s="54"/>
      <c r="M44" s="54"/>
      <c r="N44" s="54"/>
      <c r="O44" s="51"/>
    </row>
    <row r="45" spans="1:15" s="53" customFormat="1" ht="16.5" customHeight="1">
      <c r="A45" s="132" t="s">
        <v>21</v>
      </c>
      <c r="B45" s="132"/>
      <c r="C45" s="49"/>
      <c r="D45" s="51"/>
      <c r="E45" s="51"/>
      <c r="F45" s="51"/>
      <c r="G45" s="51"/>
      <c r="H45" s="51"/>
      <c r="I45" s="51"/>
      <c r="J45" s="51"/>
      <c r="K45" s="51"/>
      <c r="L45" s="51"/>
      <c r="M45" s="151" t="s">
        <v>114</v>
      </c>
      <c r="N45" s="151"/>
      <c r="O45" s="51"/>
    </row>
    <row r="46" spans="1:15" s="53" customFormat="1" ht="16.5" customHeight="1">
      <c r="A46" s="132"/>
      <c r="B46" s="132"/>
      <c r="C46" s="49"/>
      <c r="D46" s="51"/>
      <c r="E46" s="51"/>
      <c r="F46" s="51"/>
      <c r="G46" s="51"/>
      <c r="H46" s="51"/>
      <c r="I46" s="51"/>
      <c r="J46" s="51"/>
      <c r="K46" s="51"/>
      <c r="L46" s="51"/>
      <c r="M46" s="151"/>
      <c r="N46" s="151"/>
      <c r="O46" s="51"/>
    </row>
  </sheetData>
  <mergeCells count="171">
    <mergeCell ref="B43:C43"/>
    <mergeCell ref="A46:B46"/>
    <mergeCell ref="B42:C42"/>
    <mergeCell ref="A44:C44"/>
    <mergeCell ref="A2:M3"/>
    <mergeCell ref="N2:O2"/>
    <mergeCell ref="B4:D4"/>
    <mergeCell ref="E4:F4"/>
    <mergeCell ref="G4:H4"/>
    <mergeCell ref="J4:K4"/>
    <mergeCell ref="N4:O4"/>
    <mergeCell ref="D9:E9"/>
    <mergeCell ref="F9:G9"/>
    <mergeCell ref="H9:I9"/>
    <mergeCell ref="J9:K9"/>
    <mergeCell ref="D10:E10"/>
    <mergeCell ref="F10:G10"/>
    <mergeCell ref="H10:I10"/>
    <mergeCell ref="J10:K10"/>
    <mergeCell ref="D13:E13"/>
    <mergeCell ref="F13:G13"/>
    <mergeCell ref="H13:I13"/>
    <mergeCell ref="J13:K13"/>
    <mergeCell ref="D14:E14"/>
    <mergeCell ref="A1:M1"/>
    <mergeCell ref="N1:O1"/>
    <mergeCell ref="L7:O7"/>
    <mergeCell ref="B5:D5"/>
    <mergeCell ref="E5:F5"/>
    <mergeCell ref="G5:H5"/>
    <mergeCell ref="J5:K5"/>
    <mergeCell ref="N5:O5"/>
    <mergeCell ref="A6:C6"/>
    <mergeCell ref="D6:K6"/>
    <mergeCell ref="L6:O6"/>
    <mergeCell ref="A7:C8"/>
    <mergeCell ref="D7:E8"/>
    <mergeCell ref="F7:G8"/>
    <mergeCell ref="H7:I8"/>
    <mergeCell ref="J7:K8"/>
    <mergeCell ref="F14:G14"/>
    <mergeCell ref="H14:I14"/>
    <mergeCell ref="J14:K14"/>
    <mergeCell ref="D11:E11"/>
    <mergeCell ref="F11:G11"/>
    <mergeCell ref="H11:I11"/>
    <mergeCell ref="J11:K11"/>
    <mergeCell ref="D12:E12"/>
    <mergeCell ref="F12:G12"/>
    <mergeCell ref="H12:I12"/>
    <mergeCell ref="J12:K12"/>
    <mergeCell ref="D17:E17"/>
    <mergeCell ref="F17:G17"/>
    <mergeCell ref="H17:I17"/>
    <mergeCell ref="J17:K17"/>
    <mergeCell ref="D18:E18"/>
    <mergeCell ref="F18:G18"/>
    <mergeCell ref="H18:I18"/>
    <mergeCell ref="J18:K18"/>
    <mergeCell ref="D15:E15"/>
    <mergeCell ref="F15:G15"/>
    <mergeCell ref="H15:I15"/>
    <mergeCell ref="J15:K15"/>
    <mergeCell ref="D16:E16"/>
    <mergeCell ref="F16:G16"/>
    <mergeCell ref="H16:I16"/>
    <mergeCell ref="J16:K16"/>
    <mergeCell ref="D21:E21"/>
    <mergeCell ref="F21:G21"/>
    <mergeCell ref="H21:I21"/>
    <mergeCell ref="J21:K21"/>
    <mergeCell ref="D22:E22"/>
    <mergeCell ref="F22:G22"/>
    <mergeCell ref="H22:I22"/>
    <mergeCell ref="J22:K22"/>
    <mergeCell ref="D19:E19"/>
    <mergeCell ref="F19:G19"/>
    <mergeCell ref="H19:I19"/>
    <mergeCell ref="J19:K19"/>
    <mergeCell ref="D20:E20"/>
    <mergeCell ref="F20:G20"/>
    <mergeCell ref="H20:I20"/>
    <mergeCell ref="J20:K20"/>
    <mergeCell ref="D25:E25"/>
    <mergeCell ref="F25:G25"/>
    <mergeCell ref="H25:I25"/>
    <mergeCell ref="J25:K25"/>
    <mergeCell ref="D26:E26"/>
    <mergeCell ref="F26:G26"/>
    <mergeCell ref="H26:I26"/>
    <mergeCell ref="J26:K26"/>
    <mergeCell ref="D23:E23"/>
    <mergeCell ref="F23:G23"/>
    <mergeCell ref="H23:I23"/>
    <mergeCell ref="J23:K23"/>
    <mergeCell ref="D24:E24"/>
    <mergeCell ref="F24:G24"/>
    <mergeCell ref="H24:I24"/>
    <mergeCell ref="J24:K24"/>
    <mergeCell ref="D29:E29"/>
    <mergeCell ref="F29:G29"/>
    <mergeCell ref="H29:I29"/>
    <mergeCell ref="J29:K29"/>
    <mergeCell ref="D30:E30"/>
    <mergeCell ref="F30:G30"/>
    <mergeCell ref="H30:I30"/>
    <mergeCell ref="J30:K30"/>
    <mergeCell ref="D27:E27"/>
    <mergeCell ref="F27:G27"/>
    <mergeCell ref="H27:I27"/>
    <mergeCell ref="J27:K27"/>
    <mergeCell ref="D28:E28"/>
    <mergeCell ref="F28:G28"/>
    <mergeCell ref="H28:I28"/>
    <mergeCell ref="J28:K28"/>
    <mergeCell ref="D33:E33"/>
    <mergeCell ref="F33:G33"/>
    <mergeCell ref="H33:I33"/>
    <mergeCell ref="J33:K33"/>
    <mergeCell ref="D34:E34"/>
    <mergeCell ref="F34:G34"/>
    <mergeCell ref="H34:I34"/>
    <mergeCell ref="J34:K34"/>
    <mergeCell ref="D31:E31"/>
    <mergeCell ref="F31:G31"/>
    <mergeCell ref="H31:I31"/>
    <mergeCell ref="J31:K31"/>
    <mergeCell ref="D32:E32"/>
    <mergeCell ref="F32:G32"/>
    <mergeCell ref="H32:I32"/>
    <mergeCell ref="J32:K32"/>
    <mergeCell ref="D37:E37"/>
    <mergeCell ref="F37:G37"/>
    <mergeCell ref="H37:I37"/>
    <mergeCell ref="J37:K37"/>
    <mergeCell ref="D38:E38"/>
    <mergeCell ref="F38:G38"/>
    <mergeCell ref="H38:I38"/>
    <mergeCell ref="J38:K38"/>
    <mergeCell ref="D35:E35"/>
    <mergeCell ref="F35:G35"/>
    <mergeCell ref="H35:I35"/>
    <mergeCell ref="J35:K35"/>
    <mergeCell ref="D36:E36"/>
    <mergeCell ref="F36:G36"/>
    <mergeCell ref="H36:I36"/>
    <mergeCell ref="J36:K36"/>
    <mergeCell ref="M42:N42"/>
    <mergeCell ref="M43:N43"/>
    <mergeCell ref="G44:I44"/>
    <mergeCell ref="A45:B45"/>
    <mergeCell ref="M45:N45"/>
    <mergeCell ref="L4:M4"/>
    <mergeCell ref="L5:M5"/>
    <mergeCell ref="M46:N46"/>
    <mergeCell ref="D41:E41"/>
    <mergeCell ref="F41:G41"/>
    <mergeCell ref="H41:I41"/>
    <mergeCell ref="J41:K41"/>
    <mergeCell ref="L41:O41"/>
    <mergeCell ref="D42:E42"/>
    <mergeCell ref="D39:E39"/>
    <mergeCell ref="F39:G39"/>
    <mergeCell ref="H39:I39"/>
    <mergeCell ref="J39:K39"/>
    <mergeCell ref="L39:O39"/>
    <mergeCell ref="D40:E40"/>
    <mergeCell ref="F40:G40"/>
    <mergeCell ref="H40:I40"/>
    <mergeCell ref="J40:K40"/>
    <mergeCell ref="L40:O40"/>
  </mergeCells>
  <conditionalFormatting sqref="D9:D38 D39:E41">
    <cfRule type="cellIs" dxfId="6" priority="5" operator="notBetween">
      <formula>90.6</formula>
      <formula>98.6</formula>
    </cfRule>
  </conditionalFormatting>
  <conditionalFormatting sqref="F9:F38 F39:G41">
    <cfRule type="cellIs" dxfId="5" priority="4" operator="notBetween">
      <formula>-5.1</formula>
      <formula>2.9</formula>
    </cfRule>
  </conditionalFormatting>
  <conditionalFormatting sqref="H9:H38 H39:I41">
    <cfRule type="cellIs" dxfId="4" priority="3" operator="notBetween">
      <formula>-3.6</formula>
      <formula>4.4</formula>
    </cfRule>
  </conditionalFormatting>
  <conditionalFormatting sqref="J9:J38 J39:K41">
    <cfRule type="cellIs" dxfId="3" priority="2" operator="greaterThan">
      <formula>5</formula>
    </cfRule>
  </conditionalFormatting>
  <conditionalFormatting sqref="L9:O41">
    <cfRule type="cellIs" dxfId="2" priority="1" operator="greaterThan">
      <formula>11</formula>
    </cfRule>
  </conditionalFormatting>
  <printOptions horizontalCentered="1" verticalCentered="1"/>
  <pageMargins left="0.19685039370078741" right="0.19685039370078741" top="0.59055118110236227" bottom="0.19685039370078741" header="0.15748031496062992" footer="0.23622047244094491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5AED-8764-4F37-A514-555EFCC30014}">
  <sheetPr>
    <pageSetUpPr fitToPage="1"/>
  </sheetPr>
  <dimension ref="A1:N32"/>
  <sheetViews>
    <sheetView workbookViewId="0">
      <selection activeCell="M4" sqref="M4"/>
    </sheetView>
  </sheetViews>
  <sheetFormatPr defaultRowHeight="15"/>
  <cols>
    <col min="1" max="1" width="15.7109375" customWidth="1"/>
    <col min="4" max="4" width="26.140625" customWidth="1"/>
    <col min="5" max="5" width="15.140625" customWidth="1"/>
    <col min="6" max="6" width="21.7109375" customWidth="1"/>
    <col min="7" max="7" width="22.7109375" customWidth="1"/>
    <col min="8" max="8" width="33.5703125" customWidth="1"/>
    <col min="9" max="9" width="34.140625" customWidth="1"/>
    <col min="10" max="10" width="24.28515625" customWidth="1"/>
    <col min="11" max="11" width="23" customWidth="1"/>
    <col min="12" max="12" width="30.7109375" customWidth="1"/>
    <col min="13" max="13" width="32.85546875" customWidth="1"/>
    <col min="14" max="14" width="19.5703125" customWidth="1"/>
  </cols>
  <sheetData>
    <row r="1" spans="1:14"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</row>
    <row r="2" spans="1:14">
      <c r="A2" s="84" t="s">
        <v>129</v>
      </c>
      <c r="B2" s="84" t="s">
        <v>130</v>
      </c>
      <c r="C2" s="84" t="s">
        <v>131</v>
      </c>
      <c r="D2" s="84" t="s">
        <v>132</v>
      </c>
      <c r="E2" s="84" t="s">
        <v>133</v>
      </c>
      <c r="F2" s="84" t="s">
        <v>134</v>
      </c>
      <c r="G2" s="84" t="s">
        <v>135</v>
      </c>
      <c r="H2" s="84" t="s">
        <v>136</v>
      </c>
      <c r="I2" s="84" t="s">
        <v>137</v>
      </c>
      <c r="J2" s="84" t="s">
        <v>138</v>
      </c>
      <c r="K2" s="84" t="s">
        <v>139</v>
      </c>
      <c r="L2" s="84" t="s">
        <v>140</v>
      </c>
      <c r="M2" s="84" t="s">
        <v>141</v>
      </c>
      <c r="N2" s="84" t="s">
        <v>142</v>
      </c>
    </row>
    <row r="3" spans="1:14">
      <c r="A3" s="116"/>
      <c r="B3" s="86">
        <f>Page1!C8</f>
        <v>0</v>
      </c>
      <c r="C3" s="84"/>
      <c r="D3" s="87">
        <f>Page4!J9</f>
        <v>0</v>
      </c>
      <c r="E3" s="87">
        <f>Page1!D8</f>
        <v>0</v>
      </c>
      <c r="F3" s="88" t="e">
        <f>Page3!G9</f>
        <v>#DIV/0!</v>
      </c>
      <c r="G3" s="88" t="e">
        <f>Page2!G9</f>
        <v>#DIV/0!</v>
      </c>
      <c r="H3" s="89" t="e">
        <f>Page3!K9</f>
        <v>#DIV/0!</v>
      </c>
      <c r="I3" s="89" t="e">
        <f>Page2!K9</f>
        <v>#DIV/0!</v>
      </c>
      <c r="J3" s="89" t="e">
        <f>Page2!O9</f>
        <v>#DIV/0!</v>
      </c>
      <c r="K3" s="84">
        <f>Page1!G8</f>
        <v>0</v>
      </c>
      <c r="L3" s="89" t="e">
        <f>Page3!O9</f>
        <v>#DIV/0!</v>
      </c>
      <c r="M3" s="85">
        <v>0</v>
      </c>
      <c r="N3" s="85">
        <v>0</v>
      </c>
    </row>
    <row r="4" spans="1:14">
      <c r="A4" s="116"/>
      <c r="B4" s="86">
        <f>Page1!C9</f>
        <v>0</v>
      </c>
      <c r="C4" s="84"/>
      <c r="D4" s="87">
        <f>Page4!J10</f>
        <v>0</v>
      </c>
      <c r="E4" s="87">
        <f>Page1!D9</f>
        <v>0</v>
      </c>
      <c r="F4" s="88" t="e">
        <f>Page3!G10</f>
        <v>#DIV/0!</v>
      </c>
      <c r="G4" s="88" t="e">
        <f>Page2!G10</f>
        <v>#DIV/0!</v>
      </c>
      <c r="H4" s="89" t="e">
        <f>Page3!K10</f>
        <v>#DIV/0!</v>
      </c>
      <c r="I4" s="89" t="e">
        <f>Page2!K10</f>
        <v>#DIV/0!</v>
      </c>
      <c r="J4" s="89" t="e">
        <f>Page2!O10</f>
        <v>#DIV/0!</v>
      </c>
      <c r="K4" s="84">
        <f>Page1!G9</f>
        <v>0</v>
      </c>
      <c r="L4" s="89" t="e">
        <f>Page3!O10</f>
        <v>#DIV/0!</v>
      </c>
      <c r="M4" s="117">
        <f>M3</f>
        <v>0</v>
      </c>
      <c r="N4" s="117">
        <f>N3</f>
        <v>0</v>
      </c>
    </row>
    <row r="5" spans="1:14">
      <c r="A5" s="116"/>
      <c r="B5" s="86">
        <f>Page1!C10</f>
        <v>0</v>
      </c>
      <c r="C5" s="84"/>
      <c r="D5" s="87">
        <f>Page4!J11</f>
        <v>0</v>
      </c>
      <c r="E5" s="87">
        <f>Page1!D10</f>
        <v>0</v>
      </c>
      <c r="F5" s="88" t="e">
        <f>Page3!G11</f>
        <v>#DIV/0!</v>
      </c>
      <c r="G5" s="88" t="e">
        <f>Page2!G11</f>
        <v>#DIV/0!</v>
      </c>
      <c r="H5" s="89" t="e">
        <f>Page3!K11</f>
        <v>#DIV/0!</v>
      </c>
      <c r="I5" s="89" t="e">
        <f>Page2!K11</f>
        <v>#DIV/0!</v>
      </c>
      <c r="J5" s="89" t="e">
        <f>Page2!O11</f>
        <v>#DIV/0!</v>
      </c>
      <c r="K5" s="84">
        <f>Page1!G10</f>
        <v>0</v>
      </c>
      <c r="L5" s="89" t="e">
        <f>Page3!O11</f>
        <v>#DIV/0!</v>
      </c>
      <c r="M5" s="117">
        <f t="shared" ref="M5:M32" si="0">M4</f>
        <v>0</v>
      </c>
      <c r="N5" s="117">
        <f t="shared" ref="N5:N32" si="1">N4</f>
        <v>0</v>
      </c>
    </row>
    <row r="6" spans="1:14">
      <c r="A6" s="116"/>
      <c r="B6" s="86">
        <f>Page1!C11</f>
        <v>0</v>
      </c>
      <c r="C6" s="84"/>
      <c r="D6" s="87">
        <f>Page4!J12</f>
        <v>0</v>
      </c>
      <c r="E6" s="87">
        <f>Page1!D11</f>
        <v>0</v>
      </c>
      <c r="F6" s="88" t="e">
        <f>Page3!G12</f>
        <v>#DIV/0!</v>
      </c>
      <c r="G6" s="88" t="e">
        <f>Page2!G12</f>
        <v>#DIV/0!</v>
      </c>
      <c r="H6" s="89" t="e">
        <f>Page3!K12</f>
        <v>#DIV/0!</v>
      </c>
      <c r="I6" s="89" t="e">
        <f>Page2!K12</f>
        <v>#DIV/0!</v>
      </c>
      <c r="J6" s="89" t="e">
        <f>Page2!O12</f>
        <v>#DIV/0!</v>
      </c>
      <c r="K6" s="84">
        <f>Page1!G11</f>
        <v>0</v>
      </c>
      <c r="L6" s="89" t="e">
        <f>Page3!O12</f>
        <v>#DIV/0!</v>
      </c>
      <c r="M6" s="117">
        <f t="shared" si="0"/>
        <v>0</v>
      </c>
      <c r="N6" s="117">
        <f t="shared" si="1"/>
        <v>0</v>
      </c>
    </row>
    <row r="7" spans="1:14">
      <c r="A7" s="116"/>
      <c r="B7" s="86">
        <f>Page1!C12</f>
        <v>0</v>
      </c>
      <c r="C7" s="84"/>
      <c r="D7" s="87">
        <f>Page4!J13</f>
        <v>0</v>
      </c>
      <c r="E7" s="87">
        <f>Page1!D12</f>
        <v>0</v>
      </c>
      <c r="F7" s="88" t="e">
        <f>Page3!G13</f>
        <v>#DIV/0!</v>
      </c>
      <c r="G7" s="88" t="e">
        <f>Page2!G13</f>
        <v>#DIV/0!</v>
      </c>
      <c r="H7" s="89" t="e">
        <f>Page3!K13</f>
        <v>#DIV/0!</v>
      </c>
      <c r="I7" s="89" t="e">
        <f>Page2!K13</f>
        <v>#DIV/0!</v>
      </c>
      <c r="J7" s="89" t="e">
        <f>Page2!O13</f>
        <v>#DIV/0!</v>
      </c>
      <c r="K7" s="84">
        <f>Page1!G12</f>
        <v>0</v>
      </c>
      <c r="L7" s="89" t="e">
        <f>Page3!O13</f>
        <v>#DIV/0!</v>
      </c>
      <c r="M7" s="117">
        <f t="shared" si="0"/>
        <v>0</v>
      </c>
      <c r="N7" s="117">
        <f t="shared" si="1"/>
        <v>0</v>
      </c>
    </row>
    <row r="8" spans="1:14">
      <c r="A8" s="116"/>
      <c r="B8" s="86">
        <f>Page1!C13</f>
        <v>0</v>
      </c>
      <c r="C8" s="84"/>
      <c r="D8" s="87">
        <f>Page4!J14</f>
        <v>0</v>
      </c>
      <c r="E8" s="87">
        <f>Page1!D13</f>
        <v>0</v>
      </c>
      <c r="F8" s="88" t="e">
        <f>Page3!G14</f>
        <v>#DIV/0!</v>
      </c>
      <c r="G8" s="88" t="e">
        <f>Page2!G14</f>
        <v>#DIV/0!</v>
      </c>
      <c r="H8" s="89" t="e">
        <f>Page3!K14</f>
        <v>#DIV/0!</v>
      </c>
      <c r="I8" s="89" t="e">
        <f>Page2!K14</f>
        <v>#DIV/0!</v>
      </c>
      <c r="J8" s="89" t="e">
        <f>Page2!O14</f>
        <v>#DIV/0!</v>
      </c>
      <c r="K8" s="84">
        <f>Page1!G13</f>
        <v>0</v>
      </c>
      <c r="L8" s="89" t="e">
        <f>Page3!O14</f>
        <v>#DIV/0!</v>
      </c>
      <c r="M8" s="117">
        <f t="shared" si="0"/>
        <v>0</v>
      </c>
      <c r="N8" s="117">
        <f t="shared" si="1"/>
        <v>0</v>
      </c>
    </row>
    <row r="9" spans="1:14">
      <c r="A9" s="116"/>
      <c r="B9" s="86">
        <f>Page1!C14</f>
        <v>0</v>
      </c>
      <c r="C9" s="84"/>
      <c r="D9" s="87">
        <f>Page4!J15</f>
        <v>0</v>
      </c>
      <c r="E9" s="87">
        <f>Page1!D14</f>
        <v>0</v>
      </c>
      <c r="F9" s="88" t="e">
        <f>Page3!G15</f>
        <v>#DIV/0!</v>
      </c>
      <c r="G9" s="88" t="e">
        <f>Page2!G15</f>
        <v>#DIV/0!</v>
      </c>
      <c r="H9" s="89" t="e">
        <f>Page3!K15</f>
        <v>#DIV/0!</v>
      </c>
      <c r="I9" s="89" t="e">
        <f>Page2!K15</f>
        <v>#DIV/0!</v>
      </c>
      <c r="J9" s="89" t="e">
        <f>Page2!O15</f>
        <v>#DIV/0!</v>
      </c>
      <c r="K9" s="84">
        <f>Page1!G14</f>
        <v>0</v>
      </c>
      <c r="L9" s="89" t="e">
        <f>Page3!O15</f>
        <v>#DIV/0!</v>
      </c>
      <c r="M9" s="117">
        <f t="shared" si="0"/>
        <v>0</v>
      </c>
      <c r="N9" s="117">
        <f t="shared" si="1"/>
        <v>0</v>
      </c>
    </row>
    <row r="10" spans="1:14">
      <c r="A10" s="116"/>
      <c r="B10" s="86">
        <f>Page1!C15</f>
        <v>0</v>
      </c>
      <c r="C10" s="84"/>
      <c r="D10" s="87">
        <f>Page4!J16</f>
        <v>0</v>
      </c>
      <c r="E10" s="87">
        <f>Page1!D15</f>
        <v>0</v>
      </c>
      <c r="F10" s="88" t="e">
        <f>Page3!G16</f>
        <v>#DIV/0!</v>
      </c>
      <c r="G10" s="88" t="e">
        <f>Page2!G16</f>
        <v>#DIV/0!</v>
      </c>
      <c r="H10" s="89" t="e">
        <f>Page3!K16</f>
        <v>#DIV/0!</v>
      </c>
      <c r="I10" s="89" t="e">
        <f>Page2!K16</f>
        <v>#DIV/0!</v>
      </c>
      <c r="J10" s="89" t="e">
        <f>Page2!O16</f>
        <v>#DIV/0!</v>
      </c>
      <c r="K10" s="84">
        <f>Page1!G15</f>
        <v>0</v>
      </c>
      <c r="L10" s="89" t="e">
        <f>Page3!O16</f>
        <v>#DIV/0!</v>
      </c>
      <c r="M10" s="117">
        <f t="shared" si="0"/>
        <v>0</v>
      </c>
      <c r="N10" s="117">
        <f t="shared" si="1"/>
        <v>0</v>
      </c>
    </row>
    <row r="11" spans="1:14">
      <c r="A11" s="116"/>
      <c r="B11" s="86">
        <f>Page1!C16</f>
        <v>0</v>
      </c>
      <c r="C11" s="84"/>
      <c r="D11" s="87">
        <f>Page4!J17</f>
        <v>0</v>
      </c>
      <c r="E11" s="87">
        <f>Page1!D16</f>
        <v>0</v>
      </c>
      <c r="F11" s="88" t="e">
        <f>Page3!G17</f>
        <v>#DIV/0!</v>
      </c>
      <c r="G11" s="88" t="e">
        <f>Page2!G17</f>
        <v>#DIV/0!</v>
      </c>
      <c r="H11" s="89" t="e">
        <f>Page3!K17</f>
        <v>#DIV/0!</v>
      </c>
      <c r="I11" s="89" t="e">
        <f>Page2!K17</f>
        <v>#DIV/0!</v>
      </c>
      <c r="J11" s="89" t="e">
        <f>Page2!O17</f>
        <v>#DIV/0!</v>
      </c>
      <c r="K11" s="84">
        <f>Page1!G16</f>
        <v>0</v>
      </c>
      <c r="L11" s="89" t="e">
        <f>Page3!O17</f>
        <v>#DIV/0!</v>
      </c>
      <c r="M11" s="117">
        <f t="shared" si="0"/>
        <v>0</v>
      </c>
      <c r="N11" s="117">
        <f t="shared" si="1"/>
        <v>0</v>
      </c>
    </row>
    <row r="12" spans="1:14">
      <c r="A12" s="116"/>
      <c r="B12" s="86">
        <f>Page1!C17</f>
        <v>0</v>
      </c>
      <c r="C12" s="84"/>
      <c r="D12" s="87">
        <f>Page4!J18</f>
        <v>0</v>
      </c>
      <c r="E12" s="87">
        <f>Page1!D17</f>
        <v>0</v>
      </c>
      <c r="F12" s="88" t="e">
        <f>Page3!G18</f>
        <v>#DIV/0!</v>
      </c>
      <c r="G12" s="88" t="e">
        <f>Page2!G18</f>
        <v>#DIV/0!</v>
      </c>
      <c r="H12" s="89" t="e">
        <f>Page3!K18</f>
        <v>#DIV/0!</v>
      </c>
      <c r="I12" s="89" t="e">
        <f>Page2!K18</f>
        <v>#DIV/0!</v>
      </c>
      <c r="J12" s="89" t="e">
        <f>Page2!O18</f>
        <v>#DIV/0!</v>
      </c>
      <c r="K12" s="84">
        <f>Page1!G17</f>
        <v>0</v>
      </c>
      <c r="L12" s="89" t="e">
        <f>Page3!O18</f>
        <v>#DIV/0!</v>
      </c>
      <c r="M12" s="117">
        <f t="shared" si="0"/>
        <v>0</v>
      </c>
      <c r="N12" s="117">
        <f t="shared" si="1"/>
        <v>0</v>
      </c>
    </row>
    <row r="13" spans="1:14">
      <c r="A13" s="116"/>
      <c r="B13" s="86">
        <f>Page1!C18</f>
        <v>0</v>
      </c>
      <c r="C13" s="84"/>
      <c r="D13" s="87">
        <f>Page4!J19</f>
        <v>0</v>
      </c>
      <c r="E13" s="87">
        <f>Page1!D18</f>
        <v>0</v>
      </c>
      <c r="F13" s="88" t="e">
        <f>Page3!G19</f>
        <v>#DIV/0!</v>
      </c>
      <c r="G13" s="88" t="e">
        <f>Page2!G19</f>
        <v>#DIV/0!</v>
      </c>
      <c r="H13" s="89" t="e">
        <f>Page3!K19</f>
        <v>#DIV/0!</v>
      </c>
      <c r="I13" s="89" t="e">
        <f>Page2!K19</f>
        <v>#DIV/0!</v>
      </c>
      <c r="J13" s="89" t="e">
        <f>Page2!O19</f>
        <v>#DIV/0!</v>
      </c>
      <c r="K13" s="84">
        <f>Page1!G18</f>
        <v>0</v>
      </c>
      <c r="L13" s="89" t="e">
        <f>Page3!O19</f>
        <v>#DIV/0!</v>
      </c>
      <c r="M13" s="117">
        <f t="shared" si="0"/>
        <v>0</v>
      </c>
      <c r="N13" s="117">
        <f t="shared" si="1"/>
        <v>0</v>
      </c>
    </row>
    <row r="14" spans="1:14">
      <c r="A14" s="116"/>
      <c r="B14" s="86">
        <f>Page1!C19</f>
        <v>0</v>
      </c>
      <c r="C14" s="84"/>
      <c r="D14" s="87">
        <f>Page4!J20</f>
        <v>0</v>
      </c>
      <c r="E14" s="87">
        <f>Page1!D19</f>
        <v>0</v>
      </c>
      <c r="F14" s="88" t="e">
        <f>Page3!G20</f>
        <v>#DIV/0!</v>
      </c>
      <c r="G14" s="88" t="e">
        <f>Page2!G20</f>
        <v>#DIV/0!</v>
      </c>
      <c r="H14" s="89" t="e">
        <f>Page3!K20</f>
        <v>#DIV/0!</v>
      </c>
      <c r="I14" s="89" t="e">
        <f>Page2!K20</f>
        <v>#DIV/0!</v>
      </c>
      <c r="J14" s="89" t="e">
        <f>Page2!O20</f>
        <v>#DIV/0!</v>
      </c>
      <c r="K14" s="84">
        <f>Page1!G19</f>
        <v>0</v>
      </c>
      <c r="L14" s="89" t="e">
        <f>Page3!O20</f>
        <v>#DIV/0!</v>
      </c>
      <c r="M14" s="117">
        <f t="shared" si="0"/>
        <v>0</v>
      </c>
      <c r="N14" s="117">
        <f t="shared" si="1"/>
        <v>0</v>
      </c>
    </row>
    <row r="15" spans="1:14">
      <c r="A15" s="116"/>
      <c r="B15" s="86">
        <f>Page1!C20</f>
        <v>0</v>
      </c>
      <c r="C15" s="84"/>
      <c r="D15" s="87">
        <f>Page4!J21</f>
        <v>0</v>
      </c>
      <c r="E15" s="87">
        <f>Page1!D20</f>
        <v>0</v>
      </c>
      <c r="F15" s="88" t="e">
        <f>Page3!G21</f>
        <v>#DIV/0!</v>
      </c>
      <c r="G15" s="88" t="e">
        <f>Page2!G21</f>
        <v>#DIV/0!</v>
      </c>
      <c r="H15" s="89" t="e">
        <f>Page3!K21</f>
        <v>#DIV/0!</v>
      </c>
      <c r="I15" s="89" t="e">
        <f>Page2!K21</f>
        <v>#DIV/0!</v>
      </c>
      <c r="J15" s="89" t="e">
        <f>Page2!O21</f>
        <v>#DIV/0!</v>
      </c>
      <c r="K15" s="84">
        <f>Page1!G20</f>
        <v>0</v>
      </c>
      <c r="L15" s="89" t="e">
        <f>Page3!O21</f>
        <v>#DIV/0!</v>
      </c>
      <c r="M15" s="117">
        <f t="shared" si="0"/>
        <v>0</v>
      </c>
      <c r="N15" s="117">
        <f t="shared" si="1"/>
        <v>0</v>
      </c>
    </row>
    <row r="16" spans="1:14">
      <c r="A16" s="116"/>
      <c r="B16" s="86">
        <f>Page1!C21</f>
        <v>0</v>
      </c>
      <c r="C16" s="84"/>
      <c r="D16" s="87">
        <f>Page4!J22</f>
        <v>0</v>
      </c>
      <c r="E16" s="87">
        <f>Page1!D21</f>
        <v>0</v>
      </c>
      <c r="F16" s="88" t="e">
        <f>Page3!G22</f>
        <v>#DIV/0!</v>
      </c>
      <c r="G16" s="88" t="e">
        <f>Page2!G22</f>
        <v>#DIV/0!</v>
      </c>
      <c r="H16" s="89" t="e">
        <f>Page3!K22</f>
        <v>#DIV/0!</v>
      </c>
      <c r="I16" s="89" t="e">
        <f>Page2!K22</f>
        <v>#DIV/0!</v>
      </c>
      <c r="J16" s="89" t="e">
        <f>Page2!O22</f>
        <v>#DIV/0!</v>
      </c>
      <c r="K16" s="84">
        <f>Page1!G21</f>
        <v>0</v>
      </c>
      <c r="L16" s="89" t="e">
        <f>Page3!O22</f>
        <v>#DIV/0!</v>
      </c>
      <c r="M16" s="117">
        <f t="shared" si="0"/>
        <v>0</v>
      </c>
      <c r="N16" s="117">
        <f t="shared" si="1"/>
        <v>0</v>
      </c>
    </row>
    <row r="17" spans="1:14">
      <c r="A17" s="116"/>
      <c r="B17" s="86">
        <f>Page1!C22</f>
        <v>0</v>
      </c>
      <c r="C17" s="84"/>
      <c r="D17" s="87">
        <f>Page4!J23</f>
        <v>0</v>
      </c>
      <c r="E17" s="87">
        <f>Page1!D22</f>
        <v>0</v>
      </c>
      <c r="F17" s="88" t="e">
        <f>Page3!G23</f>
        <v>#DIV/0!</v>
      </c>
      <c r="G17" s="88" t="e">
        <f>Page2!G23</f>
        <v>#DIV/0!</v>
      </c>
      <c r="H17" s="89" t="e">
        <f>Page3!K23</f>
        <v>#DIV/0!</v>
      </c>
      <c r="I17" s="89" t="e">
        <f>Page2!K23</f>
        <v>#DIV/0!</v>
      </c>
      <c r="J17" s="89" t="e">
        <f>Page2!O23</f>
        <v>#DIV/0!</v>
      </c>
      <c r="K17" s="84">
        <f>Page1!G22</f>
        <v>0</v>
      </c>
      <c r="L17" s="89" t="e">
        <f>Page3!O23</f>
        <v>#DIV/0!</v>
      </c>
      <c r="M17" s="117">
        <f t="shared" si="0"/>
        <v>0</v>
      </c>
      <c r="N17" s="117">
        <f t="shared" si="1"/>
        <v>0</v>
      </c>
    </row>
    <row r="18" spans="1:14">
      <c r="A18" s="116"/>
      <c r="B18" s="86">
        <f>Page1!C23</f>
        <v>0</v>
      </c>
      <c r="C18" s="84"/>
      <c r="D18" s="87">
        <f>Page4!J24</f>
        <v>0</v>
      </c>
      <c r="E18" s="87">
        <f>Page1!D23</f>
        <v>0</v>
      </c>
      <c r="F18" s="88" t="e">
        <f>Page3!G24</f>
        <v>#DIV/0!</v>
      </c>
      <c r="G18" s="88" t="e">
        <f>Page2!G24</f>
        <v>#DIV/0!</v>
      </c>
      <c r="H18" s="89" t="e">
        <f>Page3!K24</f>
        <v>#DIV/0!</v>
      </c>
      <c r="I18" s="89" t="e">
        <f>Page2!K24</f>
        <v>#DIV/0!</v>
      </c>
      <c r="J18" s="89" t="e">
        <f>Page2!O24</f>
        <v>#DIV/0!</v>
      </c>
      <c r="K18" s="84">
        <f>Page1!G23</f>
        <v>0</v>
      </c>
      <c r="L18" s="89" t="e">
        <f>Page3!O24</f>
        <v>#DIV/0!</v>
      </c>
      <c r="M18" s="117">
        <f t="shared" si="0"/>
        <v>0</v>
      </c>
      <c r="N18" s="117">
        <f t="shared" si="1"/>
        <v>0</v>
      </c>
    </row>
    <row r="19" spans="1:14">
      <c r="A19" s="116"/>
      <c r="B19" s="86">
        <f>Page1!C24</f>
        <v>0</v>
      </c>
      <c r="C19" s="84"/>
      <c r="D19" s="87">
        <f>Page4!J25</f>
        <v>0</v>
      </c>
      <c r="E19" s="87">
        <f>Page1!D24</f>
        <v>0</v>
      </c>
      <c r="F19" s="88" t="e">
        <f>Page3!G25</f>
        <v>#DIV/0!</v>
      </c>
      <c r="G19" s="88" t="e">
        <f>Page2!G25</f>
        <v>#DIV/0!</v>
      </c>
      <c r="H19" s="89" t="e">
        <f>Page3!K25</f>
        <v>#DIV/0!</v>
      </c>
      <c r="I19" s="89" t="e">
        <f>Page2!K25</f>
        <v>#DIV/0!</v>
      </c>
      <c r="J19" s="89" t="e">
        <f>Page2!O25</f>
        <v>#DIV/0!</v>
      </c>
      <c r="K19" s="84">
        <f>Page1!G24</f>
        <v>0</v>
      </c>
      <c r="L19" s="89" t="e">
        <f>Page3!O25</f>
        <v>#DIV/0!</v>
      </c>
      <c r="M19" s="117">
        <f t="shared" si="0"/>
        <v>0</v>
      </c>
      <c r="N19" s="117">
        <f t="shared" si="1"/>
        <v>0</v>
      </c>
    </row>
    <row r="20" spans="1:14">
      <c r="A20" s="116"/>
      <c r="B20" s="86">
        <f>Page1!C25</f>
        <v>0</v>
      </c>
      <c r="C20" s="84"/>
      <c r="D20" s="87">
        <f>Page4!J26</f>
        <v>0</v>
      </c>
      <c r="E20" s="87">
        <f>Page1!D25</f>
        <v>0</v>
      </c>
      <c r="F20" s="88" t="e">
        <f>Page3!G26</f>
        <v>#DIV/0!</v>
      </c>
      <c r="G20" s="88" t="e">
        <f>Page2!G26</f>
        <v>#DIV/0!</v>
      </c>
      <c r="H20" s="89" t="e">
        <f>Page3!K26</f>
        <v>#DIV/0!</v>
      </c>
      <c r="I20" s="89" t="e">
        <f>Page2!K26</f>
        <v>#DIV/0!</v>
      </c>
      <c r="J20" s="89" t="e">
        <f>Page2!O26</f>
        <v>#DIV/0!</v>
      </c>
      <c r="K20" s="84">
        <f>Page1!G25</f>
        <v>0</v>
      </c>
      <c r="L20" s="89" t="e">
        <f>Page3!O26</f>
        <v>#DIV/0!</v>
      </c>
      <c r="M20" s="117">
        <f t="shared" si="0"/>
        <v>0</v>
      </c>
      <c r="N20" s="117">
        <f t="shared" si="1"/>
        <v>0</v>
      </c>
    </row>
    <row r="21" spans="1:14">
      <c r="A21" s="116"/>
      <c r="B21" s="86">
        <f>Page1!C26</f>
        <v>0</v>
      </c>
      <c r="C21" s="84"/>
      <c r="D21" s="87">
        <f>Page4!J27</f>
        <v>0</v>
      </c>
      <c r="E21" s="87">
        <f>Page1!D26</f>
        <v>0</v>
      </c>
      <c r="F21" s="88" t="e">
        <f>Page3!G27</f>
        <v>#DIV/0!</v>
      </c>
      <c r="G21" s="88" t="e">
        <f>Page2!G27</f>
        <v>#DIV/0!</v>
      </c>
      <c r="H21" s="89" t="e">
        <f>Page3!K27</f>
        <v>#DIV/0!</v>
      </c>
      <c r="I21" s="89" t="e">
        <f>Page2!K27</f>
        <v>#DIV/0!</v>
      </c>
      <c r="J21" s="89" t="e">
        <f>Page2!O27</f>
        <v>#DIV/0!</v>
      </c>
      <c r="K21" s="84">
        <f>Page1!G26</f>
        <v>0</v>
      </c>
      <c r="L21" s="89" t="e">
        <f>Page3!O27</f>
        <v>#DIV/0!</v>
      </c>
      <c r="M21" s="117">
        <f t="shared" si="0"/>
        <v>0</v>
      </c>
      <c r="N21" s="117">
        <f t="shared" si="1"/>
        <v>0</v>
      </c>
    </row>
    <row r="22" spans="1:14">
      <c r="A22" s="116"/>
      <c r="B22" s="86">
        <f>Page1!C27</f>
        <v>0</v>
      </c>
      <c r="C22" s="84"/>
      <c r="D22" s="87">
        <f>Page4!J28</f>
        <v>0</v>
      </c>
      <c r="E22" s="87">
        <f>Page1!D27</f>
        <v>0</v>
      </c>
      <c r="F22" s="88" t="e">
        <f>Page3!G28</f>
        <v>#DIV/0!</v>
      </c>
      <c r="G22" s="88" t="e">
        <f>Page2!G28</f>
        <v>#DIV/0!</v>
      </c>
      <c r="H22" s="89" t="e">
        <f>Page3!K28</f>
        <v>#DIV/0!</v>
      </c>
      <c r="I22" s="89" t="e">
        <f>Page2!K28</f>
        <v>#DIV/0!</v>
      </c>
      <c r="J22" s="89" t="e">
        <f>Page2!O28</f>
        <v>#DIV/0!</v>
      </c>
      <c r="K22" s="84">
        <f>Page1!G27</f>
        <v>0</v>
      </c>
      <c r="L22" s="89" t="e">
        <f>Page3!O28</f>
        <v>#DIV/0!</v>
      </c>
      <c r="M22" s="117">
        <f t="shared" si="0"/>
        <v>0</v>
      </c>
      <c r="N22" s="117">
        <f t="shared" si="1"/>
        <v>0</v>
      </c>
    </row>
    <row r="23" spans="1:14">
      <c r="A23" s="116"/>
      <c r="B23" s="86">
        <f>Page1!C28</f>
        <v>0</v>
      </c>
      <c r="C23" s="84"/>
      <c r="D23" s="87">
        <f>Page4!J29</f>
        <v>0</v>
      </c>
      <c r="E23" s="87">
        <f>Page1!D28</f>
        <v>0</v>
      </c>
      <c r="F23" s="88" t="e">
        <f>Page3!G29</f>
        <v>#DIV/0!</v>
      </c>
      <c r="G23" s="88" t="e">
        <f>Page2!G29</f>
        <v>#DIV/0!</v>
      </c>
      <c r="H23" s="89" t="e">
        <f>Page3!K29</f>
        <v>#DIV/0!</v>
      </c>
      <c r="I23" s="89" t="e">
        <f>Page2!K29</f>
        <v>#DIV/0!</v>
      </c>
      <c r="J23" s="89" t="e">
        <f>Page2!O29</f>
        <v>#DIV/0!</v>
      </c>
      <c r="K23" s="84">
        <f>Page1!G28</f>
        <v>0</v>
      </c>
      <c r="L23" s="89" t="e">
        <f>Page3!O29</f>
        <v>#DIV/0!</v>
      </c>
      <c r="M23" s="117">
        <f t="shared" si="0"/>
        <v>0</v>
      </c>
      <c r="N23" s="117">
        <f t="shared" si="1"/>
        <v>0</v>
      </c>
    </row>
    <row r="24" spans="1:14">
      <c r="A24" s="116"/>
      <c r="B24" s="86">
        <f>Page1!C29</f>
        <v>0</v>
      </c>
      <c r="C24" s="84"/>
      <c r="D24" s="87">
        <f>Page4!J30</f>
        <v>0</v>
      </c>
      <c r="E24" s="87">
        <f>Page1!D29</f>
        <v>0</v>
      </c>
      <c r="F24" s="88" t="e">
        <f>Page3!G30</f>
        <v>#DIV/0!</v>
      </c>
      <c r="G24" s="88" t="e">
        <f>Page2!G30</f>
        <v>#DIV/0!</v>
      </c>
      <c r="H24" s="89" t="e">
        <f>Page3!K30</f>
        <v>#DIV/0!</v>
      </c>
      <c r="I24" s="89" t="e">
        <f>Page2!K30</f>
        <v>#DIV/0!</v>
      </c>
      <c r="J24" s="89" t="e">
        <f>Page2!O30</f>
        <v>#DIV/0!</v>
      </c>
      <c r="K24" s="84">
        <f>Page1!G29</f>
        <v>0</v>
      </c>
      <c r="L24" s="89" t="e">
        <f>Page3!O30</f>
        <v>#DIV/0!</v>
      </c>
      <c r="M24" s="117">
        <f t="shared" si="0"/>
        <v>0</v>
      </c>
      <c r="N24" s="117">
        <f t="shared" si="1"/>
        <v>0</v>
      </c>
    </row>
    <row r="25" spans="1:14">
      <c r="A25" s="116"/>
      <c r="B25" s="86">
        <f>Page1!C30</f>
        <v>0</v>
      </c>
      <c r="C25" s="84"/>
      <c r="D25" s="87">
        <f>Page4!J31</f>
        <v>0</v>
      </c>
      <c r="E25" s="87">
        <f>Page1!D30</f>
        <v>0</v>
      </c>
      <c r="F25" s="88" t="e">
        <f>Page3!G31</f>
        <v>#DIV/0!</v>
      </c>
      <c r="G25" s="88" t="e">
        <f>Page2!G31</f>
        <v>#DIV/0!</v>
      </c>
      <c r="H25" s="89" t="e">
        <f>Page3!K31</f>
        <v>#DIV/0!</v>
      </c>
      <c r="I25" s="89" t="e">
        <f>Page2!K31</f>
        <v>#DIV/0!</v>
      </c>
      <c r="J25" s="89" t="e">
        <f>Page2!O31</f>
        <v>#DIV/0!</v>
      </c>
      <c r="K25" s="84">
        <f>Page1!G30</f>
        <v>0</v>
      </c>
      <c r="L25" s="89" t="e">
        <f>Page3!O31</f>
        <v>#DIV/0!</v>
      </c>
      <c r="M25" s="117">
        <f t="shared" si="0"/>
        <v>0</v>
      </c>
      <c r="N25" s="117">
        <f t="shared" si="1"/>
        <v>0</v>
      </c>
    </row>
    <row r="26" spans="1:14">
      <c r="A26" s="116"/>
      <c r="B26" s="86">
        <f>Page1!C31</f>
        <v>0</v>
      </c>
      <c r="C26" s="84"/>
      <c r="D26" s="87">
        <f>Page4!J32</f>
        <v>0</v>
      </c>
      <c r="E26" s="87">
        <f>Page1!D31</f>
        <v>0</v>
      </c>
      <c r="F26" s="88" t="e">
        <f>Page3!G32</f>
        <v>#DIV/0!</v>
      </c>
      <c r="G26" s="88" t="e">
        <f>Page2!G32</f>
        <v>#DIV/0!</v>
      </c>
      <c r="H26" s="89" t="e">
        <f>Page3!K32</f>
        <v>#DIV/0!</v>
      </c>
      <c r="I26" s="89" t="e">
        <f>Page2!K32</f>
        <v>#DIV/0!</v>
      </c>
      <c r="J26" s="89" t="e">
        <f>Page2!O32</f>
        <v>#DIV/0!</v>
      </c>
      <c r="K26" s="84">
        <f>Page1!G31</f>
        <v>0</v>
      </c>
      <c r="L26" s="89" t="e">
        <f>Page3!O32</f>
        <v>#DIV/0!</v>
      </c>
      <c r="M26" s="117">
        <f t="shared" si="0"/>
        <v>0</v>
      </c>
      <c r="N26" s="117">
        <f t="shared" si="1"/>
        <v>0</v>
      </c>
    </row>
    <row r="27" spans="1:14">
      <c r="A27" s="116"/>
      <c r="B27" s="86">
        <f>Page1!C32</f>
        <v>0</v>
      </c>
      <c r="C27" s="84"/>
      <c r="D27" s="87">
        <f>Page4!J33</f>
        <v>0</v>
      </c>
      <c r="E27" s="87">
        <f>Page1!D32</f>
        <v>0</v>
      </c>
      <c r="F27" s="88" t="e">
        <f>Page3!G33</f>
        <v>#DIV/0!</v>
      </c>
      <c r="G27" s="88" t="e">
        <f>Page2!G33</f>
        <v>#DIV/0!</v>
      </c>
      <c r="H27" s="89" t="e">
        <f>Page3!K33</f>
        <v>#DIV/0!</v>
      </c>
      <c r="I27" s="89" t="e">
        <f>Page2!K33</f>
        <v>#DIV/0!</v>
      </c>
      <c r="J27" s="89" t="e">
        <f>Page2!O33</f>
        <v>#DIV/0!</v>
      </c>
      <c r="K27" s="84">
        <f>Page1!G32</f>
        <v>0</v>
      </c>
      <c r="L27" s="89" t="e">
        <f>Page3!O33</f>
        <v>#DIV/0!</v>
      </c>
      <c r="M27" s="117">
        <f t="shared" si="0"/>
        <v>0</v>
      </c>
      <c r="N27" s="117">
        <f t="shared" si="1"/>
        <v>0</v>
      </c>
    </row>
    <row r="28" spans="1:14">
      <c r="A28" s="116"/>
      <c r="B28" s="86">
        <f>Page1!C33</f>
        <v>0</v>
      </c>
      <c r="C28" s="84"/>
      <c r="D28" s="87">
        <f>Page4!J34</f>
        <v>0</v>
      </c>
      <c r="E28" s="87">
        <f>Page1!D33</f>
        <v>0</v>
      </c>
      <c r="F28" s="88" t="e">
        <f>Page3!G34</f>
        <v>#DIV/0!</v>
      </c>
      <c r="G28" s="88" t="e">
        <f>Page2!G34</f>
        <v>#DIV/0!</v>
      </c>
      <c r="H28" s="89" t="e">
        <f>Page3!K34</f>
        <v>#DIV/0!</v>
      </c>
      <c r="I28" s="89" t="e">
        <f>Page2!K34</f>
        <v>#DIV/0!</v>
      </c>
      <c r="J28" s="89" t="e">
        <f>Page2!O34</f>
        <v>#DIV/0!</v>
      </c>
      <c r="K28" s="84">
        <f>Page1!G33</f>
        <v>0</v>
      </c>
      <c r="L28" s="89" t="e">
        <f>Page3!O34</f>
        <v>#DIV/0!</v>
      </c>
      <c r="M28" s="117">
        <f t="shared" si="0"/>
        <v>0</v>
      </c>
      <c r="N28" s="117">
        <f t="shared" si="1"/>
        <v>0</v>
      </c>
    </row>
    <row r="29" spans="1:14">
      <c r="A29" s="116"/>
      <c r="B29" s="86">
        <f>Page1!C34</f>
        <v>0</v>
      </c>
      <c r="C29" s="84"/>
      <c r="D29" s="87">
        <f>Page4!J35</f>
        <v>0</v>
      </c>
      <c r="E29" s="87">
        <f>Page1!D34</f>
        <v>0</v>
      </c>
      <c r="F29" s="88" t="e">
        <f>Page3!G35</f>
        <v>#DIV/0!</v>
      </c>
      <c r="G29" s="88" t="e">
        <f>Page2!G35</f>
        <v>#DIV/0!</v>
      </c>
      <c r="H29" s="89" t="e">
        <f>Page3!K35</f>
        <v>#DIV/0!</v>
      </c>
      <c r="I29" s="89" t="e">
        <f>Page2!K35</f>
        <v>#DIV/0!</v>
      </c>
      <c r="J29" s="89" t="e">
        <f>Page2!O35</f>
        <v>#DIV/0!</v>
      </c>
      <c r="K29" s="84">
        <f>Page1!G34</f>
        <v>0</v>
      </c>
      <c r="L29" s="89" t="e">
        <f>Page3!O35</f>
        <v>#DIV/0!</v>
      </c>
      <c r="M29" s="117">
        <f t="shared" si="0"/>
        <v>0</v>
      </c>
      <c r="N29" s="117">
        <f t="shared" si="1"/>
        <v>0</v>
      </c>
    </row>
    <row r="30" spans="1:14">
      <c r="A30" s="116"/>
      <c r="B30" s="86">
        <f>Page1!C35</f>
        <v>0</v>
      </c>
      <c r="C30" s="84"/>
      <c r="D30" s="87">
        <f>Page4!J36</f>
        <v>0</v>
      </c>
      <c r="E30" s="87">
        <f>Page1!D35</f>
        <v>0</v>
      </c>
      <c r="F30" s="88" t="e">
        <f>Page3!G36</f>
        <v>#DIV/0!</v>
      </c>
      <c r="G30" s="88" t="e">
        <f>Page2!G36</f>
        <v>#DIV/0!</v>
      </c>
      <c r="H30" s="89" t="e">
        <f>Page3!K36</f>
        <v>#DIV/0!</v>
      </c>
      <c r="I30" s="89" t="e">
        <f>Page2!K36</f>
        <v>#DIV/0!</v>
      </c>
      <c r="J30" s="89" t="e">
        <f>Page2!O36</f>
        <v>#DIV/0!</v>
      </c>
      <c r="K30" s="84">
        <f>Page1!G35</f>
        <v>0</v>
      </c>
      <c r="L30" s="89" t="e">
        <f>Page3!O36</f>
        <v>#DIV/0!</v>
      </c>
      <c r="M30" s="117">
        <f t="shared" si="0"/>
        <v>0</v>
      </c>
      <c r="N30" s="117">
        <f t="shared" si="1"/>
        <v>0</v>
      </c>
    </row>
    <row r="31" spans="1:14">
      <c r="A31" s="116"/>
      <c r="B31" s="86">
        <f>Page1!C36</f>
        <v>0</v>
      </c>
      <c r="C31" s="84"/>
      <c r="D31" s="87">
        <f>Page4!J37</f>
        <v>0</v>
      </c>
      <c r="E31" s="87">
        <f>Page1!D36</f>
        <v>0</v>
      </c>
      <c r="F31" s="88" t="e">
        <f>Page3!G37</f>
        <v>#DIV/0!</v>
      </c>
      <c r="G31" s="88" t="e">
        <f>Page2!G37</f>
        <v>#DIV/0!</v>
      </c>
      <c r="H31" s="89" t="e">
        <f>Page3!K37</f>
        <v>#DIV/0!</v>
      </c>
      <c r="I31" s="89" t="e">
        <f>Page2!K37</f>
        <v>#DIV/0!</v>
      </c>
      <c r="J31" s="89" t="e">
        <f>Page2!O37</f>
        <v>#DIV/0!</v>
      </c>
      <c r="K31" s="84">
        <f>Page1!G36</f>
        <v>0</v>
      </c>
      <c r="L31" s="89" t="e">
        <f>Page3!O37</f>
        <v>#DIV/0!</v>
      </c>
      <c r="M31" s="117">
        <f t="shared" si="0"/>
        <v>0</v>
      </c>
      <c r="N31" s="117">
        <f t="shared" si="1"/>
        <v>0</v>
      </c>
    </row>
    <row r="32" spans="1:14">
      <c r="A32" s="116"/>
      <c r="B32" s="86">
        <f>Page1!C37</f>
        <v>0</v>
      </c>
      <c r="C32" s="84"/>
      <c r="D32" s="87">
        <f>Page4!J38</f>
        <v>0</v>
      </c>
      <c r="E32" s="87">
        <f>Page1!D37</f>
        <v>0</v>
      </c>
      <c r="F32" s="88" t="e">
        <f>Page3!G38</f>
        <v>#DIV/0!</v>
      </c>
      <c r="G32" s="88" t="e">
        <f>Page2!G38</f>
        <v>#DIV/0!</v>
      </c>
      <c r="H32" s="89" t="e">
        <f>Page3!K38</f>
        <v>#DIV/0!</v>
      </c>
      <c r="I32" s="89" t="e">
        <f>Page2!K38</f>
        <v>#DIV/0!</v>
      </c>
      <c r="J32" s="89" t="e">
        <f>Page2!O38</f>
        <v>#DIV/0!</v>
      </c>
      <c r="K32" s="84">
        <f>Page1!G37</f>
        <v>0</v>
      </c>
      <c r="L32" s="89" t="e">
        <f>Page3!O38</f>
        <v>#DIV/0!</v>
      </c>
      <c r="M32" s="117">
        <f t="shared" si="0"/>
        <v>0</v>
      </c>
      <c r="N32" s="117">
        <f t="shared" si="1"/>
        <v>0</v>
      </c>
    </row>
  </sheetData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W57"/>
  <sheetViews>
    <sheetView zoomScaleNormal="100" workbookViewId="0">
      <selection activeCell="E32" sqref="E32"/>
    </sheetView>
  </sheetViews>
  <sheetFormatPr defaultRowHeight="11.25"/>
  <cols>
    <col min="1" max="1" width="5" style="1" customWidth="1"/>
    <col min="2" max="2" width="35.85546875" style="1" customWidth="1"/>
    <col min="3" max="4" width="17.140625" style="1" customWidth="1"/>
    <col min="5" max="10" width="7.85546875" style="1" customWidth="1"/>
    <col min="11" max="40" width="9.28515625" style="1" customWidth="1"/>
    <col min="41" max="42" width="9.28515625" style="4" customWidth="1"/>
    <col min="43" max="43" width="9.28515625" style="1" customWidth="1"/>
    <col min="44" max="45" width="9.28515625" style="4" customWidth="1"/>
    <col min="46" max="46" width="9.28515625" style="1" customWidth="1"/>
    <col min="47" max="47" width="4.85546875" style="1" customWidth="1"/>
    <col min="48" max="48" width="9.140625" style="1"/>
    <col min="49" max="49" width="9.140625" style="2"/>
    <col min="50" max="16384" width="9.140625" style="1"/>
  </cols>
  <sheetData>
    <row r="1" spans="1:49" ht="18" customHeight="1" thickBot="1">
      <c r="B1" s="299"/>
      <c r="C1" s="299"/>
      <c r="D1" s="299"/>
      <c r="E1" s="299"/>
      <c r="F1" s="299"/>
      <c r="G1" s="299"/>
      <c r="H1" s="299"/>
      <c r="I1" s="299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49" s="5" customFormat="1" ht="12.75">
      <c r="B2" s="6" t="s">
        <v>40</v>
      </c>
      <c r="C2" s="7"/>
      <c r="D2" s="8"/>
      <c r="AW2" s="8"/>
    </row>
    <row r="3" spans="1:49" s="5" customFormat="1" ht="12.75">
      <c r="B3" s="9" t="s">
        <v>41</v>
      </c>
      <c r="C3" s="10"/>
      <c r="D3" s="8"/>
      <c r="AW3" s="8"/>
    </row>
    <row r="4" spans="1:49" s="5" customFormat="1" ht="12.75">
      <c r="B4" s="9" t="s">
        <v>42</v>
      </c>
      <c r="C4" s="11"/>
      <c r="D4" s="8"/>
      <c r="AW4" s="8"/>
    </row>
    <row r="5" spans="1:49" s="5" customFormat="1" ht="12" customHeight="1">
      <c r="B5" s="9" t="s">
        <v>43</v>
      </c>
      <c r="C5" s="11"/>
      <c r="D5" s="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AW5" s="8"/>
    </row>
    <row r="6" spans="1:49" s="5" customFormat="1" ht="12" customHeight="1">
      <c r="B6" s="9" t="s">
        <v>44</v>
      </c>
      <c r="C6" s="10"/>
      <c r="D6" s="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AW6" s="8"/>
    </row>
    <row r="7" spans="1:49" s="5" customFormat="1" ht="12" customHeight="1">
      <c r="B7" s="9" t="s">
        <v>45</v>
      </c>
      <c r="C7" s="10"/>
      <c r="D7" s="8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AW7" s="8"/>
    </row>
    <row r="8" spans="1:49" s="5" customFormat="1" ht="12" customHeight="1">
      <c r="B8" s="9" t="s">
        <v>46</v>
      </c>
      <c r="C8" s="10"/>
      <c r="D8" s="8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W8" s="8"/>
    </row>
    <row r="9" spans="1:49" s="5" customFormat="1" ht="12.75">
      <c r="B9" s="9" t="s">
        <v>47</v>
      </c>
      <c r="C9" s="13"/>
      <c r="D9" s="8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W9" s="8"/>
    </row>
    <row r="10" spans="1:49" ht="12" customHeight="1">
      <c r="B10" s="9" t="s">
        <v>48</v>
      </c>
      <c r="C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6"/>
      <c r="Y10" s="16"/>
      <c r="Z10" s="16"/>
      <c r="AA10" s="16"/>
      <c r="AB10" s="16"/>
      <c r="AC10" s="16"/>
      <c r="AD10" s="3"/>
      <c r="AE10" s="3"/>
      <c r="AF10" s="3"/>
      <c r="AG10" s="3"/>
      <c r="AH10" s="3"/>
      <c r="AI10" s="3"/>
      <c r="AJ10" s="16"/>
      <c r="AK10" s="3"/>
      <c r="AL10" s="17"/>
      <c r="AM10" s="16"/>
    </row>
    <row r="11" spans="1:49" ht="12" customHeight="1">
      <c r="B11" s="9" t="s">
        <v>49</v>
      </c>
      <c r="C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/>
      <c r="Y11" s="16"/>
      <c r="Z11" s="16"/>
      <c r="AA11" s="16"/>
      <c r="AB11" s="16"/>
      <c r="AC11" s="16"/>
      <c r="AD11" s="3"/>
      <c r="AE11" s="3"/>
      <c r="AF11" s="3"/>
      <c r="AG11" s="3"/>
      <c r="AH11" s="3"/>
      <c r="AI11" s="3"/>
      <c r="AJ11" s="16"/>
      <c r="AK11" s="3"/>
      <c r="AL11" s="17"/>
      <c r="AM11" s="16"/>
    </row>
    <row r="12" spans="1:49" ht="15.75" customHeight="1" thickBot="1">
      <c r="B12" s="18" t="s">
        <v>50</v>
      </c>
      <c r="C12" s="1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/>
      <c r="Y12" s="16"/>
      <c r="Z12" s="16"/>
      <c r="AA12" s="16"/>
      <c r="AB12" s="16"/>
      <c r="AC12" s="16"/>
      <c r="AD12" s="3"/>
      <c r="AE12" s="3"/>
      <c r="AF12" s="3"/>
      <c r="AG12" s="3"/>
      <c r="AH12" s="3"/>
      <c r="AI12" s="3"/>
      <c r="AJ12" s="16"/>
      <c r="AK12" s="3"/>
      <c r="AL12" s="17"/>
      <c r="AM12" s="16"/>
    </row>
    <row r="13" spans="1:49" ht="15.75" customHeight="1">
      <c r="B13" s="20"/>
      <c r="C13" s="2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6"/>
      <c r="Y13" s="16"/>
      <c r="Z13" s="16"/>
      <c r="AA13" s="16"/>
      <c r="AB13" s="16"/>
      <c r="AC13" s="16"/>
      <c r="AD13" s="3"/>
      <c r="AE13" s="3"/>
      <c r="AF13" s="3"/>
      <c r="AG13" s="3"/>
      <c r="AH13" s="3"/>
      <c r="AI13" s="3"/>
      <c r="AJ13" s="16"/>
      <c r="AK13" s="3"/>
      <c r="AL13" s="17"/>
      <c r="AM13" s="16"/>
    </row>
    <row r="14" spans="1:49" s="94" customFormat="1" ht="24">
      <c r="A14" s="91" t="s">
        <v>51</v>
      </c>
      <c r="B14" s="91" t="s">
        <v>52</v>
      </c>
      <c r="C14" s="91" t="s">
        <v>53</v>
      </c>
      <c r="D14" s="91" t="s">
        <v>54</v>
      </c>
      <c r="E14" s="91" t="s">
        <v>55</v>
      </c>
      <c r="F14" s="91" t="s">
        <v>56</v>
      </c>
      <c r="G14" s="91" t="s">
        <v>57</v>
      </c>
      <c r="H14" s="91" t="s">
        <v>58</v>
      </c>
      <c r="I14" s="91" t="s">
        <v>59</v>
      </c>
      <c r="J14" s="91" t="s">
        <v>60</v>
      </c>
      <c r="K14" s="91">
        <v>1</v>
      </c>
      <c r="L14" s="91">
        <v>2</v>
      </c>
      <c r="M14" s="91">
        <v>3</v>
      </c>
      <c r="N14" s="91">
        <v>4</v>
      </c>
      <c r="O14" s="91">
        <v>5</v>
      </c>
      <c r="P14" s="91">
        <v>6</v>
      </c>
      <c r="Q14" s="91">
        <v>7</v>
      </c>
      <c r="R14" s="91">
        <v>8</v>
      </c>
      <c r="S14" s="91">
        <v>9</v>
      </c>
      <c r="T14" s="91">
        <v>10</v>
      </c>
      <c r="U14" s="91">
        <v>11</v>
      </c>
      <c r="V14" s="91">
        <v>12</v>
      </c>
      <c r="W14" s="91">
        <v>13</v>
      </c>
      <c r="X14" s="91">
        <v>14</v>
      </c>
      <c r="Y14" s="91">
        <v>15</v>
      </c>
      <c r="Z14" s="91">
        <v>16</v>
      </c>
      <c r="AA14" s="91">
        <v>17</v>
      </c>
      <c r="AB14" s="91">
        <v>18</v>
      </c>
      <c r="AC14" s="91">
        <v>19</v>
      </c>
      <c r="AD14" s="91">
        <v>20</v>
      </c>
      <c r="AE14" s="91">
        <v>21</v>
      </c>
      <c r="AF14" s="91">
        <v>22</v>
      </c>
      <c r="AG14" s="91">
        <v>23</v>
      </c>
      <c r="AH14" s="91">
        <v>24</v>
      </c>
      <c r="AI14" s="91">
        <v>25</v>
      </c>
      <c r="AJ14" s="91">
        <v>26</v>
      </c>
      <c r="AK14" s="91">
        <v>27</v>
      </c>
      <c r="AL14" s="91">
        <v>28</v>
      </c>
      <c r="AM14" s="91">
        <v>29</v>
      </c>
      <c r="AN14" s="91">
        <v>30</v>
      </c>
      <c r="AO14" s="92" t="s">
        <v>23</v>
      </c>
      <c r="AP14" s="92" t="s">
        <v>61</v>
      </c>
      <c r="AQ14" s="91" t="s">
        <v>62</v>
      </c>
      <c r="AR14" s="92" t="s">
        <v>63</v>
      </c>
      <c r="AS14" s="92" t="s">
        <v>64</v>
      </c>
      <c r="AT14" s="93" t="s">
        <v>65</v>
      </c>
      <c r="AV14" s="95"/>
      <c r="AW14" s="95"/>
    </row>
    <row r="15" spans="1:49" s="106" customFormat="1" ht="15" customHeight="1">
      <c r="A15" s="96">
        <v>1</v>
      </c>
      <c r="B15" s="97" t="s">
        <v>66</v>
      </c>
      <c r="C15" s="98" t="s">
        <v>67</v>
      </c>
      <c r="D15" s="99" t="s">
        <v>68</v>
      </c>
      <c r="E15" s="99">
        <v>1</v>
      </c>
      <c r="F15" s="99">
        <v>0.01</v>
      </c>
      <c r="G15" s="100" t="s">
        <v>69</v>
      </c>
      <c r="H15" s="100" t="s">
        <v>70</v>
      </c>
      <c r="I15" s="100" t="s">
        <v>71</v>
      </c>
      <c r="J15" s="100">
        <v>1.33</v>
      </c>
      <c r="K15" s="80" cm="1">
        <f t="array" ref="K15">INDEX(Page1!$D$8:$D$37, COLUMN(K15)-10)</f>
        <v>0</v>
      </c>
      <c r="L15" s="80" cm="1">
        <f t="array" ref="L15">INDEX(Page1!$D$8:$D$37, COLUMN(L15)-10)</f>
        <v>0</v>
      </c>
      <c r="M15" s="80" cm="1">
        <f t="array" ref="M15">INDEX(Page1!$D$8:$D$37, COLUMN(M15)-10)</f>
        <v>0</v>
      </c>
      <c r="N15" s="80" cm="1">
        <f t="array" ref="N15">INDEX(Page1!$D$8:$D$37, COLUMN(N15)-10)</f>
        <v>0</v>
      </c>
      <c r="O15" s="80" cm="1">
        <f t="array" ref="O15">INDEX(Page1!$D$8:$D$37, COLUMN(O15)-10)</f>
        <v>0</v>
      </c>
      <c r="P15" s="80" cm="1">
        <f t="array" ref="P15">INDEX(Page1!$D$8:$D$37, COLUMN(P15)-10)</f>
        <v>0</v>
      </c>
      <c r="Q15" s="80" cm="1">
        <f t="array" ref="Q15">INDEX(Page1!$D$8:$D$37, COLUMN(Q15)-10)</f>
        <v>0</v>
      </c>
      <c r="R15" s="80" cm="1">
        <f t="array" ref="R15">INDEX(Page1!$D$8:$D$37, COLUMN(R15)-10)</f>
        <v>0</v>
      </c>
      <c r="S15" s="80" cm="1">
        <f t="array" ref="S15">INDEX(Page1!$D$8:$D$37, COLUMN(S15)-10)</f>
        <v>0</v>
      </c>
      <c r="T15" s="80" cm="1">
        <f t="array" ref="T15">INDEX(Page1!$D$8:$D$37, COLUMN(T15)-10)</f>
        <v>0</v>
      </c>
      <c r="U15" s="80" cm="1">
        <f t="array" ref="U15">INDEX(Page1!$D$8:$D$37, COLUMN(U15)-10)</f>
        <v>0</v>
      </c>
      <c r="V15" s="80" cm="1">
        <f t="array" ref="V15">INDEX(Page1!$D$8:$D$37, COLUMN(V15)-10)</f>
        <v>0</v>
      </c>
      <c r="W15" s="80" cm="1">
        <f t="array" ref="W15">INDEX(Page1!$D$8:$D$37, COLUMN(W15)-10)</f>
        <v>0</v>
      </c>
      <c r="X15" s="80" cm="1">
        <f t="array" ref="X15">INDEX(Page1!$D$8:$D$37, COLUMN(X15)-10)</f>
        <v>0</v>
      </c>
      <c r="Y15" s="80" cm="1">
        <f t="array" ref="Y15">INDEX(Page1!$D$8:$D$37, COLUMN(Y15)-10)</f>
        <v>0</v>
      </c>
      <c r="Z15" s="80" cm="1">
        <f t="array" ref="Z15">INDEX(Page1!$D$8:$D$37, COLUMN(Z15)-10)</f>
        <v>0</v>
      </c>
      <c r="AA15" s="80" cm="1">
        <f t="array" ref="AA15">INDEX(Page1!$D$8:$D$37, COLUMN(AA15)-10)</f>
        <v>0</v>
      </c>
      <c r="AB15" s="80" cm="1">
        <f t="array" ref="AB15">INDEX(Page1!$D$8:$D$37, COLUMN(AB15)-10)</f>
        <v>0</v>
      </c>
      <c r="AC15" s="80" cm="1">
        <f t="array" ref="AC15">INDEX(Page1!$D$8:$D$37, COLUMN(AC15)-10)</f>
        <v>0</v>
      </c>
      <c r="AD15" s="80" cm="1">
        <f t="array" ref="AD15">INDEX(Page1!$D$8:$D$37, COLUMN(AD15)-10)</f>
        <v>0</v>
      </c>
      <c r="AE15" s="80" cm="1">
        <f t="array" ref="AE15">INDEX(Page1!$D$8:$D$37, COLUMN(AE15)-10)</f>
        <v>0</v>
      </c>
      <c r="AF15" s="80" cm="1">
        <f t="array" ref="AF15">INDEX(Page1!$D$8:$D$37, COLUMN(AF15)-10)</f>
        <v>0</v>
      </c>
      <c r="AG15" s="80" cm="1">
        <f t="array" ref="AG15">INDEX(Page1!$D$8:$D$37, COLUMN(AG15)-10)</f>
        <v>0</v>
      </c>
      <c r="AH15" s="80" cm="1">
        <f t="array" ref="AH15">INDEX(Page1!$D$8:$D$37, COLUMN(AH15)-10)</f>
        <v>0</v>
      </c>
      <c r="AI15" s="80" cm="1">
        <f t="array" ref="AI15">INDEX(Page1!$D$8:$D$37, COLUMN(AI15)-10)</f>
        <v>0</v>
      </c>
      <c r="AJ15" s="80" cm="1">
        <f t="array" ref="AJ15">INDEX(Page1!$D$8:$D$37, COLUMN(AJ15)-10)</f>
        <v>0</v>
      </c>
      <c r="AK15" s="80" cm="1">
        <f t="array" ref="AK15">INDEX(Page1!$D$8:$D$37, COLUMN(AK15)-10)</f>
        <v>0</v>
      </c>
      <c r="AL15" s="80" cm="1">
        <f t="array" ref="AL15">INDEX(Page1!$D$8:$D$37, COLUMN(AL15)-10)</f>
        <v>0</v>
      </c>
      <c r="AM15" s="80" cm="1">
        <f t="array" ref="AM15">INDEX(Page1!$D$8:$D$37, COLUMN(AM15)-10)</f>
        <v>0</v>
      </c>
      <c r="AN15" s="80" cm="1">
        <f t="array" ref="AN15">INDEX(Page1!$D$8:$D$37, COLUMN(AN15)-10)</f>
        <v>0</v>
      </c>
      <c r="AO15" s="101">
        <f t="shared" ref="AO15:AO29" si="0">AVERAGE(K15:AN15)</f>
        <v>0</v>
      </c>
      <c r="AP15" s="102">
        <f t="shared" ref="AP15:AP29" si="1">STDEV(K15:AN15)</f>
        <v>0</v>
      </c>
      <c r="AQ15" s="103" t="e">
        <f>MIN((AO15-H15)/(3*AP15), (I15-AO15)/(3*AP15))</f>
        <v>#DIV/0!</v>
      </c>
      <c r="AR15" s="102">
        <f t="shared" ref="AR15:AR29" si="2">MIN(K15:AN15)</f>
        <v>0</v>
      </c>
      <c r="AS15" s="102">
        <f t="shared" ref="AS15:AS29" si="3">MAX(K15:AN15)</f>
        <v>0</v>
      </c>
      <c r="AT15" s="90" t="e">
        <f t="shared" ref="AT15:AT29" si="4">IF(AQ15&gt;=1.33,"Pass","Fail")</f>
        <v>#DIV/0!</v>
      </c>
      <c r="AU15" s="104"/>
      <c r="AV15" s="105"/>
      <c r="AW15" s="105"/>
    </row>
    <row r="16" spans="1:49" s="106" customFormat="1" ht="15" customHeight="1">
      <c r="A16" s="96">
        <v>2</v>
      </c>
      <c r="B16" s="97" t="s">
        <v>72</v>
      </c>
      <c r="C16" s="98" t="s">
        <v>67</v>
      </c>
      <c r="D16" s="99" t="s">
        <v>73</v>
      </c>
      <c r="E16" s="99">
        <v>3</v>
      </c>
      <c r="F16" s="99">
        <v>0.1</v>
      </c>
      <c r="G16" s="100" t="s">
        <v>74</v>
      </c>
      <c r="H16" s="100">
        <v>9.5</v>
      </c>
      <c r="I16" s="100"/>
      <c r="J16" s="100">
        <v>1.33</v>
      </c>
      <c r="K16" s="82" t="e" cm="1">
        <f t="array" ref="K16">INDEX(Page2!$K$9:$K$38, COLUMN(K16)-10)</f>
        <v>#DIV/0!</v>
      </c>
      <c r="L16" s="82" t="e" cm="1">
        <f t="array" ref="L16">INDEX(Page2!$K$9:$K$38, COLUMN(L16)-10)</f>
        <v>#DIV/0!</v>
      </c>
      <c r="M16" s="82" t="e" cm="1">
        <f t="array" ref="M16">INDEX(Page2!$K$9:$K$38, COLUMN(M16)-10)</f>
        <v>#DIV/0!</v>
      </c>
      <c r="N16" s="82" t="e" cm="1">
        <f t="array" ref="N16">INDEX(Page2!$K$9:$K$38, COLUMN(N16)-10)</f>
        <v>#DIV/0!</v>
      </c>
      <c r="O16" s="82" t="e" cm="1">
        <f t="array" ref="O16">INDEX(Page2!$K$9:$K$38, COLUMN(O16)-10)</f>
        <v>#DIV/0!</v>
      </c>
      <c r="P16" s="82" t="e" cm="1">
        <f t="array" ref="P16">INDEX(Page2!$K$9:$K$38, COLUMN(P16)-10)</f>
        <v>#DIV/0!</v>
      </c>
      <c r="Q16" s="82" t="e" cm="1">
        <f t="array" ref="Q16">INDEX(Page2!$K$9:$K$38, COLUMN(Q16)-10)</f>
        <v>#DIV/0!</v>
      </c>
      <c r="R16" s="82" t="e" cm="1">
        <f t="array" ref="R16">INDEX(Page2!$K$9:$K$38, COLUMN(R16)-10)</f>
        <v>#DIV/0!</v>
      </c>
      <c r="S16" s="82" t="e" cm="1">
        <f t="array" ref="S16">INDEX(Page2!$K$9:$K$38, COLUMN(S16)-10)</f>
        <v>#DIV/0!</v>
      </c>
      <c r="T16" s="82" t="e" cm="1">
        <f t="array" ref="T16">INDEX(Page2!$K$9:$K$38, COLUMN(T16)-10)</f>
        <v>#DIV/0!</v>
      </c>
      <c r="U16" s="82" t="e" cm="1">
        <f t="array" ref="U16">INDEX(Page2!$K$9:$K$38, COLUMN(U16)-10)</f>
        <v>#DIV/0!</v>
      </c>
      <c r="V16" s="82" t="e" cm="1">
        <f t="array" ref="V16">INDEX(Page2!$K$9:$K$38, COLUMN(V16)-10)</f>
        <v>#DIV/0!</v>
      </c>
      <c r="W16" s="82" t="e" cm="1">
        <f t="array" ref="W16">INDEX(Page2!$K$9:$K$38, COLUMN(W16)-10)</f>
        <v>#DIV/0!</v>
      </c>
      <c r="X16" s="82" t="e" cm="1">
        <f t="array" ref="X16">INDEX(Page2!$K$9:$K$38, COLUMN(X16)-10)</f>
        <v>#DIV/0!</v>
      </c>
      <c r="Y16" s="82" t="e" cm="1">
        <f t="array" ref="Y16">INDEX(Page2!$K$9:$K$38, COLUMN(Y16)-10)</f>
        <v>#DIV/0!</v>
      </c>
      <c r="Z16" s="82" t="e" cm="1">
        <f t="array" ref="Z16">INDEX(Page2!$K$9:$K$38, COLUMN(Z16)-10)</f>
        <v>#DIV/0!</v>
      </c>
      <c r="AA16" s="82" t="e" cm="1">
        <f t="array" ref="AA16">INDEX(Page2!$K$9:$K$38, COLUMN(AA16)-10)</f>
        <v>#DIV/0!</v>
      </c>
      <c r="AB16" s="82" t="e" cm="1">
        <f t="array" ref="AB16">INDEX(Page2!$K$9:$K$38, COLUMN(AB16)-10)</f>
        <v>#DIV/0!</v>
      </c>
      <c r="AC16" s="82" t="e" cm="1">
        <f t="array" ref="AC16">INDEX(Page2!$K$9:$K$38, COLUMN(AC16)-10)</f>
        <v>#DIV/0!</v>
      </c>
      <c r="AD16" s="82" t="e" cm="1">
        <f t="array" ref="AD16">INDEX(Page2!$K$9:$K$38, COLUMN(AD16)-10)</f>
        <v>#DIV/0!</v>
      </c>
      <c r="AE16" s="82" t="e" cm="1">
        <f t="array" ref="AE16">INDEX(Page2!$K$9:$K$38, COLUMN(AE16)-10)</f>
        <v>#DIV/0!</v>
      </c>
      <c r="AF16" s="82" t="e" cm="1">
        <f t="array" ref="AF16">INDEX(Page2!$K$9:$K$38, COLUMN(AF16)-10)</f>
        <v>#DIV/0!</v>
      </c>
      <c r="AG16" s="82" t="e" cm="1">
        <f t="array" ref="AG16">INDEX(Page2!$K$9:$K$38, COLUMN(AG16)-10)</f>
        <v>#DIV/0!</v>
      </c>
      <c r="AH16" s="82" t="e" cm="1">
        <f t="array" ref="AH16">INDEX(Page2!$K$9:$K$38, COLUMN(AH16)-10)</f>
        <v>#DIV/0!</v>
      </c>
      <c r="AI16" s="82" t="e" cm="1">
        <f t="array" ref="AI16">INDEX(Page2!$K$9:$K$38, COLUMN(AI16)-10)</f>
        <v>#DIV/0!</v>
      </c>
      <c r="AJ16" s="82" t="e" cm="1">
        <f t="array" ref="AJ16">INDEX(Page2!$K$9:$K$38, COLUMN(AJ16)-10)</f>
        <v>#DIV/0!</v>
      </c>
      <c r="AK16" s="82" t="e" cm="1">
        <f t="array" ref="AK16">INDEX(Page2!$K$9:$K$38, COLUMN(AK16)-10)</f>
        <v>#DIV/0!</v>
      </c>
      <c r="AL16" s="82" t="e" cm="1">
        <f t="array" ref="AL16">INDEX(Page2!$K$9:$K$38, COLUMN(AL16)-10)</f>
        <v>#DIV/0!</v>
      </c>
      <c r="AM16" s="82" t="e" cm="1">
        <f t="array" ref="AM16">INDEX(Page2!$K$9:$K$38, COLUMN(AM16)-10)</f>
        <v>#DIV/0!</v>
      </c>
      <c r="AN16" s="82" t="e" cm="1">
        <f t="array" ref="AN16">INDEX(Page2!$K$9:$K$38, COLUMN(AN16)-10)</f>
        <v>#DIV/0!</v>
      </c>
      <c r="AO16" s="107" t="e">
        <f t="shared" si="0"/>
        <v>#DIV/0!</v>
      </c>
      <c r="AP16" s="102" t="e">
        <f t="shared" si="1"/>
        <v>#DIV/0!</v>
      </c>
      <c r="AQ16" s="103" t="e">
        <f>(AO16-H16)/(3*AP16)</f>
        <v>#DIV/0!</v>
      </c>
      <c r="AR16" s="108" t="e">
        <f t="shared" si="2"/>
        <v>#DIV/0!</v>
      </c>
      <c r="AS16" s="108" t="e">
        <f t="shared" si="3"/>
        <v>#DIV/0!</v>
      </c>
      <c r="AT16" s="90" t="e">
        <f t="shared" si="4"/>
        <v>#DIV/0!</v>
      </c>
      <c r="AU16" s="104"/>
      <c r="AV16" s="105"/>
      <c r="AW16" s="105"/>
    </row>
    <row r="17" spans="1:49" s="106" customFormat="1" ht="15" customHeight="1">
      <c r="A17" s="96">
        <v>3</v>
      </c>
      <c r="B17" s="97" t="s">
        <v>75</v>
      </c>
      <c r="C17" s="98" t="s">
        <v>67</v>
      </c>
      <c r="D17" s="99" t="s">
        <v>73</v>
      </c>
      <c r="E17" s="99">
        <v>3</v>
      </c>
      <c r="F17" s="99">
        <v>0.1</v>
      </c>
      <c r="G17" s="100">
        <v>9.5</v>
      </c>
      <c r="H17" s="100">
        <v>6.5</v>
      </c>
      <c r="I17" s="100"/>
      <c r="J17" s="100">
        <v>1.33</v>
      </c>
      <c r="K17" s="82" t="e" cm="1">
        <f t="array" ref="K17">INDEX(Page3!$K$9:$K$38, COLUMN(K17)-10)</f>
        <v>#DIV/0!</v>
      </c>
      <c r="L17" s="82" t="e" cm="1">
        <f t="array" ref="L17">INDEX(Page3!$K$9:$K$38, COLUMN(L17)-10)</f>
        <v>#DIV/0!</v>
      </c>
      <c r="M17" s="82" t="e" cm="1">
        <f t="array" ref="M17">INDEX(Page3!$K$9:$K$38, COLUMN(M17)-10)</f>
        <v>#DIV/0!</v>
      </c>
      <c r="N17" s="82" t="e" cm="1">
        <f t="array" ref="N17">INDEX(Page3!$K$9:$K$38, COLUMN(N17)-10)</f>
        <v>#DIV/0!</v>
      </c>
      <c r="O17" s="82" t="e" cm="1">
        <f t="array" ref="O17">INDEX(Page3!$K$9:$K$38, COLUMN(O17)-10)</f>
        <v>#DIV/0!</v>
      </c>
      <c r="P17" s="82" t="e" cm="1">
        <f t="array" ref="P17">INDEX(Page3!$K$9:$K$38, COLUMN(P17)-10)</f>
        <v>#DIV/0!</v>
      </c>
      <c r="Q17" s="82" t="e" cm="1">
        <f t="array" ref="Q17">INDEX(Page3!$K$9:$K$38, COLUMN(Q17)-10)</f>
        <v>#DIV/0!</v>
      </c>
      <c r="R17" s="82" t="e" cm="1">
        <f t="array" ref="R17">INDEX(Page3!$K$9:$K$38, COLUMN(R17)-10)</f>
        <v>#DIV/0!</v>
      </c>
      <c r="S17" s="82" t="e" cm="1">
        <f t="array" ref="S17">INDEX(Page3!$K$9:$K$38, COLUMN(S17)-10)</f>
        <v>#DIV/0!</v>
      </c>
      <c r="T17" s="82" t="e" cm="1">
        <f t="array" ref="T17">INDEX(Page3!$K$9:$K$38, COLUMN(T17)-10)</f>
        <v>#DIV/0!</v>
      </c>
      <c r="U17" s="82" t="e" cm="1">
        <f t="array" ref="U17">INDEX(Page3!$K$9:$K$38, COLUMN(U17)-10)</f>
        <v>#DIV/0!</v>
      </c>
      <c r="V17" s="82" t="e" cm="1">
        <f t="array" ref="V17">INDEX(Page3!$K$9:$K$38, COLUMN(V17)-10)</f>
        <v>#DIV/0!</v>
      </c>
      <c r="W17" s="82" t="e" cm="1">
        <f t="array" ref="W17">INDEX(Page3!$K$9:$K$38, COLUMN(W17)-10)</f>
        <v>#DIV/0!</v>
      </c>
      <c r="X17" s="82" t="e" cm="1">
        <f t="array" ref="X17">INDEX(Page3!$K$9:$K$38, COLUMN(X17)-10)</f>
        <v>#DIV/0!</v>
      </c>
      <c r="Y17" s="82" t="e" cm="1">
        <f t="array" ref="Y17">INDEX(Page3!$K$9:$K$38, COLUMN(Y17)-10)</f>
        <v>#DIV/0!</v>
      </c>
      <c r="Z17" s="82" t="e" cm="1">
        <f t="array" ref="Z17">INDEX(Page3!$K$9:$K$38, COLUMN(Z17)-10)</f>
        <v>#DIV/0!</v>
      </c>
      <c r="AA17" s="82" t="e" cm="1">
        <f t="array" ref="AA17">INDEX(Page3!$K$9:$K$38, COLUMN(AA17)-10)</f>
        <v>#DIV/0!</v>
      </c>
      <c r="AB17" s="82" t="e" cm="1">
        <f t="array" ref="AB17">INDEX(Page3!$K$9:$K$38, COLUMN(AB17)-10)</f>
        <v>#DIV/0!</v>
      </c>
      <c r="AC17" s="82" t="e" cm="1">
        <f t="array" ref="AC17">INDEX(Page3!$K$9:$K$38, COLUMN(AC17)-10)</f>
        <v>#DIV/0!</v>
      </c>
      <c r="AD17" s="82" t="e" cm="1">
        <f t="array" ref="AD17">INDEX(Page3!$K$9:$K$38, COLUMN(AD17)-10)</f>
        <v>#DIV/0!</v>
      </c>
      <c r="AE17" s="82" t="e" cm="1">
        <f t="array" ref="AE17">INDEX(Page3!$K$9:$K$38, COLUMN(AE17)-10)</f>
        <v>#DIV/0!</v>
      </c>
      <c r="AF17" s="82" t="e" cm="1">
        <f t="array" ref="AF17">INDEX(Page3!$K$9:$K$38, COLUMN(AF17)-10)</f>
        <v>#DIV/0!</v>
      </c>
      <c r="AG17" s="82" t="e" cm="1">
        <f t="array" ref="AG17">INDEX(Page3!$K$9:$K$38, COLUMN(AG17)-10)</f>
        <v>#DIV/0!</v>
      </c>
      <c r="AH17" s="82" t="e" cm="1">
        <f t="array" ref="AH17">INDEX(Page3!$K$9:$K$38, COLUMN(AH17)-10)</f>
        <v>#DIV/0!</v>
      </c>
      <c r="AI17" s="82" t="e" cm="1">
        <f t="array" ref="AI17">INDEX(Page3!$K$9:$K$38, COLUMN(AI17)-10)</f>
        <v>#DIV/0!</v>
      </c>
      <c r="AJ17" s="82" t="e" cm="1">
        <f t="array" ref="AJ17">INDEX(Page3!$K$9:$K$38, COLUMN(AJ17)-10)</f>
        <v>#DIV/0!</v>
      </c>
      <c r="AK17" s="82" t="e" cm="1">
        <f t="array" ref="AK17">INDEX(Page3!$K$9:$K$38, COLUMN(AK17)-10)</f>
        <v>#DIV/0!</v>
      </c>
      <c r="AL17" s="82" t="e" cm="1">
        <f t="array" ref="AL17">INDEX(Page3!$K$9:$K$38, COLUMN(AL17)-10)</f>
        <v>#DIV/0!</v>
      </c>
      <c r="AM17" s="82" t="e" cm="1">
        <f t="array" ref="AM17">INDEX(Page3!$K$9:$K$38, COLUMN(AM17)-10)</f>
        <v>#DIV/0!</v>
      </c>
      <c r="AN17" s="82" t="e" cm="1">
        <f t="array" ref="AN17">INDEX(Page3!$K$9:$K$38, COLUMN(AN17)-10)</f>
        <v>#DIV/0!</v>
      </c>
      <c r="AO17" s="107" t="e">
        <f t="shared" si="0"/>
        <v>#DIV/0!</v>
      </c>
      <c r="AP17" s="102" t="e">
        <f t="shared" si="1"/>
        <v>#DIV/0!</v>
      </c>
      <c r="AQ17" s="103" t="e">
        <f>(AO17-H17)/(3*AP17)</f>
        <v>#DIV/0!</v>
      </c>
      <c r="AR17" s="108" t="e">
        <f t="shared" si="2"/>
        <v>#DIV/0!</v>
      </c>
      <c r="AS17" s="108" t="e">
        <f t="shared" si="3"/>
        <v>#DIV/0!</v>
      </c>
      <c r="AT17" s="90" t="e">
        <f t="shared" si="4"/>
        <v>#DIV/0!</v>
      </c>
      <c r="AU17" s="104"/>
      <c r="AV17" s="105"/>
      <c r="AW17" s="105"/>
    </row>
    <row r="18" spans="1:49" s="106" customFormat="1" ht="15" customHeight="1">
      <c r="A18" s="96">
        <v>4</v>
      </c>
      <c r="B18" s="97" t="s">
        <v>76</v>
      </c>
      <c r="C18" s="98" t="s">
        <v>67</v>
      </c>
      <c r="D18" s="99" t="s">
        <v>73</v>
      </c>
      <c r="E18" s="99">
        <v>3</v>
      </c>
      <c r="F18" s="99">
        <v>0.1</v>
      </c>
      <c r="G18" s="100">
        <v>3.5</v>
      </c>
      <c r="H18" s="100" t="s">
        <v>105</v>
      </c>
      <c r="I18" s="100" t="s">
        <v>106</v>
      </c>
      <c r="J18" s="100">
        <v>1.33</v>
      </c>
      <c r="K18" s="82" t="e" cm="1">
        <f t="array" ref="K18">INDEX(Page2!$O$9:$O$38, COLUMN(K18)-10)</f>
        <v>#DIV/0!</v>
      </c>
      <c r="L18" s="82" t="e" cm="1">
        <f t="array" ref="L18">INDEX(Page2!$O$9:$O$38, COLUMN(L18)-10)</f>
        <v>#DIV/0!</v>
      </c>
      <c r="M18" s="82" t="e" cm="1">
        <f t="array" ref="M18">INDEX(Page2!$O$9:$O$38, COLUMN(M18)-10)</f>
        <v>#DIV/0!</v>
      </c>
      <c r="N18" s="82" t="e" cm="1">
        <f t="array" ref="N18">INDEX(Page2!$O$9:$O$38, COLUMN(N18)-10)</f>
        <v>#DIV/0!</v>
      </c>
      <c r="O18" s="82" t="e" cm="1">
        <f t="array" ref="O18">INDEX(Page2!$O$9:$O$38, COLUMN(O18)-10)</f>
        <v>#DIV/0!</v>
      </c>
      <c r="P18" s="82" t="e" cm="1">
        <f t="array" ref="P18">INDEX(Page2!$O$9:$O$38, COLUMN(P18)-10)</f>
        <v>#DIV/0!</v>
      </c>
      <c r="Q18" s="82" t="e" cm="1">
        <f t="array" ref="Q18">INDEX(Page2!$O$9:$O$38, COLUMN(Q18)-10)</f>
        <v>#DIV/0!</v>
      </c>
      <c r="R18" s="82" t="e" cm="1">
        <f t="array" ref="R18">INDEX(Page2!$O$9:$O$38, COLUMN(R18)-10)</f>
        <v>#DIV/0!</v>
      </c>
      <c r="S18" s="82" t="e" cm="1">
        <f t="array" ref="S18">INDEX(Page2!$O$9:$O$38, COLUMN(S18)-10)</f>
        <v>#DIV/0!</v>
      </c>
      <c r="T18" s="82" t="e" cm="1">
        <f t="array" ref="T18">INDEX(Page2!$O$9:$O$38, COLUMN(T18)-10)</f>
        <v>#DIV/0!</v>
      </c>
      <c r="U18" s="82" t="e" cm="1">
        <f t="array" ref="U18">INDEX(Page2!$O$9:$O$38, COLUMN(U18)-10)</f>
        <v>#DIV/0!</v>
      </c>
      <c r="V18" s="82" t="e" cm="1">
        <f t="array" ref="V18">INDEX(Page2!$O$9:$O$38, COLUMN(V18)-10)</f>
        <v>#DIV/0!</v>
      </c>
      <c r="W18" s="82" t="e" cm="1">
        <f t="array" ref="W18">INDEX(Page2!$O$9:$O$38, COLUMN(W18)-10)</f>
        <v>#DIV/0!</v>
      </c>
      <c r="X18" s="82" t="e" cm="1">
        <f t="array" ref="X18">INDEX(Page2!$O$9:$O$38, COLUMN(X18)-10)</f>
        <v>#DIV/0!</v>
      </c>
      <c r="Y18" s="82" t="e" cm="1">
        <f t="array" ref="Y18">INDEX(Page2!$O$9:$O$38, COLUMN(Y18)-10)</f>
        <v>#DIV/0!</v>
      </c>
      <c r="Z18" s="82" t="e" cm="1">
        <f t="array" ref="Z18">INDEX(Page2!$O$9:$O$38, COLUMN(Z18)-10)</f>
        <v>#DIV/0!</v>
      </c>
      <c r="AA18" s="82" t="e" cm="1">
        <f t="array" ref="AA18">INDEX(Page2!$O$9:$O$38, COLUMN(AA18)-10)</f>
        <v>#DIV/0!</v>
      </c>
      <c r="AB18" s="82" t="e" cm="1">
        <f t="array" ref="AB18">INDEX(Page2!$O$9:$O$38, COLUMN(AB18)-10)</f>
        <v>#DIV/0!</v>
      </c>
      <c r="AC18" s="82" t="e" cm="1">
        <f t="array" ref="AC18">INDEX(Page2!$O$9:$O$38, COLUMN(AC18)-10)</f>
        <v>#DIV/0!</v>
      </c>
      <c r="AD18" s="82" t="e" cm="1">
        <f t="array" ref="AD18">INDEX(Page2!$O$9:$O$38, COLUMN(AD18)-10)</f>
        <v>#DIV/0!</v>
      </c>
      <c r="AE18" s="82" t="e" cm="1">
        <f t="array" ref="AE18">INDEX(Page2!$O$9:$O$38, COLUMN(AE18)-10)</f>
        <v>#DIV/0!</v>
      </c>
      <c r="AF18" s="82" t="e" cm="1">
        <f t="array" ref="AF18">INDEX(Page2!$O$9:$O$38, COLUMN(AF18)-10)</f>
        <v>#DIV/0!</v>
      </c>
      <c r="AG18" s="82" t="e" cm="1">
        <f t="array" ref="AG18">INDEX(Page2!$O$9:$O$38, COLUMN(AG18)-10)</f>
        <v>#DIV/0!</v>
      </c>
      <c r="AH18" s="82" t="e" cm="1">
        <f t="array" ref="AH18">INDEX(Page2!$O$9:$O$38, COLUMN(AH18)-10)</f>
        <v>#DIV/0!</v>
      </c>
      <c r="AI18" s="82" t="e" cm="1">
        <f t="array" ref="AI18">INDEX(Page2!$O$9:$O$38, COLUMN(AI18)-10)</f>
        <v>#DIV/0!</v>
      </c>
      <c r="AJ18" s="82" t="e" cm="1">
        <f t="array" ref="AJ18">INDEX(Page2!$O$9:$O$38, COLUMN(AJ18)-10)</f>
        <v>#DIV/0!</v>
      </c>
      <c r="AK18" s="82" t="e" cm="1">
        <f t="array" ref="AK18">INDEX(Page2!$O$9:$O$38, COLUMN(AK18)-10)</f>
        <v>#DIV/0!</v>
      </c>
      <c r="AL18" s="82" t="e" cm="1">
        <f t="array" ref="AL18">INDEX(Page2!$O$9:$O$38, COLUMN(AL18)-10)</f>
        <v>#DIV/0!</v>
      </c>
      <c r="AM18" s="82" t="e" cm="1">
        <f t="array" ref="AM18">INDEX(Page2!$O$9:$O$38, COLUMN(AM18)-10)</f>
        <v>#DIV/0!</v>
      </c>
      <c r="AN18" s="82" t="e" cm="1">
        <f t="array" ref="AN18">INDEX(Page2!$O$9:$O$38, COLUMN(AN18)-10)</f>
        <v>#DIV/0!</v>
      </c>
      <c r="AO18" s="107" t="e">
        <f t="shared" si="0"/>
        <v>#DIV/0!</v>
      </c>
      <c r="AP18" s="102" t="e">
        <f t="shared" si="1"/>
        <v>#DIV/0!</v>
      </c>
      <c r="AQ18" s="103" t="e">
        <f>MIN((AO18-H18)/(3*AP18), (I18-AO18)/(3*AP18))</f>
        <v>#DIV/0!</v>
      </c>
      <c r="AR18" s="108" t="e">
        <f t="shared" si="2"/>
        <v>#DIV/0!</v>
      </c>
      <c r="AS18" s="108" t="e">
        <f t="shared" si="3"/>
        <v>#DIV/0!</v>
      </c>
      <c r="AT18" s="90" t="e">
        <f t="shared" si="4"/>
        <v>#DIV/0!</v>
      </c>
      <c r="AU18" s="104"/>
      <c r="AV18" s="105"/>
      <c r="AW18" s="105"/>
    </row>
    <row r="19" spans="1:49" s="106" customFormat="1" ht="15" customHeight="1">
      <c r="A19" s="96">
        <v>5</v>
      </c>
      <c r="B19" s="97" t="s">
        <v>77</v>
      </c>
      <c r="C19" s="98" t="s">
        <v>67</v>
      </c>
      <c r="D19" s="99" t="s">
        <v>78</v>
      </c>
      <c r="E19" s="99">
        <v>3</v>
      </c>
      <c r="F19" s="99">
        <v>1</v>
      </c>
      <c r="G19" s="100">
        <v>450</v>
      </c>
      <c r="H19" s="100">
        <v>350</v>
      </c>
      <c r="I19" s="100"/>
      <c r="J19" s="100">
        <v>1.33</v>
      </c>
      <c r="K19" s="83" t="e" cm="1">
        <f t="array" ref="K19">INDEX(Page2!$G$9:$G$38, COLUMN(K19)-10)</f>
        <v>#DIV/0!</v>
      </c>
      <c r="L19" s="83" t="e" cm="1">
        <f t="array" ref="L19">INDEX(Page2!$G$9:$G$38, COLUMN(L19)-10)</f>
        <v>#DIV/0!</v>
      </c>
      <c r="M19" s="83" t="e" cm="1">
        <f t="array" ref="M19">INDEX(Page2!$G$9:$G$38, COLUMN(M19)-10)</f>
        <v>#DIV/0!</v>
      </c>
      <c r="N19" s="83" t="e" cm="1">
        <f t="array" ref="N19">INDEX(Page2!$G$9:$G$38, COLUMN(N19)-10)</f>
        <v>#DIV/0!</v>
      </c>
      <c r="O19" s="83" t="e" cm="1">
        <f t="array" ref="O19">INDEX(Page2!$G$9:$G$38, COLUMN(O19)-10)</f>
        <v>#DIV/0!</v>
      </c>
      <c r="P19" s="83" t="e" cm="1">
        <f t="array" ref="P19">INDEX(Page2!$G$9:$G$38, COLUMN(P19)-10)</f>
        <v>#DIV/0!</v>
      </c>
      <c r="Q19" s="83" t="e" cm="1">
        <f t="array" ref="Q19">INDEX(Page2!$G$9:$G$38, COLUMN(Q19)-10)</f>
        <v>#DIV/0!</v>
      </c>
      <c r="R19" s="83" t="e" cm="1">
        <f t="array" ref="R19">INDEX(Page2!$G$9:$G$38, COLUMN(R19)-10)</f>
        <v>#DIV/0!</v>
      </c>
      <c r="S19" s="83" t="e" cm="1">
        <f t="array" ref="S19">INDEX(Page2!$G$9:$G$38, COLUMN(S19)-10)</f>
        <v>#DIV/0!</v>
      </c>
      <c r="T19" s="83" t="e" cm="1">
        <f t="array" ref="T19">INDEX(Page2!$G$9:$G$38, COLUMN(T19)-10)</f>
        <v>#DIV/0!</v>
      </c>
      <c r="U19" s="83" t="e" cm="1">
        <f t="array" ref="U19">INDEX(Page2!$G$9:$G$38, COLUMN(U19)-10)</f>
        <v>#DIV/0!</v>
      </c>
      <c r="V19" s="83" t="e" cm="1">
        <f t="array" ref="V19">INDEX(Page2!$G$9:$G$38, COLUMN(V19)-10)</f>
        <v>#DIV/0!</v>
      </c>
      <c r="W19" s="83" t="e" cm="1">
        <f t="array" ref="W19">INDEX(Page2!$G$9:$G$38, COLUMN(W19)-10)</f>
        <v>#DIV/0!</v>
      </c>
      <c r="X19" s="83" t="e" cm="1">
        <f t="array" ref="X19">INDEX(Page2!$G$9:$G$38, COLUMN(X19)-10)</f>
        <v>#DIV/0!</v>
      </c>
      <c r="Y19" s="83" t="e" cm="1">
        <f t="array" ref="Y19">INDEX(Page2!$G$9:$G$38, COLUMN(Y19)-10)</f>
        <v>#DIV/0!</v>
      </c>
      <c r="Z19" s="83" t="e" cm="1">
        <f t="array" ref="Z19">INDEX(Page2!$G$9:$G$38, COLUMN(Z19)-10)</f>
        <v>#DIV/0!</v>
      </c>
      <c r="AA19" s="83" t="e" cm="1">
        <f t="array" ref="AA19">INDEX(Page2!$G$9:$G$38, COLUMN(AA19)-10)</f>
        <v>#DIV/0!</v>
      </c>
      <c r="AB19" s="83" t="e" cm="1">
        <f t="array" ref="AB19">INDEX(Page2!$G$9:$G$38, COLUMN(AB19)-10)</f>
        <v>#DIV/0!</v>
      </c>
      <c r="AC19" s="83" t="e" cm="1">
        <f t="array" ref="AC19">INDEX(Page2!$G$9:$G$38, COLUMN(AC19)-10)</f>
        <v>#DIV/0!</v>
      </c>
      <c r="AD19" s="83" t="e" cm="1">
        <f t="array" ref="AD19">INDEX(Page2!$G$9:$G$38, COLUMN(AD19)-10)</f>
        <v>#DIV/0!</v>
      </c>
      <c r="AE19" s="83" t="e" cm="1">
        <f t="array" ref="AE19">INDEX(Page2!$G$9:$G$38, COLUMN(AE19)-10)</f>
        <v>#DIV/0!</v>
      </c>
      <c r="AF19" s="83" t="e" cm="1">
        <f t="array" ref="AF19">INDEX(Page2!$G$9:$G$38, COLUMN(AF19)-10)</f>
        <v>#DIV/0!</v>
      </c>
      <c r="AG19" s="83" t="e" cm="1">
        <f t="array" ref="AG19">INDEX(Page2!$G$9:$G$38, COLUMN(AG19)-10)</f>
        <v>#DIV/0!</v>
      </c>
      <c r="AH19" s="83" t="e" cm="1">
        <f t="array" ref="AH19">INDEX(Page2!$G$9:$G$38, COLUMN(AH19)-10)</f>
        <v>#DIV/0!</v>
      </c>
      <c r="AI19" s="83" t="e" cm="1">
        <f t="array" ref="AI19">INDEX(Page2!$G$9:$G$38, COLUMN(AI19)-10)</f>
        <v>#DIV/0!</v>
      </c>
      <c r="AJ19" s="83" t="e" cm="1">
        <f t="array" ref="AJ19">INDEX(Page2!$G$9:$G$38, COLUMN(AJ19)-10)</f>
        <v>#DIV/0!</v>
      </c>
      <c r="AK19" s="83" t="e" cm="1">
        <f t="array" ref="AK19">INDEX(Page2!$G$9:$G$38, COLUMN(AK19)-10)</f>
        <v>#DIV/0!</v>
      </c>
      <c r="AL19" s="83" t="e" cm="1">
        <f t="array" ref="AL19">INDEX(Page2!$G$9:$G$38, COLUMN(AL19)-10)</f>
        <v>#DIV/0!</v>
      </c>
      <c r="AM19" s="83" t="e" cm="1">
        <f t="array" ref="AM19">INDEX(Page2!$G$9:$G$38, COLUMN(AM19)-10)</f>
        <v>#DIV/0!</v>
      </c>
      <c r="AN19" s="83" t="e" cm="1">
        <f t="array" ref="AN19">INDEX(Page2!$G$9:$G$38, COLUMN(AN19)-10)</f>
        <v>#DIV/0!</v>
      </c>
      <c r="AO19" s="109" t="e">
        <f t="shared" si="0"/>
        <v>#DIV/0!</v>
      </c>
      <c r="AP19" s="102" t="e">
        <f t="shared" si="1"/>
        <v>#DIV/0!</v>
      </c>
      <c r="AQ19" s="103" t="e">
        <f>(AO19-H19)/(3*AP19)</f>
        <v>#DIV/0!</v>
      </c>
      <c r="AR19" s="110" t="e">
        <f t="shared" si="2"/>
        <v>#DIV/0!</v>
      </c>
      <c r="AS19" s="110" t="e">
        <f t="shared" si="3"/>
        <v>#DIV/0!</v>
      </c>
      <c r="AT19" s="90" t="e">
        <f t="shared" si="4"/>
        <v>#DIV/0!</v>
      </c>
      <c r="AU19" s="104"/>
      <c r="AV19" s="105"/>
      <c r="AW19" s="105"/>
    </row>
    <row r="20" spans="1:49" s="106" customFormat="1" ht="15" customHeight="1">
      <c r="A20" s="96">
        <v>6</v>
      </c>
      <c r="B20" s="97" t="s">
        <v>79</v>
      </c>
      <c r="C20" s="98" t="s">
        <v>67</v>
      </c>
      <c r="D20" s="99" t="s">
        <v>78</v>
      </c>
      <c r="E20" s="99">
        <v>3</v>
      </c>
      <c r="F20" s="99">
        <v>1</v>
      </c>
      <c r="G20" s="100">
        <v>500</v>
      </c>
      <c r="H20" s="100">
        <v>400</v>
      </c>
      <c r="I20" s="100"/>
      <c r="J20" s="100">
        <v>1.33</v>
      </c>
      <c r="K20" s="83" t="e" cm="1">
        <f t="array" ref="K20">INDEX(Page3!$G$9:$G$38, COLUMN(K20)-10)</f>
        <v>#DIV/0!</v>
      </c>
      <c r="L20" s="83" t="e" cm="1">
        <f t="array" ref="L20">INDEX(Page3!$G$9:$G$38, COLUMN(L20)-10)</f>
        <v>#DIV/0!</v>
      </c>
      <c r="M20" s="83" t="e" cm="1">
        <f t="array" ref="M20">INDEX(Page3!$G$9:$G$38, COLUMN(M20)-10)</f>
        <v>#DIV/0!</v>
      </c>
      <c r="N20" s="83" t="e" cm="1">
        <f t="array" ref="N20">INDEX(Page3!$G$9:$G$38, COLUMN(N20)-10)</f>
        <v>#DIV/0!</v>
      </c>
      <c r="O20" s="83" t="e" cm="1">
        <f t="array" ref="O20">INDEX(Page3!$G$9:$G$38, COLUMN(O20)-10)</f>
        <v>#DIV/0!</v>
      </c>
      <c r="P20" s="83" t="e" cm="1">
        <f t="array" ref="P20">INDEX(Page3!$G$9:$G$38, COLUMN(P20)-10)</f>
        <v>#DIV/0!</v>
      </c>
      <c r="Q20" s="83" t="e" cm="1">
        <f t="array" ref="Q20">INDEX(Page3!$G$9:$G$38, COLUMN(Q20)-10)</f>
        <v>#DIV/0!</v>
      </c>
      <c r="R20" s="83" t="e" cm="1">
        <f t="array" ref="R20">INDEX(Page3!$G$9:$G$38, COLUMN(R20)-10)</f>
        <v>#DIV/0!</v>
      </c>
      <c r="S20" s="83" t="e" cm="1">
        <f t="array" ref="S20">INDEX(Page3!$G$9:$G$38, COLUMN(S20)-10)</f>
        <v>#DIV/0!</v>
      </c>
      <c r="T20" s="83" t="e" cm="1">
        <f t="array" ref="T20">INDEX(Page3!$G$9:$G$38, COLUMN(T20)-10)</f>
        <v>#DIV/0!</v>
      </c>
      <c r="U20" s="83" t="e" cm="1">
        <f t="array" ref="U20">INDEX(Page3!$G$9:$G$38, COLUMN(U20)-10)</f>
        <v>#DIV/0!</v>
      </c>
      <c r="V20" s="83" t="e" cm="1">
        <f t="array" ref="V20">INDEX(Page3!$G$9:$G$38, COLUMN(V20)-10)</f>
        <v>#DIV/0!</v>
      </c>
      <c r="W20" s="83" t="e" cm="1">
        <f t="array" ref="W20">INDEX(Page3!$G$9:$G$38, COLUMN(W20)-10)</f>
        <v>#DIV/0!</v>
      </c>
      <c r="X20" s="83" t="e" cm="1">
        <f t="array" ref="X20">INDEX(Page3!$G$9:$G$38, COLUMN(X20)-10)</f>
        <v>#DIV/0!</v>
      </c>
      <c r="Y20" s="83" t="e" cm="1">
        <f t="array" ref="Y20">INDEX(Page3!$G$9:$G$38, COLUMN(Y20)-10)</f>
        <v>#DIV/0!</v>
      </c>
      <c r="Z20" s="83" t="e" cm="1">
        <f t="array" ref="Z20">INDEX(Page3!$G$9:$G$38, COLUMN(Z20)-10)</f>
        <v>#DIV/0!</v>
      </c>
      <c r="AA20" s="83" t="e" cm="1">
        <f t="array" ref="AA20">INDEX(Page3!$G$9:$G$38, COLUMN(AA20)-10)</f>
        <v>#DIV/0!</v>
      </c>
      <c r="AB20" s="83" t="e" cm="1">
        <f t="array" ref="AB20">INDEX(Page3!$G$9:$G$38, COLUMN(AB20)-10)</f>
        <v>#DIV/0!</v>
      </c>
      <c r="AC20" s="83" t="e" cm="1">
        <f t="array" ref="AC20">INDEX(Page3!$G$9:$G$38, COLUMN(AC20)-10)</f>
        <v>#DIV/0!</v>
      </c>
      <c r="AD20" s="83" t="e" cm="1">
        <f t="array" ref="AD20">INDEX(Page3!$G$9:$G$38, COLUMN(AD20)-10)</f>
        <v>#DIV/0!</v>
      </c>
      <c r="AE20" s="83" t="e" cm="1">
        <f t="array" ref="AE20">INDEX(Page3!$G$9:$G$38, COLUMN(AE20)-10)</f>
        <v>#DIV/0!</v>
      </c>
      <c r="AF20" s="83" t="e" cm="1">
        <f t="array" ref="AF20">INDEX(Page3!$G$9:$G$38, COLUMN(AF20)-10)</f>
        <v>#DIV/0!</v>
      </c>
      <c r="AG20" s="83" t="e" cm="1">
        <f t="array" ref="AG20">INDEX(Page3!$G$9:$G$38, COLUMN(AG20)-10)</f>
        <v>#DIV/0!</v>
      </c>
      <c r="AH20" s="83" t="e" cm="1">
        <f t="array" ref="AH20">INDEX(Page3!$G$9:$G$38, COLUMN(AH20)-10)</f>
        <v>#DIV/0!</v>
      </c>
      <c r="AI20" s="83" t="e" cm="1">
        <f t="array" ref="AI20">INDEX(Page3!$G$9:$G$38, COLUMN(AI20)-10)</f>
        <v>#DIV/0!</v>
      </c>
      <c r="AJ20" s="83" t="e" cm="1">
        <f t="array" ref="AJ20">INDEX(Page3!$G$9:$G$38, COLUMN(AJ20)-10)</f>
        <v>#DIV/0!</v>
      </c>
      <c r="AK20" s="83" t="e" cm="1">
        <f t="array" ref="AK20">INDEX(Page3!$G$9:$G$38, COLUMN(AK20)-10)</f>
        <v>#DIV/0!</v>
      </c>
      <c r="AL20" s="83" t="e" cm="1">
        <f t="array" ref="AL20">INDEX(Page3!$G$9:$G$38, COLUMN(AL20)-10)</f>
        <v>#DIV/0!</v>
      </c>
      <c r="AM20" s="83" t="e" cm="1">
        <f t="array" ref="AM20">INDEX(Page3!$G$9:$G$38, COLUMN(AM20)-10)</f>
        <v>#DIV/0!</v>
      </c>
      <c r="AN20" s="83" t="e" cm="1">
        <f t="array" ref="AN20">INDEX(Page3!$G$9:$G$38, COLUMN(AN20)-10)</f>
        <v>#DIV/0!</v>
      </c>
      <c r="AO20" s="109" t="e">
        <f t="shared" si="0"/>
        <v>#DIV/0!</v>
      </c>
      <c r="AP20" s="102" t="e">
        <f t="shared" si="1"/>
        <v>#DIV/0!</v>
      </c>
      <c r="AQ20" s="103" t="e">
        <f>(AO20-H20)/(3*AP20)</f>
        <v>#DIV/0!</v>
      </c>
      <c r="AR20" s="110" t="e">
        <f t="shared" si="2"/>
        <v>#DIV/0!</v>
      </c>
      <c r="AS20" s="110" t="e">
        <f t="shared" si="3"/>
        <v>#DIV/0!</v>
      </c>
      <c r="AT20" s="90" t="e">
        <f t="shared" si="4"/>
        <v>#DIV/0!</v>
      </c>
      <c r="AU20" s="104"/>
      <c r="AV20" s="105"/>
      <c r="AW20" s="105"/>
    </row>
    <row r="21" spans="1:49" s="106" customFormat="1" ht="15" customHeight="1">
      <c r="A21" s="96">
        <v>7</v>
      </c>
      <c r="B21" s="97" t="s">
        <v>80</v>
      </c>
      <c r="C21" s="98" t="s">
        <v>67</v>
      </c>
      <c r="D21" s="99" t="s">
        <v>81</v>
      </c>
      <c r="E21" s="99">
        <v>1</v>
      </c>
      <c r="F21" s="99">
        <v>1E-3</v>
      </c>
      <c r="G21" s="100" t="s">
        <v>107</v>
      </c>
      <c r="H21" s="100" t="s">
        <v>108</v>
      </c>
      <c r="I21" s="100">
        <v>6.5000000000000002E-2</v>
      </c>
      <c r="J21" s="111" t="s">
        <v>82</v>
      </c>
      <c r="K21" s="81" cm="1">
        <f t="array" ref="K21">INDEX(Page1!$G$8:$G$37, COLUMN(K21)-10)</f>
        <v>0</v>
      </c>
      <c r="L21" s="81" cm="1">
        <f t="array" ref="L21">INDEX(Page1!$G$8:$G$37, COLUMN(L21)-10)</f>
        <v>0</v>
      </c>
      <c r="M21" s="81" cm="1">
        <f t="array" ref="M21">INDEX(Page1!$G$8:$G$37, COLUMN(M21)-10)</f>
        <v>0</v>
      </c>
      <c r="N21" s="81" cm="1">
        <f t="array" ref="N21">INDEX(Page1!$G$8:$G$37, COLUMN(N21)-10)</f>
        <v>0</v>
      </c>
      <c r="O21" s="81" cm="1">
        <f t="array" ref="O21">INDEX(Page1!$G$8:$G$37, COLUMN(O21)-10)</f>
        <v>0</v>
      </c>
      <c r="P21" s="81" cm="1">
        <f t="array" ref="P21">INDEX(Page1!$G$8:$G$37, COLUMN(P21)-10)</f>
        <v>0</v>
      </c>
      <c r="Q21" s="81" cm="1">
        <f t="array" ref="Q21">INDEX(Page1!$G$8:$G$37, COLUMN(Q21)-10)</f>
        <v>0</v>
      </c>
      <c r="R21" s="81" cm="1">
        <f t="array" ref="R21">INDEX(Page1!$G$8:$G$37, COLUMN(R21)-10)</f>
        <v>0</v>
      </c>
      <c r="S21" s="81" cm="1">
        <f t="array" ref="S21">INDEX(Page1!$G$8:$G$37, COLUMN(S21)-10)</f>
        <v>0</v>
      </c>
      <c r="T21" s="81" cm="1">
        <f t="array" ref="T21">INDEX(Page1!$G$8:$G$37, COLUMN(T21)-10)</f>
        <v>0</v>
      </c>
      <c r="U21" s="81" cm="1">
        <f t="array" ref="U21">INDEX(Page1!$G$8:$G$37, COLUMN(U21)-10)</f>
        <v>0</v>
      </c>
      <c r="V21" s="81" cm="1">
        <f t="array" ref="V21">INDEX(Page1!$G$8:$G$37, COLUMN(V21)-10)</f>
        <v>0</v>
      </c>
      <c r="W21" s="81" cm="1">
        <f t="array" ref="W21">INDEX(Page1!$G$8:$G$37, COLUMN(W21)-10)</f>
        <v>0</v>
      </c>
      <c r="X21" s="81" cm="1">
        <f t="array" ref="X21">INDEX(Page1!$G$8:$G$37, COLUMN(X21)-10)</f>
        <v>0</v>
      </c>
      <c r="Y21" s="81" cm="1">
        <f t="array" ref="Y21">INDEX(Page1!$G$8:$G$37, COLUMN(Y21)-10)</f>
        <v>0</v>
      </c>
      <c r="Z21" s="81" cm="1">
        <f t="array" ref="Z21">INDEX(Page1!$G$8:$G$37, COLUMN(Z21)-10)</f>
        <v>0</v>
      </c>
      <c r="AA21" s="81" cm="1">
        <f t="array" ref="AA21">INDEX(Page1!$G$8:$G$37, COLUMN(AA21)-10)</f>
        <v>0</v>
      </c>
      <c r="AB21" s="81" cm="1">
        <f t="array" ref="AB21">INDEX(Page1!$G$8:$G$37, COLUMN(AB21)-10)</f>
        <v>0</v>
      </c>
      <c r="AC21" s="81" cm="1">
        <f t="array" ref="AC21">INDEX(Page1!$G$8:$G$37, COLUMN(AC21)-10)</f>
        <v>0</v>
      </c>
      <c r="AD21" s="81" cm="1">
        <f t="array" ref="AD21">INDEX(Page1!$G$8:$G$37, COLUMN(AD21)-10)</f>
        <v>0</v>
      </c>
      <c r="AE21" s="81" cm="1">
        <f t="array" ref="AE21">INDEX(Page1!$G$8:$G$37, COLUMN(AE21)-10)</f>
        <v>0</v>
      </c>
      <c r="AF21" s="81" cm="1">
        <f t="array" ref="AF21">INDEX(Page1!$G$8:$G$37, COLUMN(AF21)-10)</f>
        <v>0</v>
      </c>
      <c r="AG21" s="81" cm="1">
        <f t="array" ref="AG21">INDEX(Page1!$G$8:$G$37, COLUMN(AG21)-10)</f>
        <v>0</v>
      </c>
      <c r="AH21" s="81" cm="1">
        <f t="array" ref="AH21">INDEX(Page1!$G$8:$G$37, COLUMN(AH21)-10)</f>
        <v>0</v>
      </c>
      <c r="AI21" s="81" cm="1">
        <f t="array" ref="AI21">INDEX(Page1!$G$8:$G$37, COLUMN(AI21)-10)</f>
        <v>0</v>
      </c>
      <c r="AJ21" s="81" cm="1">
        <f t="array" ref="AJ21">INDEX(Page1!$G$8:$G$37, COLUMN(AJ21)-10)</f>
        <v>0</v>
      </c>
      <c r="AK21" s="81" cm="1">
        <f t="array" ref="AK21">INDEX(Page1!$G$8:$G$37, COLUMN(AK21)-10)</f>
        <v>0</v>
      </c>
      <c r="AL21" s="81" cm="1">
        <f t="array" ref="AL21">INDEX(Page1!$G$8:$G$37, COLUMN(AL21)-10)</f>
        <v>0</v>
      </c>
      <c r="AM21" s="81" cm="1">
        <f t="array" ref="AM21">INDEX(Page1!$G$8:$G$37, COLUMN(AM21)-10)</f>
        <v>0</v>
      </c>
      <c r="AN21" s="81" cm="1">
        <f t="array" ref="AN21">INDEX(Page1!$G$8:$G$37, COLUMN(AN21)-10)</f>
        <v>0</v>
      </c>
      <c r="AO21" s="112">
        <f t="shared" si="0"/>
        <v>0</v>
      </c>
      <c r="AP21" s="113">
        <f t="shared" si="1"/>
        <v>0</v>
      </c>
      <c r="AQ21" s="103" t="e">
        <f t="shared" ref="AQ21:AQ28" si="5">MIN((AO21-H21)/(3*AP21), (I21-AO21)/(3*AP21))</f>
        <v>#DIV/0!</v>
      </c>
      <c r="AR21" s="113">
        <f t="shared" si="2"/>
        <v>0</v>
      </c>
      <c r="AS21" s="113">
        <f t="shared" si="3"/>
        <v>0</v>
      </c>
      <c r="AT21" s="90" t="e">
        <f t="shared" si="4"/>
        <v>#DIV/0!</v>
      </c>
      <c r="AU21" s="104"/>
      <c r="AV21" s="105"/>
      <c r="AW21" s="105"/>
    </row>
    <row r="22" spans="1:49" s="106" customFormat="1" ht="15" customHeight="1">
      <c r="A22" s="96">
        <v>8</v>
      </c>
      <c r="B22" s="97" t="s">
        <v>83</v>
      </c>
      <c r="C22" s="98" t="s">
        <v>67</v>
      </c>
      <c r="D22" s="99" t="s">
        <v>84</v>
      </c>
      <c r="E22" s="99">
        <v>3</v>
      </c>
      <c r="F22" s="99">
        <v>0.1</v>
      </c>
      <c r="G22" s="114">
        <v>25</v>
      </c>
      <c r="H22" s="114">
        <v>15</v>
      </c>
      <c r="I22" s="114">
        <v>35</v>
      </c>
      <c r="J22" s="111" t="s">
        <v>82</v>
      </c>
      <c r="K22" s="82" t="e" cm="1">
        <f t="array" ref="K22">INDEX(Page3!$O$9:$O$38, COLUMN(K22)-10)</f>
        <v>#DIV/0!</v>
      </c>
      <c r="L22" s="82" t="e" cm="1">
        <f t="array" ref="L22">INDEX(Page3!$O$9:$O$38, COLUMN(L22)-10)</f>
        <v>#DIV/0!</v>
      </c>
      <c r="M22" s="82" t="e" cm="1">
        <f t="array" ref="M22">INDEX(Page3!$O$9:$O$38, COLUMN(M22)-10)</f>
        <v>#DIV/0!</v>
      </c>
      <c r="N22" s="82" t="e" cm="1">
        <f t="array" ref="N22">INDEX(Page3!$O$9:$O$38, COLUMN(N22)-10)</f>
        <v>#DIV/0!</v>
      </c>
      <c r="O22" s="82" t="e" cm="1">
        <f t="array" ref="O22">INDEX(Page3!$O$9:$O$38, COLUMN(O22)-10)</f>
        <v>#DIV/0!</v>
      </c>
      <c r="P22" s="82" t="e" cm="1">
        <f t="array" ref="P22">INDEX(Page3!$O$9:$O$38, COLUMN(P22)-10)</f>
        <v>#DIV/0!</v>
      </c>
      <c r="Q22" s="82" t="e" cm="1">
        <f t="array" ref="Q22">INDEX(Page3!$O$9:$O$38, COLUMN(Q22)-10)</f>
        <v>#DIV/0!</v>
      </c>
      <c r="R22" s="82" t="e" cm="1">
        <f t="array" ref="R22">INDEX(Page3!$O$9:$O$38, COLUMN(R22)-10)</f>
        <v>#DIV/0!</v>
      </c>
      <c r="S22" s="82" t="e" cm="1">
        <f t="array" ref="S22">INDEX(Page3!$O$9:$O$38, COLUMN(S22)-10)</f>
        <v>#DIV/0!</v>
      </c>
      <c r="T22" s="82" t="e" cm="1">
        <f t="array" ref="T22">INDEX(Page3!$O$9:$O$38, COLUMN(T22)-10)</f>
        <v>#DIV/0!</v>
      </c>
      <c r="U22" s="82" t="e" cm="1">
        <f t="array" ref="U22">INDEX(Page3!$O$9:$O$38, COLUMN(U22)-10)</f>
        <v>#DIV/0!</v>
      </c>
      <c r="V22" s="82" t="e" cm="1">
        <f t="array" ref="V22">INDEX(Page3!$O$9:$O$38, COLUMN(V22)-10)</f>
        <v>#DIV/0!</v>
      </c>
      <c r="W22" s="82" t="e" cm="1">
        <f t="array" ref="W22">INDEX(Page3!$O$9:$O$38, COLUMN(W22)-10)</f>
        <v>#DIV/0!</v>
      </c>
      <c r="X22" s="82" t="e" cm="1">
        <f t="array" ref="X22">INDEX(Page3!$O$9:$O$38, COLUMN(X22)-10)</f>
        <v>#DIV/0!</v>
      </c>
      <c r="Y22" s="82" t="e" cm="1">
        <f t="array" ref="Y22">INDEX(Page3!$O$9:$O$38, COLUMN(Y22)-10)</f>
        <v>#DIV/0!</v>
      </c>
      <c r="Z22" s="82" t="e" cm="1">
        <f t="array" ref="Z22">INDEX(Page3!$O$9:$O$38, COLUMN(Z22)-10)</f>
        <v>#DIV/0!</v>
      </c>
      <c r="AA22" s="82" t="e" cm="1">
        <f t="array" ref="AA22">INDEX(Page3!$O$9:$O$38, COLUMN(AA22)-10)</f>
        <v>#DIV/0!</v>
      </c>
      <c r="AB22" s="82" t="e" cm="1">
        <f t="array" ref="AB22">INDEX(Page3!$O$9:$O$38, COLUMN(AB22)-10)</f>
        <v>#DIV/0!</v>
      </c>
      <c r="AC22" s="82" t="e" cm="1">
        <f t="array" ref="AC22">INDEX(Page3!$O$9:$O$38, COLUMN(AC22)-10)</f>
        <v>#DIV/0!</v>
      </c>
      <c r="AD22" s="82" t="e" cm="1">
        <f t="array" ref="AD22">INDEX(Page3!$O$9:$O$38, COLUMN(AD22)-10)</f>
        <v>#DIV/0!</v>
      </c>
      <c r="AE22" s="82" t="e" cm="1">
        <f t="array" ref="AE22">INDEX(Page3!$O$9:$O$38, COLUMN(AE22)-10)</f>
        <v>#DIV/0!</v>
      </c>
      <c r="AF22" s="82" t="e" cm="1">
        <f t="array" ref="AF22">INDEX(Page3!$O$9:$O$38, COLUMN(AF22)-10)</f>
        <v>#DIV/0!</v>
      </c>
      <c r="AG22" s="82" t="e" cm="1">
        <f t="array" ref="AG22">INDEX(Page3!$O$9:$O$38, COLUMN(AG22)-10)</f>
        <v>#DIV/0!</v>
      </c>
      <c r="AH22" s="82" t="e" cm="1">
        <f t="array" ref="AH22">INDEX(Page3!$O$9:$O$38, COLUMN(AH22)-10)</f>
        <v>#DIV/0!</v>
      </c>
      <c r="AI22" s="82" t="e" cm="1">
        <f t="array" ref="AI22">INDEX(Page3!$O$9:$O$38, COLUMN(AI22)-10)</f>
        <v>#DIV/0!</v>
      </c>
      <c r="AJ22" s="82" t="e" cm="1">
        <f t="array" ref="AJ22">INDEX(Page3!$O$9:$O$38, COLUMN(AJ22)-10)</f>
        <v>#DIV/0!</v>
      </c>
      <c r="AK22" s="82" t="e" cm="1">
        <f t="array" ref="AK22">INDEX(Page3!$O$9:$O$38, COLUMN(AK22)-10)</f>
        <v>#DIV/0!</v>
      </c>
      <c r="AL22" s="82" t="e" cm="1">
        <f t="array" ref="AL22">INDEX(Page3!$O$9:$O$38, COLUMN(AL22)-10)</f>
        <v>#DIV/0!</v>
      </c>
      <c r="AM22" s="82" t="e" cm="1">
        <f t="array" ref="AM22">INDEX(Page3!$O$9:$O$38, COLUMN(AM22)-10)</f>
        <v>#DIV/0!</v>
      </c>
      <c r="AN22" s="82" t="e" cm="1">
        <f t="array" ref="AN22">INDEX(Page3!$O$9:$O$38, COLUMN(AN22)-10)</f>
        <v>#DIV/0!</v>
      </c>
      <c r="AO22" s="107" t="e">
        <f t="shared" si="0"/>
        <v>#DIV/0!</v>
      </c>
      <c r="AP22" s="113" t="e">
        <f t="shared" si="1"/>
        <v>#DIV/0!</v>
      </c>
      <c r="AQ22" s="103" t="e">
        <f t="shared" si="5"/>
        <v>#DIV/0!</v>
      </c>
      <c r="AR22" s="108" t="e">
        <f t="shared" si="2"/>
        <v>#DIV/0!</v>
      </c>
      <c r="AS22" s="108" t="e">
        <f t="shared" si="3"/>
        <v>#DIV/0!</v>
      </c>
      <c r="AT22" s="90" t="e">
        <f t="shared" si="4"/>
        <v>#DIV/0!</v>
      </c>
      <c r="AU22" s="104"/>
      <c r="AV22" s="105"/>
      <c r="AW22" s="105"/>
    </row>
    <row r="23" spans="1:49" s="106" customFormat="1" ht="15" customHeight="1">
      <c r="A23" s="96">
        <v>9</v>
      </c>
      <c r="B23" s="97" t="s">
        <v>98</v>
      </c>
      <c r="C23" s="98" t="s">
        <v>67</v>
      </c>
      <c r="D23" s="115" t="s">
        <v>99</v>
      </c>
      <c r="E23" s="99">
        <v>1</v>
      </c>
      <c r="F23" s="99">
        <v>0.01</v>
      </c>
      <c r="G23" s="100" t="s">
        <v>100</v>
      </c>
      <c r="H23" s="100"/>
      <c r="I23" s="100" t="s">
        <v>101</v>
      </c>
      <c r="J23" s="100" t="s">
        <v>82</v>
      </c>
      <c r="K23" s="80" cm="1">
        <f t="array" ref="K23">INDEX(Page4!$J$9:$J$38, COLUMN(K23)-10)</f>
        <v>0</v>
      </c>
      <c r="L23" s="80" cm="1">
        <f t="array" ref="L23">INDEX(Page4!$J$9:$J$38, COLUMN(L23)-10)</f>
        <v>0</v>
      </c>
      <c r="M23" s="80" cm="1">
        <f t="array" ref="M23">INDEX(Page4!$J$9:$J$38, COLUMN(M23)-10)</f>
        <v>0</v>
      </c>
      <c r="N23" s="80" cm="1">
        <f t="array" ref="N23">INDEX(Page4!$J$9:$J$38, COLUMN(N23)-10)</f>
        <v>0</v>
      </c>
      <c r="O23" s="80" cm="1">
        <f t="array" ref="O23">INDEX(Page4!$J$9:$J$38, COLUMN(O23)-10)</f>
        <v>0</v>
      </c>
      <c r="P23" s="80" cm="1">
        <f t="array" ref="P23">INDEX(Page4!$J$9:$J$38, COLUMN(P23)-10)</f>
        <v>0</v>
      </c>
      <c r="Q23" s="80" cm="1">
        <f t="array" ref="Q23">INDEX(Page4!$J$9:$J$38, COLUMN(Q23)-10)</f>
        <v>0</v>
      </c>
      <c r="R23" s="80" cm="1">
        <f t="array" ref="R23">INDEX(Page4!$J$9:$J$38, COLUMN(R23)-10)</f>
        <v>0</v>
      </c>
      <c r="S23" s="80" cm="1">
        <f t="array" ref="S23">INDEX(Page4!$J$9:$J$38, COLUMN(S23)-10)</f>
        <v>0</v>
      </c>
      <c r="T23" s="80" cm="1">
        <f t="array" ref="T23">INDEX(Page4!$J$9:$J$38, COLUMN(T23)-10)</f>
        <v>0</v>
      </c>
      <c r="U23" s="80" cm="1">
        <f t="array" ref="U23">INDEX(Page4!$J$9:$J$38, COLUMN(U23)-10)</f>
        <v>0</v>
      </c>
      <c r="V23" s="80" cm="1">
        <f t="array" ref="V23">INDEX(Page4!$J$9:$J$38, COLUMN(V23)-10)</f>
        <v>0</v>
      </c>
      <c r="W23" s="80" cm="1">
        <f t="array" ref="W23">INDEX(Page4!$J$9:$J$38, COLUMN(W23)-10)</f>
        <v>0</v>
      </c>
      <c r="X23" s="80" cm="1">
        <f t="array" ref="X23">INDEX(Page4!$J$9:$J$38, COLUMN(X23)-10)</f>
        <v>0</v>
      </c>
      <c r="Y23" s="80" cm="1">
        <f t="array" ref="Y23">INDEX(Page4!$J$9:$J$38, COLUMN(Y23)-10)</f>
        <v>0</v>
      </c>
      <c r="Z23" s="80" cm="1">
        <f t="array" ref="Z23">INDEX(Page4!$J$9:$J$38, COLUMN(Z23)-10)</f>
        <v>0</v>
      </c>
      <c r="AA23" s="80" cm="1">
        <f t="array" ref="AA23">INDEX(Page4!$J$9:$J$38, COLUMN(AA23)-10)</f>
        <v>0</v>
      </c>
      <c r="AB23" s="80" cm="1">
        <f t="array" ref="AB23">INDEX(Page4!$J$9:$J$38, COLUMN(AB23)-10)</f>
        <v>0</v>
      </c>
      <c r="AC23" s="80" cm="1">
        <f t="array" ref="AC23">INDEX(Page4!$J$9:$J$38, COLUMN(AC23)-10)</f>
        <v>0</v>
      </c>
      <c r="AD23" s="80" cm="1">
        <f t="array" ref="AD23">INDEX(Page4!$J$9:$J$38, COLUMN(AD23)-10)</f>
        <v>0</v>
      </c>
      <c r="AE23" s="80" cm="1">
        <f t="array" ref="AE23">INDEX(Page4!$J$9:$J$38, COLUMN(AE23)-10)</f>
        <v>0</v>
      </c>
      <c r="AF23" s="80" cm="1">
        <f t="array" ref="AF23">INDEX(Page4!$J$9:$J$38, COLUMN(AF23)-10)</f>
        <v>0</v>
      </c>
      <c r="AG23" s="80" cm="1">
        <f t="array" ref="AG23">INDEX(Page4!$J$9:$J$38, COLUMN(AG23)-10)</f>
        <v>0</v>
      </c>
      <c r="AH23" s="80" cm="1">
        <f t="array" ref="AH23">INDEX(Page4!$J$9:$J$38, COLUMN(AH23)-10)</f>
        <v>0</v>
      </c>
      <c r="AI23" s="80" cm="1">
        <f t="array" ref="AI23">INDEX(Page4!$J$9:$J$38, COLUMN(AI23)-10)</f>
        <v>0</v>
      </c>
      <c r="AJ23" s="80" cm="1">
        <f t="array" ref="AJ23">INDEX(Page4!$J$9:$J$38, COLUMN(AJ23)-10)</f>
        <v>0</v>
      </c>
      <c r="AK23" s="80" cm="1">
        <f t="array" ref="AK23">INDEX(Page4!$J$9:$J$38, COLUMN(AK23)-10)</f>
        <v>0</v>
      </c>
      <c r="AL23" s="80" cm="1">
        <f t="array" ref="AL23">INDEX(Page4!$J$9:$J$38, COLUMN(AL23)-10)</f>
        <v>0</v>
      </c>
      <c r="AM23" s="80" cm="1">
        <f t="array" ref="AM23">INDEX(Page4!$J$9:$J$38, COLUMN(AM23)-10)</f>
        <v>0</v>
      </c>
      <c r="AN23" s="80" cm="1">
        <f t="array" ref="AN23">INDEX(Page4!$J$9:$J$38, COLUMN(AN23)-10)</f>
        <v>0</v>
      </c>
      <c r="AO23" s="101">
        <f>AVERAGE(K23:AN23)</f>
        <v>0</v>
      </c>
      <c r="AP23" s="102">
        <f>STDEV(K23:AN23)</f>
        <v>0</v>
      </c>
      <c r="AQ23" s="103" t="e">
        <f>MIN(I23-AO23)/(3*AP23)</f>
        <v>#DIV/0!</v>
      </c>
      <c r="AR23" s="102">
        <f>MIN(K23:AN23)</f>
        <v>0</v>
      </c>
      <c r="AS23" s="102">
        <f>MAX(K23:AN23)</f>
        <v>0</v>
      </c>
      <c r="AT23" s="90" t="e">
        <f>IF(AQ23&gt;=1.33,"Pass","Fail")</f>
        <v>#DIV/0!</v>
      </c>
      <c r="AU23" s="104"/>
      <c r="AV23" s="105"/>
      <c r="AW23" s="105"/>
    </row>
    <row r="24" spans="1:49" s="106" customFormat="1" ht="15" customHeight="1">
      <c r="A24" s="96">
        <v>10</v>
      </c>
      <c r="B24" s="97" t="s">
        <v>85</v>
      </c>
      <c r="C24" s="98" t="s">
        <v>67</v>
      </c>
      <c r="D24" s="99"/>
      <c r="E24" s="99">
        <v>1</v>
      </c>
      <c r="F24" s="99">
        <v>0.01</v>
      </c>
      <c r="G24" s="100" t="s">
        <v>86</v>
      </c>
      <c r="H24" s="100" t="s">
        <v>87</v>
      </c>
      <c r="I24" s="100" t="s">
        <v>88</v>
      </c>
      <c r="J24" s="100">
        <v>1.33</v>
      </c>
      <c r="K24" s="80" cm="1">
        <f t="array" ref="K24">INDEX(Page1!$M$8:$M$37, COLUMN(K24)-10)</f>
        <v>0</v>
      </c>
      <c r="L24" s="80" cm="1">
        <f t="array" ref="L24">INDEX(Page1!$M$8:$M$37, COLUMN(L24)-10)</f>
        <v>0</v>
      </c>
      <c r="M24" s="80" cm="1">
        <f t="array" ref="M24">INDEX(Page1!$M$8:$M$37, COLUMN(M24)-10)</f>
        <v>0</v>
      </c>
      <c r="N24" s="80" cm="1">
        <f t="array" ref="N24">INDEX(Page1!$M$8:$M$37, COLUMN(N24)-10)</f>
        <v>0</v>
      </c>
      <c r="O24" s="80" cm="1">
        <f t="array" ref="O24">INDEX(Page1!$M$8:$M$37, COLUMN(O24)-10)</f>
        <v>0</v>
      </c>
      <c r="P24" s="80" cm="1">
        <f t="array" ref="P24">INDEX(Page1!$M$8:$M$37, COLUMN(P24)-10)</f>
        <v>0</v>
      </c>
      <c r="Q24" s="80" cm="1">
        <f t="array" ref="Q24">INDEX(Page1!$M$8:$M$37, COLUMN(Q24)-10)</f>
        <v>0</v>
      </c>
      <c r="R24" s="80" cm="1">
        <f t="array" ref="R24">INDEX(Page1!$M$8:$M$37, COLUMN(R24)-10)</f>
        <v>0</v>
      </c>
      <c r="S24" s="80" cm="1">
        <f t="array" ref="S24">INDEX(Page1!$M$8:$M$37, COLUMN(S24)-10)</f>
        <v>0</v>
      </c>
      <c r="T24" s="80" cm="1">
        <f t="array" ref="T24">INDEX(Page1!$M$8:$M$37, COLUMN(T24)-10)</f>
        <v>0</v>
      </c>
      <c r="U24" s="80" cm="1">
        <f t="array" ref="U24">INDEX(Page1!$M$8:$M$37, COLUMN(U24)-10)</f>
        <v>0</v>
      </c>
      <c r="V24" s="80" cm="1">
        <f t="array" ref="V24">INDEX(Page1!$M$8:$M$37, COLUMN(V24)-10)</f>
        <v>0</v>
      </c>
      <c r="W24" s="80" cm="1">
        <f t="array" ref="W24">INDEX(Page1!$M$8:$M$37, COLUMN(W24)-10)</f>
        <v>0</v>
      </c>
      <c r="X24" s="80" cm="1">
        <f t="array" ref="X24">INDEX(Page1!$M$8:$M$37, COLUMN(X24)-10)</f>
        <v>0</v>
      </c>
      <c r="Y24" s="80" cm="1">
        <f t="array" ref="Y24">INDEX(Page1!$M$8:$M$37, COLUMN(Y24)-10)</f>
        <v>0</v>
      </c>
      <c r="Z24" s="80" cm="1">
        <f t="array" ref="Z24">INDEX(Page1!$M$8:$M$37, COLUMN(Z24)-10)</f>
        <v>0</v>
      </c>
      <c r="AA24" s="80" cm="1">
        <f t="array" ref="AA24">INDEX(Page1!$M$8:$M$37, COLUMN(AA24)-10)</f>
        <v>0</v>
      </c>
      <c r="AB24" s="80" cm="1">
        <f t="array" ref="AB24">INDEX(Page1!$M$8:$M$37, COLUMN(AB24)-10)</f>
        <v>0</v>
      </c>
      <c r="AC24" s="80" cm="1">
        <f t="array" ref="AC24">INDEX(Page1!$M$8:$M$37, COLUMN(AC24)-10)</f>
        <v>0</v>
      </c>
      <c r="AD24" s="80" cm="1">
        <f t="array" ref="AD24">INDEX(Page1!$M$8:$M$37, COLUMN(AD24)-10)</f>
        <v>0</v>
      </c>
      <c r="AE24" s="80" cm="1">
        <f t="array" ref="AE24">INDEX(Page1!$M$8:$M$37, COLUMN(AE24)-10)</f>
        <v>0</v>
      </c>
      <c r="AF24" s="80" cm="1">
        <f t="array" ref="AF24">INDEX(Page1!$M$8:$M$37, COLUMN(AF24)-10)</f>
        <v>0</v>
      </c>
      <c r="AG24" s="80" cm="1">
        <f t="array" ref="AG24">INDEX(Page1!$M$8:$M$37, COLUMN(AG24)-10)</f>
        <v>0</v>
      </c>
      <c r="AH24" s="80" cm="1">
        <f t="array" ref="AH24">INDEX(Page1!$M$8:$M$37, COLUMN(AH24)-10)</f>
        <v>0</v>
      </c>
      <c r="AI24" s="80" cm="1">
        <f t="array" ref="AI24">INDEX(Page1!$M$8:$M$37, COLUMN(AI24)-10)</f>
        <v>0</v>
      </c>
      <c r="AJ24" s="80" cm="1">
        <f t="array" ref="AJ24">INDEX(Page1!$M$8:$M$37, COLUMN(AJ24)-10)</f>
        <v>0</v>
      </c>
      <c r="AK24" s="80" cm="1">
        <f t="array" ref="AK24">INDEX(Page1!$M$8:$M$37, COLUMN(AK24)-10)</f>
        <v>0</v>
      </c>
      <c r="AL24" s="80" cm="1">
        <f t="array" ref="AL24">INDEX(Page1!$M$8:$M$37, COLUMN(AL24)-10)</f>
        <v>0</v>
      </c>
      <c r="AM24" s="80" cm="1">
        <f t="array" ref="AM24">INDEX(Page1!$M$8:$M$37, COLUMN(AM24)-10)</f>
        <v>0</v>
      </c>
      <c r="AN24" s="80" cm="1">
        <f t="array" ref="AN24">INDEX(Page1!$M$8:$M$37, COLUMN(AN24)-10)</f>
        <v>0</v>
      </c>
      <c r="AO24" s="101">
        <f t="shared" si="0"/>
        <v>0</v>
      </c>
      <c r="AP24" s="102">
        <f t="shared" si="1"/>
        <v>0</v>
      </c>
      <c r="AQ24" s="103" t="e">
        <f t="shared" si="5"/>
        <v>#DIV/0!</v>
      </c>
      <c r="AR24" s="102">
        <f t="shared" si="2"/>
        <v>0</v>
      </c>
      <c r="AS24" s="102">
        <f t="shared" si="3"/>
        <v>0</v>
      </c>
      <c r="AT24" s="90" t="e">
        <f t="shared" si="4"/>
        <v>#DIV/0!</v>
      </c>
      <c r="AU24" s="104"/>
      <c r="AV24" s="105"/>
      <c r="AW24" s="105"/>
    </row>
    <row r="25" spans="1:49" s="106" customFormat="1" ht="15" customHeight="1">
      <c r="A25" s="96">
        <v>11</v>
      </c>
      <c r="B25" s="97" t="s">
        <v>89</v>
      </c>
      <c r="C25" s="98" t="s">
        <v>67</v>
      </c>
      <c r="D25" s="99" t="s">
        <v>78</v>
      </c>
      <c r="E25" s="99">
        <v>1</v>
      </c>
      <c r="F25" s="99">
        <v>0.1</v>
      </c>
      <c r="G25" s="100" t="s">
        <v>90</v>
      </c>
      <c r="H25" s="100" t="s">
        <v>91</v>
      </c>
      <c r="I25" s="100" t="s">
        <v>92</v>
      </c>
      <c r="J25" s="100" t="s">
        <v>82</v>
      </c>
      <c r="K25" s="82" cm="1">
        <f t="array" ref="K25">INDEX(Page1!$J$8:$J$37, COLUMN(K25)-10)</f>
        <v>0</v>
      </c>
      <c r="L25" s="82" cm="1">
        <f t="array" ref="L25">INDEX(Page1!$J$8:$J$37, COLUMN(L25)-10)</f>
        <v>0</v>
      </c>
      <c r="M25" s="82" cm="1">
        <f t="array" ref="M25">INDEX(Page1!$J$8:$J$37, COLUMN(M25)-10)</f>
        <v>0</v>
      </c>
      <c r="N25" s="82" cm="1">
        <f t="array" ref="N25">INDEX(Page1!$J$8:$J$37, COLUMN(N25)-10)</f>
        <v>0</v>
      </c>
      <c r="O25" s="82" cm="1">
        <f t="array" ref="O25">INDEX(Page1!$J$8:$J$37, COLUMN(O25)-10)</f>
        <v>0</v>
      </c>
      <c r="P25" s="82" cm="1">
        <f t="array" ref="P25">INDEX(Page1!$J$8:$J$37, COLUMN(P25)-10)</f>
        <v>0</v>
      </c>
      <c r="Q25" s="82" cm="1">
        <f t="array" ref="Q25">INDEX(Page1!$J$8:$J$37, COLUMN(Q25)-10)</f>
        <v>0</v>
      </c>
      <c r="R25" s="82" cm="1">
        <f t="array" ref="R25">INDEX(Page1!$J$8:$J$37, COLUMN(R25)-10)</f>
        <v>0</v>
      </c>
      <c r="S25" s="82" cm="1">
        <f t="array" ref="S25">INDEX(Page1!$J$8:$J$37, COLUMN(S25)-10)</f>
        <v>0</v>
      </c>
      <c r="T25" s="82" cm="1">
        <f t="array" ref="T25">INDEX(Page1!$J$8:$J$37, COLUMN(T25)-10)</f>
        <v>0</v>
      </c>
      <c r="U25" s="82" cm="1">
        <f t="array" ref="U25">INDEX(Page1!$J$8:$J$37, COLUMN(U25)-10)</f>
        <v>0</v>
      </c>
      <c r="V25" s="82" cm="1">
        <f t="array" ref="V25">INDEX(Page1!$J$8:$J$37, COLUMN(V25)-10)</f>
        <v>0</v>
      </c>
      <c r="W25" s="82" cm="1">
        <f t="array" ref="W25">INDEX(Page1!$J$8:$J$37, COLUMN(W25)-10)</f>
        <v>0</v>
      </c>
      <c r="X25" s="82" cm="1">
        <f t="array" ref="X25">INDEX(Page1!$J$8:$J$37, COLUMN(X25)-10)</f>
        <v>0</v>
      </c>
      <c r="Y25" s="82" cm="1">
        <f t="array" ref="Y25">INDEX(Page1!$J$8:$J$37, COLUMN(Y25)-10)</f>
        <v>0</v>
      </c>
      <c r="Z25" s="82" cm="1">
        <f t="array" ref="Z25">INDEX(Page1!$J$8:$J$37, COLUMN(Z25)-10)</f>
        <v>0</v>
      </c>
      <c r="AA25" s="82" cm="1">
        <f t="array" ref="AA25">INDEX(Page1!$J$8:$J$37, COLUMN(AA25)-10)</f>
        <v>0</v>
      </c>
      <c r="AB25" s="82" cm="1">
        <f t="array" ref="AB25">INDEX(Page1!$J$8:$J$37, COLUMN(AB25)-10)</f>
        <v>0</v>
      </c>
      <c r="AC25" s="82" cm="1">
        <f t="array" ref="AC25">INDEX(Page1!$J$8:$J$37, COLUMN(AC25)-10)</f>
        <v>0</v>
      </c>
      <c r="AD25" s="82" cm="1">
        <f t="array" ref="AD25">INDEX(Page1!$J$8:$J$37, COLUMN(AD25)-10)</f>
        <v>0</v>
      </c>
      <c r="AE25" s="82" cm="1">
        <f t="array" ref="AE25">INDEX(Page1!$J$8:$J$37, COLUMN(AE25)-10)</f>
        <v>0</v>
      </c>
      <c r="AF25" s="82" cm="1">
        <f t="array" ref="AF25">INDEX(Page1!$J$8:$J$37, COLUMN(AF25)-10)</f>
        <v>0</v>
      </c>
      <c r="AG25" s="82" cm="1">
        <f t="array" ref="AG25">INDEX(Page1!$J$8:$J$37, COLUMN(AG25)-10)</f>
        <v>0</v>
      </c>
      <c r="AH25" s="82" cm="1">
        <f t="array" ref="AH25">INDEX(Page1!$J$8:$J$37, COLUMN(AH25)-10)</f>
        <v>0</v>
      </c>
      <c r="AI25" s="82" cm="1">
        <f t="array" ref="AI25">INDEX(Page1!$J$8:$J$37, COLUMN(AI25)-10)</f>
        <v>0</v>
      </c>
      <c r="AJ25" s="82" cm="1">
        <f t="array" ref="AJ25">INDEX(Page1!$J$8:$J$37, COLUMN(AJ25)-10)</f>
        <v>0</v>
      </c>
      <c r="AK25" s="82" cm="1">
        <f t="array" ref="AK25">INDEX(Page1!$J$8:$J$37, COLUMN(AK25)-10)</f>
        <v>0</v>
      </c>
      <c r="AL25" s="82" cm="1">
        <f t="array" ref="AL25">INDEX(Page1!$J$8:$J$37, COLUMN(AL25)-10)</f>
        <v>0</v>
      </c>
      <c r="AM25" s="82" cm="1">
        <f t="array" ref="AM25">INDEX(Page1!$J$8:$J$37, COLUMN(AM25)-10)</f>
        <v>0</v>
      </c>
      <c r="AN25" s="82" cm="1">
        <f t="array" ref="AN25">INDEX(Page1!$J$8:$J$37, COLUMN(AN25)-10)</f>
        <v>0</v>
      </c>
      <c r="AO25" s="107">
        <f t="shared" si="0"/>
        <v>0</v>
      </c>
      <c r="AP25" s="102">
        <f t="shared" si="1"/>
        <v>0</v>
      </c>
      <c r="AQ25" s="103" t="e">
        <f t="shared" si="5"/>
        <v>#DIV/0!</v>
      </c>
      <c r="AR25" s="108">
        <f t="shared" si="2"/>
        <v>0</v>
      </c>
      <c r="AS25" s="108">
        <f t="shared" si="3"/>
        <v>0</v>
      </c>
      <c r="AT25" s="90" t="e">
        <f t="shared" si="4"/>
        <v>#DIV/0!</v>
      </c>
      <c r="AU25" s="104"/>
      <c r="AV25" s="105"/>
      <c r="AW25" s="105"/>
    </row>
    <row r="26" spans="1:49" s="106" customFormat="1" ht="15" customHeight="1">
      <c r="A26" s="96">
        <v>12</v>
      </c>
      <c r="B26" s="97" t="s">
        <v>93</v>
      </c>
      <c r="C26" s="98" t="s">
        <v>67</v>
      </c>
      <c r="D26" s="99" t="s">
        <v>94</v>
      </c>
      <c r="E26" s="99">
        <v>1</v>
      </c>
      <c r="F26" s="99">
        <v>0.1</v>
      </c>
      <c r="G26" s="100">
        <v>94.6</v>
      </c>
      <c r="H26" s="100">
        <v>90.6</v>
      </c>
      <c r="I26" s="100">
        <v>98.6</v>
      </c>
      <c r="J26" s="100" t="s">
        <v>82</v>
      </c>
      <c r="K26" s="82" cm="1">
        <f t="array" ref="K26">INDEX(Page4!$D$9:$D$38, COLUMN(K26)-10)</f>
        <v>0</v>
      </c>
      <c r="L26" s="82" cm="1">
        <f t="array" ref="L26">INDEX(Page4!$D$9:$D$38, COLUMN(L26)-10)</f>
        <v>0</v>
      </c>
      <c r="M26" s="82" cm="1">
        <f t="array" ref="M26">INDEX(Page4!$D$9:$D$38, COLUMN(M26)-10)</f>
        <v>0</v>
      </c>
      <c r="N26" s="82" cm="1">
        <f t="array" ref="N26">INDEX(Page4!$D$9:$D$38, COLUMN(N26)-10)</f>
        <v>0</v>
      </c>
      <c r="O26" s="82" cm="1">
        <f t="array" ref="O26">INDEX(Page4!$D$9:$D$38, COLUMN(O26)-10)</f>
        <v>0</v>
      </c>
      <c r="P26" s="82" cm="1">
        <f t="array" ref="P26">INDEX(Page4!$D$9:$D$38, COLUMN(P26)-10)</f>
        <v>0</v>
      </c>
      <c r="Q26" s="82" cm="1">
        <f t="array" ref="Q26">INDEX(Page4!$D$9:$D$38, COLUMN(Q26)-10)</f>
        <v>0</v>
      </c>
      <c r="R26" s="82" cm="1">
        <f t="array" ref="R26">INDEX(Page4!$D$9:$D$38, COLUMN(R26)-10)</f>
        <v>0</v>
      </c>
      <c r="S26" s="82" cm="1">
        <f t="array" ref="S26">INDEX(Page4!$D$9:$D$38, COLUMN(S26)-10)</f>
        <v>0</v>
      </c>
      <c r="T26" s="82" cm="1">
        <f t="array" ref="T26">INDEX(Page4!$D$9:$D$38, COLUMN(T26)-10)</f>
        <v>0</v>
      </c>
      <c r="U26" s="82" cm="1">
        <f t="array" ref="U26">INDEX(Page4!$D$9:$D$38, COLUMN(U26)-10)</f>
        <v>0</v>
      </c>
      <c r="V26" s="82" cm="1">
        <f t="array" ref="V26">INDEX(Page4!$D$9:$D$38, COLUMN(V26)-10)</f>
        <v>0</v>
      </c>
      <c r="W26" s="82" cm="1">
        <f t="array" ref="W26">INDEX(Page4!$D$9:$D$38, COLUMN(W26)-10)</f>
        <v>0</v>
      </c>
      <c r="X26" s="82" cm="1">
        <f t="array" ref="X26">INDEX(Page4!$D$9:$D$38, COLUMN(X26)-10)</f>
        <v>0</v>
      </c>
      <c r="Y26" s="82" cm="1">
        <f t="array" ref="Y26">INDEX(Page4!$D$9:$D$38, COLUMN(Y26)-10)</f>
        <v>0</v>
      </c>
      <c r="Z26" s="82" cm="1">
        <f t="array" ref="Z26">INDEX(Page4!$D$9:$D$38, COLUMN(Z26)-10)</f>
        <v>0</v>
      </c>
      <c r="AA26" s="82" cm="1">
        <f t="array" ref="AA26">INDEX(Page4!$D$9:$D$38, COLUMN(AA26)-10)</f>
        <v>0</v>
      </c>
      <c r="AB26" s="82" cm="1">
        <f t="array" ref="AB26">INDEX(Page4!$D$9:$D$38, COLUMN(AB26)-10)</f>
        <v>0</v>
      </c>
      <c r="AC26" s="82" cm="1">
        <f t="array" ref="AC26">INDEX(Page4!$D$9:$D$38, COLUMN(AC26)-10)</f>
        <v>0</v>
      </c>
      <c r="AD26" s="82" cm="1">
        <f t="array" ref="AD26">INDEX(Page4!$D$9:$D$38, COLUMN(AD26)-10)</f>
        <v>0</v>
      </c>
      <c r="AE26" s="82" cm="1">
        <f t="array" ref="AE26">INDEX(Page4!$D$9:$D$38, COLUMN(AE26)-10)</f>
        <v>0</v>
      </c>
      <c r="AF26" s="82" cm="1">
        <f t="array" ref="AF26">INDEX(Page4!$D$9:$D$38, COLUMN(AF26)-10)</f>
        <v>0</v>
      </c>
      <c r="AG26" s="82" cm="1">
        <f t="array" ref="AG26">INDEX(Page4!$D$9:$D$38, COLUMN(AG26)-10)</f>
        <v>0</v>
      </c>
      <c r="AH26" s="82" cm="1">
        <f t="array" ref="AH26">INDEX(Page4!$D$9:$D$38, COLUMN(AH26)-10)</f>
        <v>0</v>
      </c>
      <c r="AI26" s="82" cm="1">
        <f t="array" ref="AI26">INDEX(Page4!$D$9:$D$38, COLUMN(AI26)-10)</f>
        <v>0</v>
      </c>
      <c r="AJ26" s="82" cm="1">
        <f t="array" ref="AJ26">INDEX(Page4!$D$9:$D$38, COLUMN(AJ26)-10)</f>
        <v>0</v>
      </c>
      <c r="AK26" s="82" cm="1">
        <f t="array" ref="AK26">INDEX(Page4!$D$9:$D$38, COLUMN(AK26)-10)</f>
        <v>0</v>
      </c>
      <c r="AL26" s="82" cm="1">
        <f t="array" ref="AL26">INDEX(Page4!$D$9:$D$38, COLUMN(AL26)-10)</f>
        <v>0</v>
      </c>
      <c r="AM26" s="82" cm="1">
        <f t="array" ref="AM26">INDEX(Page4!$D$9:$D$38, COLUMN(AM26)-10)</f>
        <v>0</v>
      </c>
      <c r="AN26" s="82" cm="1">
        <f t="array" ref="AN26">INDEX(Page4!$D$9:$D$38, COLUMN(AN26)-10)</f>
        <v>0</v>
      </c>
      <c r="AO26" s="107">
        <f t="shared" si="0"/>
        <v>0</v>
      </c>
      <c r="AP26" s="102">
        <f t="shared" si="1"/>
        <v>0</v>
      </c>
      <c r="AQ26" s="103" t="e">
        <f t="shared" si="5"/>
        <v>#DIV/0!</v>
      </c>
      <c r="AR26" s="108">
        <f t="shared" si="2"/>
        <v>0</v>
      </c>
      <c r="AS26" s="108">
        <f t="shared" si="3"/>
        <v>0</v>
      </c>
      <c r="AT26" s="90" t="e">
        <f t="shared" si="4"/>
        <v>#DIV/0!</v>
      </c>
      <c r="AU26" s="104"/>
      <c r="AV26" s="105"/>
      <c r="AW26" s="105"/>
    </row>
    <row r="27" spans="1:49" s="106" customFormat="1" ht="15" customHeight="1">
      <c r="A27" s="96">
        <v>13</v>
      </c>
      <c r="B27" s="97" t="s">
        <v>95</v>
      </c>
      <c r="C27" s="98" t="s">
        <v>67</v>
      </c>
      <c r="D27" s="99" t="s">
        <v>94</v>
      </c>
      <c r="E27" s="99">
        <v>1</v>
      </c>
      <c r="F27" s="99">
        <v>0.1</v>
      </c>
      <c r="G27" s="100" t="s">
        <v>96</v>
      </c>
      <c r="H27" s="100">
        <v>-5.0999999999999996</v>
      </c>
      <c r="I27" s="100">
        <v>2.9</v>
      </c>
      <c r="J27" s="100" t="s">
        <v>82</v>
      </c>
      <c r="K27" s="82" cm="1">
        <f t="array" ref="K27">INDEX(Page4!$F$9:$F$38, COLUMN(K27)-10)</f>
        <v>0</v>
      </c>
      <c r="L27" s="82" cm="1">
        <f t="array" ref="L27">INDEX(Page4!$F$9:$F$38, COLUMN(L27)-10)</f>
        <v>0</v>
      </c>
      <c r="M27" s="82" cm="1">
        <f t="array" ref="M27">INDEX(Page4!$F$9:$F$38, COLUMN(M27)-10)</f>
        <v>0</v>
      </c>
      <c r="N27" s="82" cm="1">
        <f t="array" ref="N27">INDEX(Page4!$F$9:$F$38, COLUMN(N27)-10)</f>
        <v>0</v>
      </c>
      <c r="O27" s="82" cm="1">
        <f t="array" ref="O27">INDEX(Page4!$F$9:$F$38, COLUMN(O27)-10)</f>
        <v>0</v>
      </c>
      <c r="P27" s="82" cm="1">
        <f t="array" ref="P27">INDEX(Page4!$F$9:$F$38, COLUMN(P27)-10)</f>
        <v>0</v>
      </c>
      <c r="Q27" s="82" cm="1">
        <f t="array" ref="Q27">INDEX(Page4!$F$9:$F$38, COLUMN(Q27)-10)</f>
        <v>0</v>
      </c>
      <c r="R27" s="82" cm="1">
        <f t="array" ref="R27">INDEX(Page4!$F$9:$F$38, COLUMN(R27)-10)</f>
        <v>0</v>
      </c>
      <c r="S27" s="82" cm="1">
        <f t="array" ref="S27">INDEX(Page4!$F$9:$F$38, COLUMN(S27)-10)</f>
        <v>0</v>
      </c>
      <c r="T27" s="82" cm="1">
        <f t="array" ref="T27">INDEX(Page4!$F$9:$F$38, COLUMN(T27)-10)</f>
        <v>0</v>
      </c>
      <c r="U27" s="82" cm="1">
        <f t="array" ref="U27">INDEX(Page4!$F$9:$F$38, COLUMN(U27)-10)</f>
        <v>0</v>
      </c>
      <c r="V27" s="82" cm="1">
        <f t="array" ref="V27">INDEX(Page4!$F$9:$F$38, COLUMN(V27)-10)</f>
        <v>0</v>
      </c>
      <c r="W27" s="82" cm="1">
        <f t="array" ref="W27">INDEX(Page4!$F$9:$F$38, COLUMN(W27)-10)</f>
        <v>0</v>
      </c>
      <c r="X27" s="82" cm="1">
        <f t="array" ref="X27">INDEX(Page4!$F$9:$F$38, COLUMN(X27)-10)</f>
        <v>0</v>
      </c>
      <c r="Y27" s="82" cm="1">
        <f t="array" ref="Y27">INDEX(Page4!$F$9:$F$38, COLUMN(Y27)-10)</f>
        <v>0</v>
      </c>
      <c r="Z27" s="82" cm="1">
        <f t="array" ref="Z27">INDEX(Page4!$F$9:$F$38, COLUMN(Z27)-10)</f>
        <v>0</v>
      </c>
      <c r="AA27" s="82" cm="1">
        <f t="array" ref="AA27">INDEX(Page4!$F$9:$F$38, COLUMN(AA27)-10)</f>
        <v>0</v>
      </c>
      <c r="AB27" s="82" cm="1">
        <f t="array" ref="AB27">INDEX(Page4!$F$9:$F$38, COLUMN(AB27)-10)</f>
        <v>0</v>
      </c>
      <c r="AC27" s="82" cm="1">
        <f t="array" ref="AC27">INDEX(Page4!$F$9:$F$38, COLUMN(AC27)-10)</f>
        <v>0</v>
      </c>
      <c r="AD27" s="82" cm="1">
        <f t="array" ref="AD27">INDEX(Page4!$F$9:$F$38, COLUMN(AD27)-10)</f>
        <v>0</v>
      </c>
      <c r="AE27" s="82" cm="1">
        <f t="array" ref="AE27">INDEX(Page4!$F$9:$F$38, COLUMN(AE27)-10)</f>
        <v>0</v>
      </c>
      <c r="AF27" s="82" cm="1">
        <f t="array" ref="AF27">INDEX(Page4!$F$9:$F$38, COLUMN(AF27)-10)</f>
        <v>0</v>
      </c>
      <c r="AG27" s="82" cm="1">
        <f t="array" ref="AG27">INDEX(Page4!$F$9:$F$38, COLUMN(AG27)-10)</f>
        <v>0</v>
      </c>
      <c r="AH27" s="82" cm="1">
        <f t="array" ref="AH27">INDEX(Page4!$F$9:$F$38, COLUMN(AH27)-10)</f>
        <v>0</v>
      </c>
      <c r="AI27" s="82" cm="1">
        <f t="array" ref="AI27">INDEX(Page4!$F$9:$F$38, COLUMN(AI27)-10)</f>
        <v>0</v>
      </c>
      <c r="AJ27" s="82" cm="1">
        <f t="array" ref="AJ27">INDEX(Page4!$F$9:$F$38, COLUMN(AJ27)-10)</f>
        <v>0</v>
      </c>
      <c r="AK27" s="82" cm="1">
        <f t="array" ref="AK27">INDEX(Page4!$F$9:$F$38, COLUMN(AK27)-10)</f>
        <v>0</v>
      </c>
      <c r="AL27" s="82" cm="1">
        <f t="array" ref="AL27">INDEX(Page4!$F$9:$F$38, COLUMN(AL27)-10)</f>
        <v>0</v>
      </c>
      <c r="AM27" s="82" cm="1">
        <f t="array" ref="AM27">INDEX(Page4!$F$9:$F$38, COLUMN(AM27)-10)</f>
        <v>0</v>
      </c>
      <c r="AN27" s="82" cm="1">
        <f t="array" ref="AN27">INDEX(Page4!$F$9:$F$38, COLUMN(AN27)-10)</f>
        <v>0</v>
      </c>
      <c r="AO27" s="107">
        <f t="shared" si="0"/>
        <v>0</v>
      </c>
      <c r="AP27" s="102">
        <f t="shared" si="1"/>
        <v>0</v>
      </c>
      <c r="AQ27" s="103" t="e">
        <f t="shared" si="5"/>
        <v>#DIV/0!</v>
      </c>
      <c r="AR27" s="108">
        <f t="shared" si="2"/>
        <v>0</v>
      </c>
      <c r="AS27" s="108">
        <f t="shared" si="3"/>
        <v>0</v>
      </c>
      <c r="AT27" s="90" t="e">
        <f t="shared" si="4"/>
        <v>#DIV/0!</v>
      </c>
      <c r="AU27" s="104"/>
      <c r="AV27" s="105"/>
      <c r="AW27" s="105"/>
    </row>
    <row r="28" spans="1:49" s="106" customFormat="1" ht="15" customHeight="1">
      <c r="A28" s="96">
        <v>14</v>
      </c>
      <c r="B28" s="97" t="s">
        <v>97</v>
      </c>
      <c r="C28" s="98" t="s">
        <v>67</v>
      </c>
      <c r="D28" s="99" t="s">
        <v>94</v>
      </c>
      <c r="E28" s="99">
        <v>1</v>
      </c>
      <c r="F28" s="99">
        <v>0.1</v>
      </c>
      <c r="G28" s="100">
        <v>0.4</v>
      </c>
      <c r="H28" s="100">
        <v>-3.6</v>
      </c>
      <c r="I28" s="100">
        <v>4.4000000000000004</v>
      </c>
      <c r="J28" s="100" t="s">
        <v>82</v>
      </c>
      <c r="K28" s="82" cm="1">
        <f t="array" ref="K28">INDEX(Page4!$H$9:$H$38, COLUMN(K28)-10)</f>
        <v>0</v>
      </c>
      <c r="L28" s="82" cm="1">
        <f t="array" ref="L28">INDEX(Page4!$H$9:$H$38, COLUMN(L28)-10)</f>
        <v>0</v>
      </c>
      <c r="M28" s="82" cm="1">
        <f t="array" ref="M28">INDEX(Page4!$H$9:$H$38, COLUMN(M28)-10)</f>
        <v>0</v>
      </c>
      <c r="N28" s="82" cm="1">
        <f t="array" ref="N28">INDEX(Page4!$H$9:$H$38, COLUMN(N28)-10)</f>
        <v>0</v>
      </c>
      <c r="O28" s="82" cm="1">
        <f t="array" ref="O28">INDEX(Page4!$H$9:$H$38, COLUMN(O28)-10)</f>
        <v>0</v>
      </c>
      <c r="P28" s="82" cm="1">
        <f t="array" ref="P28">INDEX(Page4!$H$9:$H$38, COLUMN(P28)-10)</f>
        <v>0</v>
      </c>
      <c r="Q28" s="82" cm="1">
        <f t="array" ref="Q28">INDEX(Page4!$H$9:$H$38, COLUMN(Q28)-10)</f>
        <v>0</v>
      </c>
      <c r="R28" s="82" cm="1">
        <f t="array" ref="R28">INDEX(Page4!$H$9:$H$38, COLUMN(R28)-10)</f>
        <v>0</v>
      </c>
      <c r="S28" s="82" cm="1">
        <f t="array" ref="S28">INDEX(Page4!$H$9:$H$38, COLUMN(S28)-10)</f>
        <v>0</v>
      </c>
      <c r="T28" s="82" cm="1">
        <f t="array" ref="T28">INDEX(Page4!$H$9:$H$38, COLUMN(T28)-10)</f>
        <v>0</v>
      </c>
      <c r="U28" s="82" cm="1">
        <f t="array" ref="U28">INDEX(Page4!$H$9:$H$38, COLUMN(U28)-10)</f>
        <v>0</v>
      </c>
      <c r="V28" s="82" cm="1">
        <f t="array" ref="V28">INDEX(Page4!$H$9:$H$38, COLUMN(V28)-10)</f>
        <v>0</v>
      </c>
      <c r="W28" s="82" cm="1">
        <f t="array" ref="W28">INDEX(Page4!$H$9:$H$38, COLUMN(W28)-10)</f>
        <v>0</v>
      </c>
      <c r="X28" s="82" cm="1">
        <f t="array" ref="X28">INDEX(Page4!$H$9:$H$38, COLUMN(X28)-10)</f>
        <v>0</v>
      </c>
      <c r="Y28" s="82" cm="1">
        <f t="array" ref="Y28">INDEX(Page4!$H$9:$H$38, COLUMN(Y28)-10)</f>
        <v>0</v>
      </c>
      <c r="Z28" s="82" cm="1">
        <f t="array" ref="Z28">INDEX(Page4!$H$9:$H$38, COLUMN(Z28)-10)</f>
        <v>0</v>
      </c>
      <c r="AA28" s="82" cm="1">
        <f t="array" ref="AA28">INDEX(Page4!$H$9:$H$38, COLUMN(AA28)-10)</f>
        <v>0</v>
      </c>
      <c r="AB28" s="82" cm="1">
        <f t="array" ref="AB28">INDEX(Page4!$H$9:$H$38, COLUMN(AB28)-10)</f>
        <v>0</v>
      </c>
      <c r="AC28" s="82" cm="1">
        <f t="array" ref="AC28">INDEX(Page4!$H$9:$H$38, COLUMN(AC28)-10)</f>
        <v>0</v>
      </c>
      <c r="AD28" s="82" cm="1">
        <f t="array" ref="AD28">INDEX(Page4!$H$9:$H$38, COLUMN(AD28)-10)</f>
        <v>0</v>
      </c>
      <c r="AE28" s="82" cm="1">
        <f t="array" ref="AE28">INDEX(Page4!$H$9:$H$38, COLUMN(AE28)-10)</f>
        <v>0</v>
      </c>
      <c r="AF28" s="82" cm="1">
        <f t="array" ref="AF28">INDEX(Page4!$H$9:$H$38, COLUMN(AF28)-10)</f>
        <v>0</v>
      </c>
      <c r="AG28" s="82" cm="1">
        <f t="array" ref="AG28">INDEX(Page4!$H$9:$H$38, COLUMN(AG28)-10)</f>
        <v>0</v>
      </c>
      <c r="AH28" s="82" cm="1">
        <f t="array" ref="AH28">INDEX(Page4!$H$9:$H$38, COLUMN(AH28)-10)</f>
        <v>0</v>
      </c>
      <c r="AI28" s="82" cm="1">
        <f t="array" ref="AI28">INDEX(Page4!$H$9:$H$38, COLUMN(AI28)-10)</f>
        <v>0</v>
      </c>
      <c r="AJ28" s="82" cm="1">
        <f t="array" ref="AJ28">INDEX(Page4!$H$9:$H$38, COLUMN(AJ28)-10)</f>
        <v>0</v>
      </c>
      <c r="AK28" s="82" cm="1">
        <f t="array" ref="AK28">INDEX(Page4!$H$9:$H$38, COLUMN(AK28)-10)</f>
        <v>0</v>
      </c>
      <c r="AL28" s="82" cm="1">
        <f t="array" ref="AL28">INDEX(Page4!$H$9:$H$38, COLUMN(AL28)-10)</f>
        <v>0</v>
      </c>
      <c r="AM28" s="82" cm="1">
        <f t="array" ref="AM28">INDEX(Page4!$H$9:$H$38, COLUMN(AM28)-10)</f>
        <v>0</v>
      </c>
      <c r="AN28" s="82" cm="1">
        <f t="array" ref="AN28">INDEX(Page4!$H$9:$H$38, COLUMN(AN28)-10)</f>
        <v>0</v>
      </c>
      <c r="AO28" s="107">
        <f t="shared" si="0"/>
        <v>0</v>
      </c>
      <c r="AP28" s="102">
        <f t="shared" si="1"/>
        <v>0</v>
      </c>
      <c r="AQ28" s="103" t="e">
        <f t="shared" si="5"/>
        <v>#DIV/0!</v>
      </c>
      <c r="AR28" s="108">
        <f t="shared" si="2"/>
        <v>0</v>
      </c>
      <c r="AS28" s="108">
        <f t="shared" si="3"/>
        <v>0</v>
      </c>
      <c r="AT28" s="90" t="e">
        <f t="shared" si="4"/>
        <v>#DIV/0!</v>
      </c>
      <c r="AU28" s="104"/>
      <c r="AV28" s="105"/>
      <c r="AW28" s="105"/>
    </row>
    <row r="29" spans="1:49" s="106" customFormat="1" ht="15" customHeight="1">
      <c r="A29" s="96">
        <v>15</v>
      </c>
      <c r="B29" s="97" t="s">
        <v>102</v>
      </c>
      <c r="C29" s="98" t="s">
        <v>67</v>
      </c>
      <c r="D29" s="115" t="s">
        <v>103</v>
      </c>
      <c r="E29" s="99">
        <v>3</v>
      </c>
      <c r="F29" s="99">
        <v>0.1</v>
      </c>
      <c r="G29" s="100" t="s">
        <v>109</v>
      </c>
      <c r="H29" s="100"/>
      <c r="I29" s="100" t="s">
        <v>104</v>
      </c>
      <c r="J29" s="100" t="s">
        <v>82</v>
      </c>
      <c r="K29" s="82" t="e" cm="1">
        <f t="array" ref="K29">INDEX(Page4!$O$9:$O$38, COLUMN(K29)-10)</f>
        <v>#DIV/0!</v>
      </c>
      <c r="L29" s="82" t="e" cm="1">
        <f t="array" ref="L29">INDEX(Page4!$O$9:$O$38, COLUMN(L29)-10)</f>
        <v>#DIV/0!</v>
      </c>
      <c r="M29" s="82" t="e" cm="1">
        <f t="array" ref="M29">INDEX(Page4!$O$9:$O$38, COLUMN(M29)-10)</f>
        <v>#DIV/0!</v>
      </c>
      <c r="N29" s="82" t="e" cm="1">
        <f t="array" ref="N29">INDEX(Page4!$O$9:$O$38, COLUMN(N29)-10)</f>
        <v>#DIV/0!</v>
      </c>
      <c r="O29" s="82" t="e" cm="1">
        <f t="array" ref="O29">INDEX(Page4!$O$9:$O$38, COLUMN(O29)-10)</f>
        <v>#DIV/0!</v>
      </c>
      <c r="P29" s="82" t="e" cm="1">
        <f t="array" ref="P29">INDEX(Page4!$O$9:$O$38, COLUMN(P29)-10)</f>
        <v>#DIV/0!</v>
      </c>
      <c r="Q29" s="82" t="e" cm="1">
        <f t="array" ref="Q29">INDEX(Page4!$O$9:$O$38, COLUMN(Q29)-10)</f>
        <v>#DIV/0!</v>
      </c>
      <c r="R29" s="82" t="e" cm="1">
        <f t="array" ref="R29">INDEX(Page4!$O$9:$O$38, COLUMN(R29)-10)</f>
        <v>#DIV/0!</v>
      </c>
      <c r="S29" s="82" t="e" cm="1">
        <f t="array" ref="S29">INDEX(Page4!$O$9:$O$38, COLUMN(S29)-10)</f>
        <v>#DIV/0!</v>
      </c>
      <c r="T29" s="82" t="e" cm="1">
        <f t="array" ref="T29">INDEX(Page4!$O$9:$O$38, COLUMN(T29)-10)</f>
        <v>#DIV/0!</v>
      </c>
      <c r="U29" s="82" t="e" cm="1">
        <f t="array" ref="U29">INDEX(Page4!$O$9:$O$38, COLUMN(U29)-10)</f>
        <v>#DIV/0!</v>
      </c>
      <c r="V29" s="82" t="e" cm="1">
        <f t="array" ref="V29">INDEX(Page4!$O$9:$O$38, COLUMN(V29)-10)</f>
        <v>#DIV/0!</v>
      </c>
      <c r="W29" s="82" t="e" cm="1">
        <f t="array" ref="W29">INDEX(Page4!$O$9:$O$38, COLUMN(W29)-10)</f>
        <v>#DIV/0!</v>
      </c>
      <c r="X29" s="82" t="e" cm="1">
        <f t="array" ref="X29">INDEX(Page4!$O$9:$O$38, COLUMN(X29)-10)</f>
        <v>#DIV/0!</v>
      </c>
      <c r="Y29" s="82" t="e" cm="1">
        <f t="array" ref="Y29">INDEX(Page4!$O$9:$O$38, COLUMN(Y29)-10)</f>
        <v>#DIV/0!</v>
      </c>
      <c r="Z29" s="82" t="e" cm="1">
        <f t="array" ref="Z29">INDEX(Page4!$O$9:$O$38, COLUMN(Z29)-10)</f>
        <v>#DIV/0!</v>
      </c>
      <c r="AA29" s="82" t="e" cm="1">
        <f t="array" ref="AA29">INDEX(Page4!$O$9:$O$38, COLUMN(AA29)-10)</f>
        <v>#DIV/0!</v>
      </c>
      <c r="AB29" s="82" t="e" cm="1">
        <f t="array" ref="AB29">INDEX(Page4!$O$9:$O$38, COLUMN(AB29)-10)</f>
        <v>#DIV/0!</v>
      </c>
      <c r="AC29" s="82" t="e" cm="1">
        <f t="array" ref="AC29">INDEX(Page4!$O$9:$O$38, COLUMN(AC29)-10)</f>
        <v>#DIV/0!</v>
      </c>
      <c r="AD29" s="82" t="e" cm="1">
        <f t="array" ref="AD29">INDEX(Page4!$O$9:$O$38, COLUMN(AD29)-10)</f>
        <v>#DIV/0!</v>
      </c>
      <c r="AE29" s="82" t="e" cm="1">
        <f t="array" ref="AE29">INDEX(Page4!$O$9:$O$38, COLUMN(AE29)-10)</f>
        <v>#DIV/0!</v>
      </c>
      <c r="AF29" s="82" t="e" cm="1">
        <f t="array" ref="AF29">INDEX(Page4!$O$9:$O$38, COLUMN(AF29)-10)</f>
        <v>#DIV/0!</v>
      </c>
      <c r="AG29" s="82" t="e" cm="1">
        <f t="array" ref="AG29">INDEX(Page4!$O$9:$O$38, COLUMN(AG29)-10)</f>
        <v>#DIV/0!</v>
      </c>
      <c r="AH29" s="82" t="e" cm="1">
        <f t="array" ref="AH29">INDEX(Page4!$O$9:$O$38, COLUMN(AH29)-10)</f>
        <v>#DIV/0!</v>
      </c>
      <c r="AI29" s="82" t="e" cm="1">
        <f t="array" ref="AI29">INDEX(Page4!$O$9:$O$38, COLUMN(AI29)-10)</f>
        <v>#DIV/0!</v>
      </c>
      <c r="AJ29" s="82" t="e" cm="1">
        <f t="array" ref="AJ29">INDEX(Page4!$O$9:$O$38, COLUMN(AJ29)-10)</f>
        <v>#DIV/0!</v>
      </c>
      <c r="AK29" s="82" t="e" cm="1">
        <f t="array" ref="AK29">INDEX(Page4!$O$9:$O$38, COLUMN(AK29)-10)</f>
        <v>#DIV/0!</v>
      </c>
      <c r="AL29" s="82" t="e" cm="1">
        <f t="array" ref="AL29">INDEX(Page4!$O$9:$O$38, COLUMN(AL29)-10)</f>
        <v>#DIV/0!</v>
      </c>
      <c r="AM29" s="82" t="e" cm="1">
        <f t="array" ref="AM29">INDEX(Page4!$O$9:$O$38, COLUMN(AM29)-10)</f>
        <v>#DIV/0!</v>
      </c>
      <c r="AN29" s="82" t="e" cm="1">
        <f t="array" ref="AN29">INDEX(Page4!$O$9:$O$38, COLUMN(AN29)-10)</f>
        <v>#DIV/0!</v>
      </c>
      <c r="AO29" s="107" t="e">
        <f t="shared" si="0"/>
        <v>#DIV/0!</v>
      </c>
      <c r="AP29" s="102" t="e">
        <f t="shared" si="1"/>
        <v>#DIV/0!</v>
      </c>
      <c r="AQ29" s="103" t="e">
        <f>MIN(I29-AO29)/(3*AP29)</f>
        <v>#DIV/0!</v>
      </c>
      <c r="AR29" s="108" t="e">
        <f t="shared" si="2"/>
        <v>#DIV/0!</v>
      </c>
      <c r="AS29" s="108" t="e">
        <f t="shared" si="3"/>
        <v>#DIV/0!</v>
      </c>
      <c r="AT29" s="90" t="e">
        <f t="shared" si="4"/>
        <v>#DIV/0!</v>
      </c>
      <c r="AU29" s="104"/>
      <c r="AV29" s="105"/>
      <c r="AW29" s="105"/>
    </row>
    <row r="30" spans="1:49">
      <c r="AV30" s="22"/>
      <c r="AW30" s="22"/>
    </row>
    <row r="31" spans="1:49">
      <c r="AT31" s="23"/>
      <c r="AV31" s="22"/>
      <c r="AW31" s="22"/>
    </row>
    <row r="32" spans="1:49">
      <c r="AT32" s="23"/>
      <c r="AV32" s="22"/>
      <c r="AW32" s="22"/>
    </row>
    <row r="33" spans="41:49">
      <c r="AO33" s="1"/>
      <c r="AP33" s="23"/>
      <c r="AQ33" s="23"/>
      <c r="AR33" s="23"/>
      <c r="AS33" s="23"/>
      <c r="AT33" s="23"/>
      <c r="AV33" s="22"/>
      <c r="AW33" s="22"/>
    </row>
    <row r="34" spans="41:49">
      <c r="AO34" s="1"/>
      <c r="AP34" s="23"/>
      <c r="AQ34" s="23"/>
      <c r="AR34" s="23"/>
      <c r="AS34" s="23"/>
      <c r="AT34" s="23"/>
      <c r="AV34" s="22"/>
      <c r="AW34" s="22"/>
    </row>
    <row r="35" spans="41:49">
      <c r="AO35" s="1"/>
      <c r="AP35" s="23"/>
      <c r="AQ35" s="23"/>
      <c r="AR35" s="23"/>
      <c r="AS35" s="23"/>
      <c r="AT35" s="23"/>
      <c r="AV35" s="22"/>
      <c r="AW35" s="22"/>
    </row>
    <row r="36" spans="41:49">
      <c r="AO36" s="1"/>
      <c r="AP36" s="23"/>
      <c r="AQ36" s="23"/>
      <c r="AR36" s="23"/>
      <c r="AS36" s="23"/>
      <c r="AT36" s="23"/>
      <c r="AV36" s="22"/>
      <c r="AW36" s="22"/>
    </row>
    <row r="37" spans="41:49">
      <c r="AO37" s="1"/>
      <c r="AP37" s="23"/>
      <c r="AQ37" s="23"/>
      <c r="AR37" s="23"/>
      <c r="AS37" s="23"/>
      <c r="AT37" s="23"/>
      <c r="AV37" s="22"/>
      <c r="AW37" s="22"/>
    </row>
    <row r="38" spans="41:49">
      <c r="AO38" s="1"/>
      <c r="AP38" s="23"/>
      <c r="AQ38" s="23"/>
      <c r="AR38" s="23"/>
      <c r="AS38" s="23"/>
      <c r="AT38" s="23"/>
      <c r="AV38" s="22"/>
      <c r="AW38" s="22"/>
    </row>
    <row r="39" spans="41:49">
      <c r="AO39" s="1"/>
      <c r="AP39" s="23"/>
      <c r="AQ39" s="23"/>
      <c r="AR39" s="23"/>
      <c r="AS39" s="23"/>
      <c r="AT39" s="23"/>
      <c r="AV39" s="22"/>
      <c r="AW39" s="22"/>
    </row>
    <row r="40" spans="41:49">
      <c r="AO40" s="1"/>
      <c r="AP40" s="23"/>
      <c r="AQ40" s="23"/>
      <c r="AR40" s="23"/>
      <c r="AS40" s="23"/>
      <c r="AT40" s="23"/>
      <c r="AV40" s="22"/>
      <c r="AW40" s="22"/>
    </row>
    <row r="41" spans="41:49">
      <c r="AO41" s="1"/>
      <c r="AP41" s="23"/>
      <c r="AQ41" s="23"/>
      <c r="AR41" s="23"/>
      <c r="AS41" s="23"/>
      <c r="AT41" s="23"/>
      <c r="AV41" s="22"/>
      <c r="AW41" s="22"/>
    </row>
    <row r="42" spans="41:49">
      <c r="AO42" s="1"/>
      <c r="AP42" s="23"/>
      <c r="AQ42" s="23"/>
      <c r="AR42" s="23"/>
      <c r="AS42" s="23"/>
      <c r="AT42" s="23"/>
      <c r="AV42" s="22"/>
      <c r="AW42" s="22"/>
    </row>
    <row r="43" spans="41:49">
      <c r="AO43" s="1"/>
      <c r="AP43" s="23"/>
      <c r="AQ43" s="23"/>
      <c r="AR43" s="23"/>
      <c r="AS43" s="23"/>
      <c r="AT43" s="23"/>
      <c r="AV43" s="22"/>
      <c r="AW43" s="22"/>
    </row>
    <row r="44" spans="41:49">
      <c r="AO44" s="1"/>
      <c r="AP44" s="23"/>
      <c r="AQ44" s="23"/>
      <c r="AR44" s="23"/>
      <c r="AS44" s="23"/>
    </row>
    <row r="45" spans="41:49">
      <c r="AO45" s="1"/>
      <c r="AP45" s="23"/>
      <c r="AQ45" s="23"/>
      <c r="AR45" s="23"/>
      <c r="AS45" s="23"/>
    </row>
    <row r="46" spans="41:49">
      <c r="AO46" s="1"/>
      <c r="AP46" s="23"/>
      <c r="AQ46" s="23"/>
      <c r="AR46" s="23"/>
      <c r="AS46" s="23"/>
    </row>
    <row r="47" spans="41:49">
      <c r="AO47" s="1"/>
      <c r="AP47" s="23"/>
      <c r="AQ47" s="23"/>
      <c r="AR47" s="23"/>
      <c r="AS47" s="23"/>
    </row>
    <row r="48" spans="41:49">
      <c r="AO48" s="1"/>
      <c r="AP48" s="23"/>
      <c r="AQ48" s="23"/>
      <c r="AR48" s="23"/>
      <c r="AS48" s="23"/>
    </row>
    <row r="49" spans="41:49">
      <c r="AO49" s="1"/>
      <c r="AP49" s="23"/>
      <c r="AQ49" s="23"/>
      <c r="AR49" s="23"/>
      <c r="AS49" s="23"/>
      <c r="AW49" s="1"/>
    </row>
    <row r="50" spans="41:49">
      <c r="AO50" s="1"/>
      <c r="AP50" s="23"/>
      <c r="AQ50" s="23"/>
      <c r="AR50" s="23"/>
      <c r="AS50" s="23"/>
      <c r="AW50" s="1"/>
    </row>
    <row r="51" spans="41:49">
      <c r="AO51" s="1"/>
      <c r="AP51" s="23"/>
      <c r="AQ51" s="23"/>
      <c r="AR51" s="23"/>
      <c r="AS51" s="23"/>
      <c r="AW51" s="1"/>
    </row>
    <row r="52" spans="41:49">
      <c r="AO52" s="1"/>
      <c r="AP52" s="23"/>
      <c r="AQ52" s="23"/>
      <c r="AR52" s="23"/>
      <c r="AS52" s="23"/>
      <c r="AW52" s="1"/>
    </row>
    <row r="53" spans="41:49">
      <c r="AO53" s="1"/>
      <c r="AP53" s="23"/>
      <c r="AQ53" s="23"/>
      <c r="AR53" s="23"/>
      <c r="AS53" s="23"/>
      <c r="AW53" s="1"/>
    </row>
    <row r="54" spans="41:49">
      <c r="AO54" s="1"/>
      <c r="AP54" s="23"/>
      <c r="AQ54" s="23"/>
      <c r="AR54" s="23"/>
      <c r="AS54" s="23"/>
      <c r="AW54" s="1"/>
    </row>
    <row r="55" spans="41:49">
      <c r="AO55" s="1"/>
      <c r="AP55" s="23"/>
      <c r="AQ55" s="23"/>
      <c r="AR55" s="23"/>
      <c r="AS55" s="23"/>
      <c r="AW55" s="1"/>
    </row>
    <row r="56" spans="41:49">
      <c r="AO56" s="1"/>
      <c r="AP56" s="23"/>
      <c r="AQ56" s="23"/>
      <c r="AR56" s="23"/>
      <c r="AS56" s="23"/>
      <c r="AW56" s="1"/>
    </row>
    <row r="57" spans="41:49">
      <c r="AO57" s="1"/>
      <c r="AP57" s="23"/>
      <c r="AQ57" s="23"/>
      <c r="AR57" s="23"/>
      <c r="AS57" s="23"/>
      <c r="AW57" s="1"/>
    </row>
  </sheetData>
  <mergeCells count="1">
    <mergeCell ref="B1:I1"/>
  </mergeCells>
  <conditionalFormatting sqref="AT15:AT29">
    <cfRule type="containsText" dxfId="1" priority="1" operator="containsText" text="Fail">
      <formula>NOT(ISERROR(SEARCH("Fail",AT15)))</formula>
    </cfRule>
    <cfRule type="containsText" dxfId="0" priority="2" operator="containsText" text="Pass">
      <formula>NOT(ISERROR(SEARCH("Pass",AT15)))</formula>
    </cfRule>
  </conditionalFormatting>
  <dataValidations count="1">
    <dataValidation type="textLength" operator="lessThanOrEqual" allowBlank="1" showInputMessage="1" showErrorMessage="1" errorTitle="Release Criteria" error="The maximum length for this field is 255 characters." sqref="AT15:AT29" xr:uid="{00000000-0002-0000-0200-000000000000}">
      <formula1>255</formula1>
    </dataValidation>
  </dataValidations>
  <printOptions horizontalCentered="1" verticalCentered="1"/>
  <pageMargins left="0.19685039370078741" right="0.19685039370078741" top="0.59055118110236227" bottom="0.19685039370078741" header="0.15748031496062992" footer="0.23622047244094491"/>
  <pageSetup paperSize="9"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Page1</vt:lpstr>
      <vt:lpstr>Page2</vt:lpstr>
      <vt:lpstr>Page3</vt:lpstr>
      <vt:lpstr>Page4</vt:lpstr>
      <vt:lpstr>99396168.005_00_COA</vt:lpstr>
      <vt:lpstr>Cpk</vt:lpstr>
      <vt:lpstr>Page1!Print_Area</vt:lpstr>
      <vt:lpstr>Page2!Print_Area</vt:lpstr>
      <vt:lpstr>Page3!Print_Area</vt:lpstr>
      <vt:lpstr>Page4!Print_Area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QCOFFICER</dc:creator>
  <cp:lastModifiedBy>Gauresh Chari</cp:lastModifiedBy>
  <cp:lastPrinted>2025-12-30T17:00:41Z</cp:lastPrinted>
  <dcterms:created xsi:type="dcterms:W3CDTF">2013-06-14T09:36:38Z</dcterms:created>
  <dcterms:modified xsi:type="dcterms:W3CDTF">2025-12-30T17:01:15Z</dcterms:modified>
</cp:coreProperties>
</file>